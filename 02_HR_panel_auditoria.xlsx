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defaultThemeVersion="153222"/>
  <mc:AlternateContent xmlns:mc="http://schemas.openxmlformats.org/markup-compatibility/2006">
    <mc:Choice Requires="x15">
      <x15ac:absPath xmlns:x15ac="http://schemas.microsoft.com/office/spreadsheetml/2010/11/ac" url="C:\Users\usuario\Desktop\SQL\HR_Data\saves\"/>
    </mc:Choice>
  </mc:AlternateContent>
  <bookViews>
    <workbookView xWindow="0" yWindow="0" windowWidth="20490" windowHeight="7635" activeTab="3"/>
  </bookViews>
  <sheets>
    <sheet name="HR DATA" sheetId="2" r:id="rId1"/>
    <sheet name="Panel de control" sheetId="5" r:id="rId2"/>
    <sheet name="Guia" sheetId="7" r:id="rId3"/>
    <sheet name="Permitidos" sheetId="6" r:id="rId4"/>
  </sheets>
  <calcPr calcId="152511"/>
  <extLst>
    <ext xmlns:x14="http://schemas.microsoft.com/office/spreadsheetml/2009/9/main" uri="{79F54976-1DA5-4618-B147-4CDE4B953A38}">
      <x14:workbookPr/>
    </ext>
  </extLst>
</workbook>
</file>

<file path=xl/calcChain.xml><?xml version="1.0" encoding="utf-8"?>
<calcChain xmlns="http://purl.oclc.org/ooxml/spreadsheetml/main">
  <c r="E13" i="5" l="1"/>
  <c r="C6" i="5" l="1"/>
  <c r="G8" i="5" l="1"/>
  <c r="G14" i="5"/>
  <c r="G15" i="5"/>
  <c r="G16" i="5"/>
  <c r="G13" i="5"/>
  <c r="G12" i="5"/>
  <c r="G11" i="5"/>
  <c r="G10" i="5"/>
  <c r="G9" i="5"/>
  <c r="G7" i="5"/>
  <c r="G6" i="5"/>
  <c r="G5" i="5"/>
  <c r="G2" i="5" l="1"/>
  <c r="E12" i="5"/>
  <c r="B5" i="5" l="1"/>
  <c r="F16" i="5" l="1"/>
  <c r="D16" i="5"/>
  <c r="F15" i="5"/>
  <c r="D15" i="5"/>
  <c r="C15" i="5"/>
  <c r="E14" i="5"/>
  <c r="D14" i="5"/>
  <c r="F11" i="5"/>
  <c r="D11" i="5"/>
  <c r="C11" i="5"/>
  <c r="F10" i="5"/>
  <c r="D10" i="5"/>
  <c r="C10" i="5"/>
  <c r="E9" i="5"/>
  <c r="D9" i="5"/>
  <c r="F8" i="5"/>
  <c r="D8" i="5"/>
  <c r="C8" i="5"/>
  <c r="E7" i="5"/>
  <c r="D7" i="5"/>
  <c r="C7" i="5"/>
  <c r="E6" i="5"/>
  <c r="D6" i="5"/>
  <c r="E5" i="5"/>
  <c r="D5" i="5"/>
  <c r="B2" i="5"/>
  <c r="E2" i="5" l="1"/>
  <c r="C2" i="5"/>
  <c r="D2" i="5"/>
  <c r="F2" i="5"/>
</calcChain>
</file>

<file path=xl/sharedStrings.xml><?xml version="1.0" encoding="utf-8"?>
<sst xmlns="http://purl.oclc.org/ooxml/spreadsheetml/main" count="41871" uniqueCount="9555">
  <si>
    <t>employee_id</t>
  </si>
  <si>
    <t>first_name</t>
  </si>
  <si>
    <t>last_name</t>
  </si>
  <si>
    <t>gender</t>
  </si>
  <si>
    <t>age</t>
  </si>
  <si>
    <t>department</t>
  </si>
  <si>
    <t>job_title</t>
  </si>
  <si>
    <t>salary</t>
  </si>
  <si>
    <t>hire_date</t>
  </si>
  <si>
    <t>email</t>
  </si>
  <si>
    <t>city</t>
  </si>
  <si>
    <t>performance_rating</t>
  </si>
  <si>
    <t>E01502</t>
  </si>
  <si>
    <t>linda</t>
  </si>
  <si>
    <t>robinson</t>
  </si>
  <si>
    <t>RnD</t>
  </si>
  <si>
    <t>Manager</t>
  </si>
  <si>
    <t>$123,185</t>
  </si>
  <si>
    <t>linda.robinson@northfield-hr.com</t>
  </si>
  <si>
    <t>Chicago</t>
  </si>
  <si>
    <t>E02587</t>
  </si>
  <si>
    <t>Liam</t>
  </si>
  <si>
    <t>Lopez</t>
  </si>
  <si>
    <t>Female</t>
  </si>
  <si>
    <t>Engineering</t>
  </si>
  <si>
    <t xml:space="preserve"> Manager</t>
  </si>
  <si>
    <t>liam.lopez@northfield-hr.com</t>
  </si>
  <si>
    <t>San Diego</t>
  </si>
  <si>
    <t>E02654</t>
  </si>
  <si>
    <t>elizabeth</t>
  </si>
  <si>
    <t>gonzalez</t>
  </si>
  <si>
    <t>CUSTOMER SUPPORT</t>
  </si>
  <si>
    <t xml:space="preserve"> Analyst</t>
  </si>
  <si>
    <t>elizabeth.gonzalez@northfield-hr.com</t>
  </si>
  <si>
    <t>Austin</t>
  </si>
  <si>
    <t>E01056</t>
  </si>
  <si>
    <t>THOMAS</t>
  </si>
  <si>
    <t>Thomas</t>
  </si>
  <si>
    <t>Saless</t>
  </si>
  <si>
    <t>Analyst</t>
  </si>
  <si>
    <t>$55,953.55</t>
  </si>
  <si>
    <t>thomas.thomas@northfield-hr.com</t>
  </si>
  <si>
    <t>Seattle</t>
  </si>
  <si>
    <t>E00706</t>
  </si>
  <si>
    <t>William</t>
  </si>
  <si>
    <t>Harris</t>
  </si>
  <si>
    <t>Male</t>
  </si>
  <si>
    <t xml:space="preserve"> Operations</t>
  </si>
  <si>
    <t>ANALYST</t>
  </si>
  <si>
    <t>william.harris@northfield-hr.com</t>
  </si>
  <si>
    <t>Denver</t>
  </si>
  <si>
    <t>E00107</t>
  </si>
  <si>
    <t>JOHN</t>
  </si>
  <si>
    <t>torres</t>
  </si>
  <si>
    <t>Markting</t>
  </si>
  <si>
    <t>analyst</t>
  </si>
  <si>
    <t>$60,058.66</t>
  </si>
  <si>
    <t>john.torres@northfield-hr.com</t>
  </si>
  <si>
    <t>New York</t>
  </si>
  <si>
    <t>E00590</t>
  </si>
  <si>
    <t>Patricia</t>
  </si>
  <si>
    <t>Smith</t>
  </si>
  <si>
    <t>IT</t>
  </si>
  <si>
    <t>director</t>
  </si>
  <si>
    <t>patricia.smith@northfield-hr.com</t>
  </si>
  <si>
    <t>E02469</t>
  </si>
  <si>
    <t>john</t>
  </si>
  <si>
    <t>Garcia</t>
  </si>
  <si>
    <t>Research &amp; Development</t>
  </si>
  <si>
    <t>Senior Analyst</t>
  </si>
  <si>
    <t>john.garcia@northfield-hr.com</t>
  </si>
  <si>
    <t>Phoenix</t>
  </si>
  <si>
    <t>E02414</t>
  </si>
  <si>
    <t xml:space="preserve"> Barbara</t>
  </si>
  <si>
    <t>johnson</t>
  </si>
  <si>
    <t>Finanace</t>
  </si>
  <si>
    <t>$70,674.58</t>
  </si>
  <si>
    <t>barbara.johnson@northfield-hr.com</t>
  </si>
  <si>
    <t>E01601</t>
  </si>
  <si>
    <t>Barbara</t>
  </si>
  <si>
    <t xml:space="preserve">harris </t>
  </si>
  <si>
    <t>HUMAN RESOURCES</t>
  </si>
  <si>
    <t>Associate</t>
  </si>
  <si>
    <t>$50,030.33</t>
  </si>
  <si>
    <t>barbara.harris@northfield-hr.com</t>
  </si>
  <si>
    <t>E02465</t>
  </si>
  <si>
    <t>Sarah</t>
  </si>
  <si>
    <t xml:space="preserve"> thomas</t>
  </si>
  <si>
    <t>SPECIALIST</t>
  </si>
  <si>
    <t>sarah.thomas@northfield-hr.com</t>
  </si>
  <si>
    <t>Miami</t>
  </si>
  <si>
    <t>E00229</t>
  </si>
  <si>
    <t>JESSICA</t>
  </si>
  <si>
    <t>CLARK</t>
  </si>
  <si>
    <t xml:space="preserve">Finance </t>
  </si>
  <si>
    <t xml:space="preserve">associate </t>
  </si>
  <si>
    <t>jessica.clark@northfield-hr.com</t>
  </si>
  <si>
    <t>E00916</t>
  </si>
  <si>
    <t xml:space="preserve"> priya</t>
  </si>
  <si>
    <t>priya.clark@northfield-hr.com</t>
  </si>
  <si>
    <t>Dallas</t>
  </si>
  <si>
    <t>E00795</t>
  </si>
  <si>
    <t>Wei</t>
  </si>
  <si>
    <t>TORRES</t>
  </si>
  <si>
    <t xml:space="preserve">Sales </t>
  </si>
  <si>
    <t>wei.torres@northfield-hr.com</t>
  </si>
  <si>
    <t>E03022</t>
  </si>
  <si>
    <t>Jackson</t>
  </si>
  <si>
    <t>R&amp;D</t>
  </si>
  <si>
    <t xml:space="preserve">Senior Analyst </t>
  </si>
  <si>
    <t>thomas.jackson@northfield-hr.com</t>
  </si>
  <si>
    <t>E03544</t>
  </si>
  <si>
    <t>Michael</t>
  </si>
  <si>
    <t xml:space="preserve"> ALLEN</t>
  </si>
  <si>
    <t>LEGAL</t>
  </si>
  <si>
    <t>Specialist</t>
  </si>
  <si>
    <t>$106,159.86</t>
  </si>
  <si>
    <t>michael.allen@northfield-hr.com</t>
  </si>
  <si>
    <t>Minneapolis</t>
  </si>
  <si>
    <t>E01074</t>
  </si>
  <si>
    <t>Robert</t>
  </si>
  <si>
    <t>Adams</t>
  </si>
  <si>
    <t>sales</t>
  </si>
  <si>
    <t>robert.adams@northfield-hr.com</t>
  </si>
  <si>
    <t>E03352</t>
  </si>
  <si>
    <t>PRIYA</t>
  </si>
  <si>
    <t>FINANCE</t>
  </si>
  <si>
    <t xml:space="preserve">Manager </t>
  </si>
  <si>
    <t>priya.johnson@northfield-hr.com</t>
  </si>
  <si>
    <t>E01745</t>
  </si>
  <si>
    <t>Chidi</t>
  </si>
  <si>
    <t xml:space="preserve">specialist </t>
  </si>
  <si>
    <t>chidi.johnson@northfield-hr.com</t>
  </si>
  <si>
    <t>E01085</t>
  </si>
  <si>
    <t>LUCAS</t>
  </si>
  <si>
    <t>Ramirez</t>
  </si>
  <si>
    <t>$66,972</t>
  </si>
  <si>
    <t>lucas.ramirez@northfield-hr.com</t>
  </si>
  <si>
    <t>E00927</t>
  </si>
  <si>
    <t>Ava</t>
  </si>
  <si>
    <t>Miller</t>
  </si>
  <si>
    <t>senior analyst</t>
  </si>
  <si>
    <t>ava.miller@northfield-hr.com</t>
  </si>
  <si>
    <t>E03050</t>
  </si>
  <si>
    <t>LIAM</t>
  </si>
  <si>
    <t>Nguyen</t>
  </si>
  <si>
    <t xml:space="preserve"> Legal</t>
  </si>
  <si>
    <t xml:space="preserve"> manager</t>
  </si>
  <si>
    <t>liam.nguyen@northfield-hr.com</t>
  </si>
  <si>
    <t>Nashville</t>
  </si>
  <si>
    <t>E01118</t>
  </si>
  <si>
    <t>Jessica</t>
  </si>
  <si>
    <t>Martinez</t>
  </si>
  <si>
    <t xml:space="preserve">IT </t>
  </si>
  <si>
    <t>$76,764</t>
  </si>
  <si>
    <t>jessica.martinez@northfield-hr.com</t>
  </si>
  <si>
    <t>E00643</t>
  </si>
  <si>
    <t>wei</t>
  </si>
  <si>
    <t>Robinson</t>
  </si>
  <si>
    <t xml:space="preserve">Analyst </t>
  </si>
  <si>
    <t>wei.robinson@northfield-hr.com</t>
  </si>
  <si>
    <t>E02898</t>
  </si>
  <si>
    <t>Mary</t>
  </si>
  <si>
    <t>martin</t>
  </si>
  <si>
    <t xml:space="preserve"> specialist</t>
  </si>
  <si>
    <t>mary.martin@northfield-hr.com</t>
  </si>
  <si>
    <t>E00502</t>
  </si>
  <si>
    <t>HIROSHI</t>
  </si>
  <si>
    <t>sanchez</t>
  </si>
  <si>
    <t>marketing</t>
  </si>
  <si>
    <t>associate</t>
  </si>
  <si>
    <t>$52,951.40</t>
  </si>
  <si>
    <t>hiroshi.sanchez@northfield-hr.com</t>
  </si>
  <si>
    <t>E04067</t>
  </si>
  <si>
    <t>Richard</t>
  </si>
  <si>
    <t>wright</t>
  </si>
  <si>
    <t xml:space="preserve"> sales</t>
  </si>
  <si>
    <t>Coordinator</t>
  </si>
  <si>
    <t>richard.wright@northfield-hr.com</t>
  </si>
  <si>
    <t>E00334</t>
  </si>
  <si>
    <t>Diego</t>
  </si>
  <si>
    <t>Wilson</t>
  </si>
  <si>
    <t>Senior Manager</t>
  </si>
  <si>
    <t>diego.wilson@northfield-hr.com</t>
  </si>
  <si>
    <t>Portland</t>
  </si>
  <si>
    <t>E04685</t>
  </si>
  <si>
    <t>Enginering</t>
  </si>
  <si>
    <t>ava.sanchez@northfield-hr.com</t>
  </si>
  <si>
    <t>E00487</t>
  </si>
  <si>
    <t>SCOTT</t>
  </si>
  <si>
    <t>operations</t>
  </si>
  <si>
    <t>ASSOCIATE</t>
  </si>
  <si>
    <t>john.scott@northfield-hr.com</t>
  </si>
  <si>
    <t>E01963</t>
  </si>
  <si>
    <t xml:space="preserve"> sofia</t>
  </si>
  <si>
    <t>nguyen</t>
  </si>
  <si>
    <t>Customer  Support</t>
  </si>
  <si>
    <t>sofia.nguyen@northfield-hr.com</t>
  </si>
  <si>
    <t>E00394</t>
  </si>
  <si>
    <t>Fatima</t>
  </si>
  <si>
    <t>research &amp; development</t>
  </si>
  <si>
    <t>fatima.smith@northfield-hr.com</t>
  </si>
  <si>
    <t>E01431</t>
  </si>
  <si>
    <t xml:space="preserve"> Wei</t>
  </si>
  <si>
    <t>Rodriguez</t>
  </si>
  <si>
    <t>specialist</t>
  </si>
  <si>
    <t>wei.rodriguez@northfield-hr.com</t>
  </si>
  <si>
    <t>Boston</t>
  </si>
  <si>
    <t>E03357</t>
  </si>
  <si>
    <t xml:space="preserve"> barbara</t>
  </si>
  <si>
    <t>clark</t>
  </si>
  <si>
    <t>MARKETING</t>
  </si>
  <si>
    <t>SENIOR ANALYST</t>
  </si>
  <si>
    <t>barbara.clark@northfield-hr.com</t>
  </si>
  <si>
    <t>E01756</t>
  </si>
  <si>
    <t>Martin</t>
  </si>
  <si>
    <t xml:space="preserve"> Marketing</t>
  </si>
  <si>
    <t>manager</t>
  </si>
  <si>
    <t>$88,471.86</t>
  </si>
  <si>
    <t>jessica.martin@northfield-hr.com</t>
  </si>
  <si>
    <t>E02516</t>
  </si>
  <si>
    <t>Jennifer</t>
  </si>
  <si>
    <t>jennifer.robinson@northfield-hr.com</t>
  </si>
  <si>
    <t>E03586</t>
  </si>
  <si>
    <t xml:space="preserve">karen </t>
  </si>
  <si>
    <t>RODRIGUEZ</t>
  </si>
  <si>
    <t>karen.rodriguez@northfield-hr.com</t>
  </si>
  <si>
    <t>E04316</t>
  </si>
  <si>
    <t>John</t>
  </si>
  <si>
    <t xml:space="preserve">Lee </t>
  </si>
  <si>
    <t>Sales</t>
  </si>
  <si>
    <t xml:space="preserve">senior analyst </t>
  </si>
  <si>
    <t>john.lee@northfield-hr.com</t>
  </si>
  <si>
    <t>E02795</t>
  </si>
  <si>
    <t xml:space="preserve">james </t>
  </si>
  <si>
    <t>james.martin@northfield-hr.com</t>
  </si>
  <si>
    <t>E02100</t>
  </si>
  <si>
    <t>Gonzalez</t>
  </si>
  <si>
    <t>Operatons</t>
  </si>
  <si>
    <t xml:space="preserve"> SPECIALIST</t>
  </si>
  <si>
    <t>$45,563</t>
  </si>
  <si>
    <t>robert.gonzalez@northfield-hr.com</t>
  </si>
  <si>
    <t>E03600</t>
  </si>
  <si>
    <t xml:space="preserve">LIAM  </t>
  </si>
  <si>
    <t>Walker</t>
  </si>
  <si>
    <t>Marketing</t>
  </si>
  <si>
    <t>liam.walker@northfield-hr.com</t>
  </si>
  <si>
    <t>E04122</t>
  </si>
  <si>
    <t>ELIZABETH</t>
  </si>
  <si>
    <t>elizabeth.rodriguez@northfield-hr.com</t>
  </si>
  <si>
    <t>E00030</t>
  </si>
  <si>
    <t>michael</t>
  </si>
  <si>
    <t>RAMIREZ</t>
  </si>
  <si>
    <t>Ops</t>
  </si>
  <si>
    <t>$52,351.55</t>
  </si>
  <si>
    <t>michael.ramirez@northfield-hr.com</t>
  </si>
  <si>
    <t>E00066</t>
  </si>
  <si>
    <t xml:space="preserve"> william</t>
  </si>
  <si>
    <t>Human Resource</t>
  </si>
  <si>
    <t>$53,345</t>
  </si>
  <si>
    <t>william.garcia@northfield-hr.com</t>
  </si>
  <si>
    <t>E00839</t>
  </si>
  <si>
    <t>fatima</t>
  </si>
  <si>
    <t>hill</t>
  </si>
  <si>
    <t xml:space="preserve">Engineering </t>
  </si>
  <si>
    <t>fatima.hill@northfield-hr.com</t>
  </si>
  <si>
    <t>E03907</t>
  </si>
  <si>
    <t>CHARLES</t>
  </si>
  <si>
    <t>Thompson</t>
  </si>
  <si>
    <t>Customer Support</t>
  </si>
  <si>
    <t>$41,306</t>
  </si>
  <si>
    <t>charles.thompson@northfield-hr.com</t>
  </si>
  <si>
    <t>E03774</t>
  </si>
  <si>
    <t>john.thompson@northfield-hr.com</t>
  </si>
  <si>
    <t>E04636</t>
  </si>
  <si>
    <t xml:space="preserve">Hiroshi </t>
  </si>
  <si>
    <t xml:space="preserve">anderson  </t>
  </si>
  <si>
    <t xml:space="preserve"> Finance</t>
  </si>
  <si>
    <t>senior manager</t>
  </si>
  <si>
    <t>hiroshi.anderson@northfield-hr.com</t>
  </si>
  <si>
    <t>E03162</t>
  </si>
  <si>
    <t>DAVID</t>
  </si>
  <si>
    <t xml:space="preserve"> THOMAS</t>
  </si>
  <si>
    <t>Director</t>
  </si>
  <si>
    <t>david.thomas@northfield-hr.com</t>
  </si>
  <si>
    <t>E02660</t>
  </si>
  <si>
    <t>williams</t>
  </si>
  <si>
    <t xml:space="preserve"> IT</t>
  </si>
  <si>
    <t xml:space="preserve">Coordinator </t>
  </si>
  <si>
    <t>richard.williams@northfield-hr.com</t>
  </si>
  <si>
    <t>E04616</t>
  </si>
  <si>
    <t>Perez</t>
  </si>
  <si>
    <t>elizabeth.perez@northfield-hr.com</t>
  </si>
  <si>
    <t>E04629</t>
  </si>
  <si>
    <t xml:space="preserve"> Hiroshi</t>
  </si>
  <si>
    <t>Jones</t>
  </si>
  <si>
    <t>it</t>
  </si>
  <si>
    <t xml:space="preserve"> Senior Manager</t>
  </si>
  <si>
    <t>hiroshi.jones@northfield-hr.com</t>
  </si>
  <si>
    <t>E02452</t>
  </si>
  <si>
    <t xml:space="preserve">ALLEN </t>
  </si>
  <si>
    <t xml:space="preserve">Enginering </t>
  </si>
  <si>
    <t xml:space="preserve">SENIOR MANAGER </t>
  </si>
  <si>
    <t>sofia.allen@northfield-hr.com</t>
  </si>
  <si>
    <t>E02847</t>
  </si>
  <si>
    <t xml:space="preserve"> ava</t>
  </si>
  <si>
    <t xml:space="preserve">Thomas </t>
  </si>
  <si>
    <t xml:space="preserve"> Operatons</t>
  </si>
  <si>
    <t>$55,433</t>
  </si>
  <si>
    <t>ava.thomas@northfield-hr.com</t>
  </si>
  <si>
    <t>E01145</t>
  </si>
  <si>
    <t>NOAH</t>
  </si>
  <si>
    <t>$59,417</t>
  </si>
  <si>
    <t>noah.martinez@northfield-hr.com</t>
  </si>
  <si>
    <t>E03079</t>
  </si>
  <si>
    <t>susan</t>
  </si>
  <si>
    <t>susan.nguyen@northfield-hr.com</t>
  </si>
  <si>
    <t>E01104</t>
  </si>
  <si>
    <t>Hill</t>
  </si>
  <si>
    <t>Human Resources</t>
  </si>
  <si>
    <t xml:space="preserve"> Specialist </t>
  </si>
  <si>
    <t>wei.hill@northfield-hr.com</t>
  </si>
  <si>
    <t>E00169</t>
  </si>
  <si>
    <t>Mateo</t>
  </si>
  <si>
    <t>DAVIS</t>
  </si>
  <si>
    <t>mateo.davis@northfield-hr.com</t>
  </si>
  <si>
    <t>E01671</t>
  </si>
  <si>
    <t xml:space="preserve">nguyen </t>
  </si>
  <si>
    <t xml:space="preserve"> COORDINATOR</t>
  </si>
  <si>
    <t>$40,569.07</t>
  </si>
  <si>
    <t>barbara.nguyen@northfield-hr.com</t>
  </si>
  <si>
    <t>E02571</t>
  </si>
  <si>
    <t>MOORE</t>
  </si>
  <si>
    <t>mateo.moore@northfield-hr.com</t>
  </si>
  <si>
    <t>E02378</t>
  </si>
  <si>
    <t>robert</t>
  </si>
  <si>
    <t>LOPEZ</t>
  </si>
  <si>
    <t>COORDINATOR</t>
  </si>
  <si>
    <t>robert.lopez@northfield-hr.com</t>
  </si>
  <si>
    <t>E04396</t>
  </si>
  <si>
    <t>SOFIA</t>
  </si>
  <si>
    <t xml:space="preserve">MARTINEZ </t>
  </si>
  <si>
    <t>$71,035.50</t>
  </si>
  <si>
    <t>sofia.martinez@northfield-hr.com</t>
  </si>
  <si>
    <t>E04258</t>
  </si>
  <si>
    <t xml:space="preserve"> MOHAMMED</t>
  </si>
  <si>
    <t>$53,870</t>
  </si>
  <si>
    <t>mohammed.torres@northfield-hr.com</t>
  </si>
  <si>
    <t>E03863</t>
  </si>
  <si>
    <t xml:space="preserve"> scott</t>
  </si>
  <si>
    <t xml:space="preserve"> Human Resources</t>
  </si>
  <si>
    <t>coordinator</t>
  </si>
  <si>
    <t>$52,477.33</t>
  </si>
  <si>
    <t>fatima.scott@northfield-hr.com</t>
  </si>
  <si>
    <t>E00024</t>
  </si>
  <si>
    <t>david</t>
  </si>
  <si>
    <t>Legall</t>
  </si>
  <si>
    <t>MANAGER</t>
  </si>
  <si>
    <t>david.walker@northfield-hr.com</t>
  </si>
  <si>
    <t>E02634</t>
  </si>
  <si>
    <t xml:space="preserve"> aiko</t>
  </si>
  <si>
    <t>moore</t>
  </si>
  <si>
    <t>aiko.moore@northfield-hr.com</t>
  </si>
  <si>
    <t>E03341</t>
  </si>
  <si>
    <t xml:space="preserve">JOHN </t>
  </si>
  <si>
    <t>Operations</t>
  </si>
  <si>
    <t>john.adams@northfield-hr.com</t>
  </si>
  <si>
    <t>E02216</t>
  </si>
  <si>
    <t xml:space="preserve"> olga </t>
  </si>
  <si>
    <t>olga.harris@northfield-hr.com</t>
  </si>
  <si>
    <t>Atlanta</t>
  </si>
  <si>
    <t>E03683</t>
  </si>
  <si>
    <t xml:space="preserve"> smith</t>
  </si>
  <si>
    <t>Engg</t>
  </si>
  <si>
    <t>charles.smith@northfield-hr.com</t>
  </si>
  <si>
    <t>E01683</t>
  </si>
  <si>
    <t xml:space="preserve"> Priya</t>
  </si>
  <si>
    <t>HERNANDEZ</t>
  </si>
  <si>
    <t xml:space="preserve">COORDINATOR </t>
  </si>
  <si>
    <t>priya.hernandez@northfield-hr.com</t>
  </si>
  <si>
    <t>E01908</t>
  </si>
  <si>
    <t>lopez</t>
  </si>
  <si>
    <t>$50,155</t>
  </si>
  <si>
    <t>thomas.lopez@northfield-hr.com</t>
  </si>
  <si>
    <t>E00085</t>
  </si>
  <si>
    <t xml:space="preserve"> Fatima</t>
  </si>
  <si>
    <t>Anderson</t>
  </si>
  <si>
    <t>VP</t>
  </si>
  <si>
    <t>fatima.anderson@northfield-hr.com</t>
  </si>
  <si>
    <t>E00228</t>
  </si>
  <si>
    <t xml:space="preserve"> King</t>
  </si>
  <si>
    <t>$191,037</t>
  </si>
  <si>
    <t>diego.king@northfield-hr.com</t>
  </si>
  <si>
    <t>E00297</t>
  </si>
  <si>
    <t>Joseph</t>
  </si>
  <si>
    <t>Wright</t>
  </si>
  <si>
    <t>joseph.wright@northfield-hr.com</t>
  </si>
  <si>
    <t>E01002</t>
  </si>
  <si>
    <t xml:space="preserve"> young</t>
  </si>
  <si>
    <t>Mktg</t>
  </si>
  <si>
    <t>mateo.young@northfield-hr.com</t>
  </si>
  <si>
    <t>E02139</t>
  </si>
  <si>
    <t>ava.harris@northfield-hr.com</t>
  </si>
  <si>
    <t>E00712</t>
  </si>
  <si>
    <t>Emma</t>
  </si>
  <si>
    <t>WILLIAMS</t>
  </si>
  <si>
    <t>customer support</t>
  </si>
  <si>
    <t>vp</t>
  </si>
  <si>
    <t>emma.williams@northfield-hr.com</t>
  </si>
  <si>
    <t>E02802</t>
  </si>
  <si>
    <t>Charles</t>
  </si>
  <si>
    <t>HR</t>
  </si>
  <si>
    <t>charles.robinson@northfield-hr.com</t>
  </si>
  <si>
    <t>E02528</t>
  </si>
  <si>
    <t>linda.lopez@northfield-hr.com</t>
  </si>
  <si>
    <t>E03753</t>
  </si>
  <si>
    <t>LEWIS</t>
  </si>
  <si>
    <t>SALES</t>
  </si>
  <si>
    <t>$79,989</t>
  </si>
  <si>
    <t>david.lewis@northfield-hr.com</t>
  </si>
  <si>
    <t>E03322</t>
  </si>
  <si>
    <t xml:space="preserve">LIAM </t>
  </si>
  <si>
    <t>I.T.</t>
  </si>
  <si>
    <t xml:space="preserve">analyst </t>
  </si>
  <si>
    <t>liam.williams@northfield-hr.com</t>
  </si>
  <si>
    <t>E03182</t>
  </si>
  <si>
    <t>WEI</t>
  </si>
  <si>
    <t>king</t>
  </si>
  <si>
    <t>$41,428</t>
  </si>
  <si>
    <t>wei.king@northfield-hr.com</t>
  </si>
  <si>
    <t>E04184</t>
  </si>
  <si>
    <t>michael.wright@northfield-hr.com</t>
  </si>
  <si>
    <t>E01616</t>
  </si>
  <si>
    <t xml:space="preserve"> John</t>
  </si>
  <si>
    <t>$56,544</t>
  </si>
  <si>
    <t>E03025</t>
  </si>
  <si>
    <t xml:space="preserve"> Vp</t>
  </si>
  <si>
    <t>$209,892</t>
  </si>
  <si>
    <t>E01414</t>
  </si>
  <si>
    <t>william</t>
  </si>
  <si>
    <t xml:space="preserve">Lopez </t>
  </si>
  <si>
    <t xml:space="preserve">finance </t>
  </si>
  <si>
    <t>william.lopez@northfield-hr.com</t>
  </si>
  <si>
    <t>E00764</t>
  </si>
  <si>
    <t xml:space="preserve">Mateo </t>
  </si>
  <si>
    <t xml:space="preserve"> sales </t>
  </si>
  <si>
    <t>mateo.williams@northfield-hr.com</t>
  </si>
  <si>
    <t>E00656</t>
  </si>
  <si>
    <t>noah</t>
  </si>
  <si>
    <t xml:space="preserve"> Hernandez</t>
  </si>
  <si>
    <t xml:space="preserve">Mktg </t>
  </si>
  <si>
    <t>noah.hernandez@northfield-hr.com</t>
  </si>
  <si>
    <t>E02658</t>
  </si>
  <si>
    <t>jones</t>
  </si>
  <si>
    <t>william.jones@northfield-hr.com</t>
  </si>
  <si>
    <t>E03850</t>
  </si>
  <si>
    <t>PATRICIA</t>
  </si>
  <si>
    <t>ANDERSON</t>
  </si>
  <si>
    <t xml:space="preserve"> Specialist</t>
  </si>
  <si>
    <t>$88,025</t>
  </si>
  <si>
    <t>patricia.anderson@northfield-hr.com</t>
  </si>
  <si>
    <t>E04154</t>
  </si>
  <si>
    <t xml:space="preserve">Davis </t>
  </si>
  <si>
    <t xml:space="preserve"> legal</t>
  </si>
  <si>
    <t>$120,948</t>
  </si>
  <si>
    <t>thomas.davis@northfield-hr.com</t>
  </si>
  <si>
    <t>E00469</t>
  </si>
  <si>
    <t>JOSEPH</t>
  </si>
  <si>
    <t>joseph.torres@northfield-hr.com</t>
  </si>
  <si>
    <t>E00158</t>
  </si>
  <si>
    <t>LINDA</t>
  </si>
  <si>
    <t xml:space="preserve">Finanace </t>
  </si>
  <si>
    <t>linda.rodriguez@northfield-hr.com</t>
  </si>
  <si>
    <t>E01296</t>
  </si>
  <si>
    <t>Taylor</t>
  </si>
  <si>
    <t>richard.taylor@northfield-hr.com</t>
  </si>
  <si>
    <t>E00498</t>
  </si>
  <si>
    <t xml:space="preserve">Walker </t>
  </si>
  <si>
    <t xml:space="preserve"> Customer  Support</t>
  </si>
  <si>
    <t xml:space="preserve">  Specialist</t>
  </si>
  <si>
    <t>jessica.walker@northfield-hr.com</t>
  </si>
  <si>
    <t>E02067</t>
  </si>
  <si>
    <t>Elizabeth</t>
  </si>
  <si>
    <t>Sanchez</t>
  </si>
  <si>
    <t xml:space="preserve">OPERATIONS </t>
  </si>
  <si>
    <t xml:space="preserve">vp </t>
  </si>
  <si>
    <t>elizabeth.sanchez@northfield-hr.com</t>
  </si>
  <si>
    <t>E02941</t>
  </si>
  <si>
    <t>NGUYEN</t>
  </si>
  <si>
    <t>elizabeth.nguyen@northfield-hr.com</t>
  </si>
  <si>
    <t>E03457</t>
  </si>
  <si>
    <t xml:space="preserve">  MICHAEL</t>
  </si>
  <si>
    <t>michael.torres@northfield-hr.com</t>
  </si>
  <si>
    <t>E00374</t>
  </si>
  <si>
    <t xml:space="preserve"> ELIZABETH </t>
  </si>
  <si>
    <t xml:space="preserve">Human Resources </t>
  </si>
  <si>
    <t>$52,980</t>
  </si>
  <si>
    <t>elizabeth.ramirez@northfield-hr.com</t>
  </si>
  <si>
    <t>E00080</t>
  </si>
  <si>
    <t>sarah</t>
  </si>
  <si>
    <t xml:space="preserve"> Senior Analyst</t>
  </si>
  <si>
    <t>sarah.ramirez@northfield-hr.com</t>
  </si>
  <si>
    <t>E01554</t>
  </si>
  <si>
    <t xml:space="preserve"> Jones</t>
  </si>
  <si>
    <t xml:space="preserve"> Associate</t>
  </si>
  <si>
    <t>thomas.jones@northfield-hr.com</t>
  </si>
  <si>
    <t>E01670</t>
  </si>
  <si>
    <t>Olga</t>
  </si>
  <si>
    <t xml:space="preserve">LEWIS </t>
  </si>
  <si>
    <t xml:space="preserve"> I.T.</t>
  </si>
  <si>
    <t>olga.lewis@northfield-hr.com</t>
  </si>
  <si>
    <t>E02132</t>
  </si>
  <si>
    <t>miller</t>
  </si>
  <si>
    <t>olga.miller@northfield-hr.com</t>
  </si>
  <si>
    <t>E04440</t>
  </si>
  <si>
    <t xml:space="preserve">ingrid </t>
  </si>
  <si>
    <t>Williams</t>
  </si>
  <si>
    <t>$88,329.82</t>
  </si>
  <si>
    <t>ingrid.williams@northfield-hr.com</t>
  </si>
  <si>
    <t>E00466</t>
  </si>
  <si>
    <t>Aiko</t>
  </si>
  <si>
    <t>Moore</t>
  </si>
  <si>
    <t>R &amp; D</t>
  </si>
  <si>
    <t>$98,330</t>
  </si>
  <si>
    <t>E00249</t>
  </si>
  <si>
    <t xml:space="preserve"> Young</t>
  </si>
  <si>
    <t xml:space="preserve">Associate </t>
  </si>
  <si>
    <t>$48,327</t>
  </si>
  <si>
    <t>barbara.young@northfield-hr.com</t>
  </si>
  <si>
    <t>E00932</t>
  </si>
  <si>
    <t xml:space="preserve"> sarah</t>
  </si>
  <si>
    <t xml:space="preserve">Adams </t>
  </si>
  <si>
    <t>Finance</t>
  </si>
  <si>
    <t>sarah.adams@northfield-hr.com</t>
  </si>
  <si>
    <t>E01336</t>
  </si>
  <si>
    <t xml:space="preserve">Nguyen </t>
  </si>
  <si>
    <t>$40,792</t>
  </si>
  <si>
    <t>michael.nguyen@northfield-hr.com</t>
  </si>
  <si>
    <t>E04525</t>
  </si>
  <si>
    <t xml:space="preserve">AIKO </t>
  </si>
  <si>
    <t>ADAMS</t>
  </si>
  <si>
    <t>aiko.adams@northfield-hr.com</t>
  </si>
  <si>
    <t>E01339</t>
  </si>
  <si>
    <t>mateo.nguyen@northfield-hr.com</t>
  </si>
  <si>
    <t>E01407</t>
  </si>
  <si>
    <t>$212,102</t>
  </si>
  <si>
    <t>priya.garcia@northfield-hr.com</t>
  </si>
  <si>
    <t>E01091</t>
  </si>
  <si>
    <t>ava</t>
  </si>
  <si>
    <t>$54,410.03</t>
  </si>
  <si>
    <t>ava.robinson@northfield-hr.com</t>
  </si>
  <si>
    <t>E04210</t>
  </si>
  <si>
    <t>Young</t>
  </si>
  <si>
    <t>sofia.young@northfield-hr.com</t>
  </si>
  <si>
    <t>E00743</t>
  </si>
  <si>
    <t>JOHNSON</t>
  </si>
  <si>
    <t>$158,804</t>
  </si>
  <si>
    <t>diego.johnson@northfield-hr.com</t>
  </si>
  <si>
    <t>E02324</t>
  </si>
  <si>
    <t>Legal</t>
  </si>
  <si>
    <t>$83,971</t>
  </si>
  <si>
    <t>wei.smith@northfield-hr.com</t>
  </si>
  <si>
    <t>E03602</t>
  </si>
  <si>
    <t>Priya</t>
  </si>
  <si>
    <t>priya.ramirez@northfield-hr.com</t>
  </si>
  <si>
    <t>E02124</t>
  </si>
  <si>
    <t>amara</t>
  </si>
  <si>
    <t xml:space="preserve">Sanchez </t>
  </si>
  <si>
    <t>$77,505.48</t>
  </si>
  <si>
    <t>amara.sanchez@northfield-hr.com</t>
  </si>
  <si>
    <t>E02095</t>
  </si>
  <si>
    <t>Ingrid</t>
  </si>
  <si>
    <t xml:space="preserve">Brown </t>
  </si>
  <si>
    <t>ingrid.brown@northfield-hr.com</t>
  </si>
  <si>
    <t>E00241</t>
  </si>
  <si>
    <t xml:space="preserve"> Ramirez</t>
  </si>
  <si>
    <t>legal</t>
  </si>
  <si>
    <t>$93,532.94</t>
  </si>
  <si>
    <t>jennifer.ramirez@northfield-hr.com</t>
  </si>
  <si>
    <t>E02352</t>
  </si>
  <si>
    <t>$165,895</t>
  </si>
  <si>
    <t>jessica.wright@northfield-hr.com</t>
  </si>
  <si>
    <t>E01371</t>
  </si>
  <si>
    <t>YUKI</t>
  </si>
  <si>
    <t>young</t>
  </si>
  <si>
    <t xml:space="preserve"> SALES</t>
  </si>
  <si>
    <t>SENIOR  MANAGER</t>
  </si>
  <si>
    <t>yuki.young@northfield-hr.com</t>
  </si>
  <si>
    <t>E01058</t>
  </si>
  <si>
    <t>OPERATIONS</t>
  </si>
  <si>
    <t>diego.taylor@northfield-hr.com</t>
  </si>
  <si>
    <t>E01223</t>
  </si>
  <si>
    <t>sarah.gonzalez@northfield-hr.com</t>
  </si>
  <si>
    <t>E00200</t>
  </si>
  <si>
    <t>Sofia</t>
  </si>
  <si>
    <t xml:space="preserve">robinson </t>
  </si>
  <si>
    <t>$52,217.10</t>
  </si>
  <si>
    <t>sofia.robinson@northfield-hr.com</t>
  </si>
  <si>
    <t>E02281</t>
  </si>
  <si>
    <t>adams</t>
  </si>
  <si>
    <t xml:space="preserve"> director</t>
  </si>
  <si>
    <t>$182,419.74</t>
  </si>
  <si>
    <t>mary.adams@northfield-hr.com</t>
  </si>
  <si>
    <t>E02909</t>
  </si>
  <si>
    <t xml:space="preserve">ava </t>
  </si>
  <si>
    <t>ava.adams@northfield-hr.com</t>
  </si>
  <si>
    <t>E02221</t>
  </si>
  <si>
    <t xml:space="preserve">ROBINSON </t>
  </si>
  <si>
    <t>fatima.robinson@northfield-hr.com</t>
  </si>
  <si>
    <t>E03836</t>
  </si>
  <si>
    <t xml:space="preserve">  Jessica</t>
  </si>
  <si>
    <t>jessica.ramirez@northfield-hr.com</t>
  </si>
  <si>
    <t>E02820</t>
  </si>
  <si>
    <t xml:space="preserve">Robinson  </t>
  </si>
  <si>
    <t>Senior  Analyst</t>
  </si>
  <si>
    <t>$97,038.72</t>
  </si>
  <si>
    <t>lucas.robinson@northfield-hr.com</t>
  </si>
  <si>
    <t>E03151</t>
  </si>
  <si>
    <t>ramirez</t>
  </si>
  <si>
    <t>liam.ramirez@northfield-hr.com</t>
  </si>
  <si>
    <t>E04257</t>
  </si>
  <si>
    <t xml:space="preserve">DAVID </t>
  </si>
  <si>
    <t>david.robinson@northfield-hr.com</t>
  </si>
  <si>
    <t>E03108</t>
  </si>
  <si>
    <t>Clark</t>
  </si>
  <si>
    <t>$51,300</t>
  </si>
  <si>
    <t>E01974</t>
  </si>
  <si>
    <t>$54,445</t>
  </si>
  <si>
    <t>jennifer.perez@northfield-hr.com</t>
  </si>
  <si>
    <t>E01376</t>
  </si>
  <si>
    <t>Noah</t>
  </si>
  <si>
    <t>Hernandez</t>
  </si>
  <si>
    <t xml:space="preserve">Vp </t>
  </si>
  <si>
    <t>E03969</t>
  </si>
  <si>
    <t xml:space="preserve">  Sales</t>
  </si>
  <si>
    <t>ava.hill@northfield-hr.com</t>
  </si>
  <si>
    <t>E04063</t>
  </si>
  <si>
    <t xml:space="preserve">Patricia </t>
  </si>
  <si>
    <t xml:space="preserve">MANAGER </t>
  </si>
  <si>
    <t>patricia.torres@northfield-hr.com</t>
  </si>
  <si>
    <t>E04446</t>
  </si>
  <si>
    <t xml:space="preserve">ANALYST </t>
  </si>
  <si>
    <t>john.ramirez@northfield-hr.com</t>
  </si>
  <si>
    <t>E03558</t>
  </si>
  <si>
    <t xml:space="preserve"> NOAH </t>
  </si>
  <si>
    <t>Cust. Support</t>
  </si>
  <si>
    <t>noah.adams@northfield-hr.com</t>
  </si>
  <si>
    <t>E00965</t>
  </si>
  <si>
    <t>KAREN</t>
  </si>
  <si>
    <t>finance</t>
  </si>
  <si>
    <t>karen.young@northfield-hr.com</t>
  </si>
  <si>
    <t>E00180</t>
  </si>
  <si>
    <t>patricia</t>
  </si>
  <si>
    <t>patricia.jackson@northfield-hr.com</t>
  </si>
  <si>
    <t>E03699</t>
  </si>
  <si>
    <t xml:space="preserve"> LOPEZ</t>
  </si>
  <si>
    <t>$72,221</t>
  </si>
  <si>
    <t>sarah.lopez@northfield-hr.com</t>
  </si>
  <si>
    <t>E03822</t>
  </si>
  <si>
    <t>jennifer</t>
  </si>
  <si>
    <t>BROWN</t>
  </si>
  <si>
    <t>$72,730</t>
  </si>
  <si>
    <t>jennifer.brown@northfield-hr.com</t>
  </si>
  <si>
    <t>E03532</t>
  </si>
  <si>
    <t>Linda</t>
  </si>
  <si>
    <t>Lewis</t>
  </si>
  <si>
    <t>human resources</t>
  </si>
  <si>
    <t>$54,700</t>
  </si>
  <si>
    <t>linda.lewis@northfield-hr.com</t>
  </si>
  <si>
    <t>E03900</t>
  </si>
  <si>
    <t>Amara</t>
  </si>
  <si>
    <t xml:space="preserve"> engineering</t>
  </si>
  <si>
    <t>$76,877</t>
  </si>
  <si>
    <t>amara.walker@northfield-hr.com</t>
  </si>
  <si>
    <t>E04488</t>
  </si>
  <si>
    <t xml:space="preserve"> Adams </t>
  </si>
  <si>
    <t xml:space="preserve"> Research &amp; Development </t>
  </si>
  <si>
    <t>$93,968.05</t>
  </si>
  <si>
    <t>amara.adams@northfield-hr.com</t>
  </si>
  <si>
    <t>E03239</t>
  </si>
  <si>
    <t xml:space="preserve"> SARAH</t>
  </si>
  <si>
    <t xml:space="preserve"> Harris</t>
  </si>
  <si>
    <t>sarah.harris@northfield-hr.com</t>
  </si>
  <si>
    <t>E02975</t>
  </si>
  <si>
    <t>thomas</t>
  </si>
  <si>
    <t>E03581</t>
  </si>
  <si>
    <t xml:space="preserve"> joseph</t>
  </si>
  <si>
    <t>$82,509</t>
  </si>
  <si>
    <t>joseph.moore@northfield-hr.com</t>
  </si>
  <si>
    <t>E02888</t>
  </si>
  <si>
    <t>ava.nguyen@northfield-hr.com</t>
  </si>
  <si>
    <t>E02576</t>
  </si>
  <si>
    <t xml:space="preserve">  Operations</t>
  </si>
  <si>
    <t>jennifer.thompson@northfield-hr.com</t>
  </si>
  <si>
    <t>E01420</t>
  </si>
  <si>
    <t xml:space="preserve"> Patricia</t>
  </si>
  <si>
    <t>WRIGHT</t>
  </si>
  <si>
    <t>patricia.wright@northfield-hr.com</t>
  </si>
  <si>
    <t>E03908</t>
  </si>
  <si>
    <t>Brown</t>
  </si>
  <si>
    <t>richard.brown@northfield-hr.com</t>
  </si>
  <si>
    <t>E04674</t>
  </si>
  <si>
    <t>ingrid</t>
  </si>
  <si>
    <t xml:space="preserve">young </t>
  </si>
  <si>
    <t>ingrid.young@northfield-hr.com</t>
  </si>
  <si>
    <t>E04607</t>
  </si>
  <si>
    <t xml:space="preserve"> SPECIALIST </t>
  </si>
  <si>
    <t>david.ramirez@northfield-hr.com</t>
  </si>
  <si>
    <t>E01861</t>
  </si>
  <si>
    <t>Karen</t>
  </si>
  <si>
    <t>White</t>
  </si>
  <si>
    <t xml:space="preserve"> Cust. Support</t>
  </si>
  <si>
    <t>$77,734.55</t>
  </si>
  <si>
    <t>karen.white@northfield-hr.com</t>
  </si>
  <si>
    <t>E00009</t>
  </si>
  <si>
    <t>wilson</t>
  </si>
  <si>
    <t>fatima.wilson@northfield-hr.com</t>
  </si>
  <si>
    <t>E02895</t>
  </si>
  <si>
    <t>JENNIFER</t>
  </si>
  <si>
    <t xml:space="preserve">Jones </t>
  </si>
  <si>
    <t xml:space="preserve">Operatons </t>
  </si>
  <si>
    <t>$46,452</t>
  </si>
  <si>
    <t>jennifer.jones@northfield-hr.com</t>
  </si>
  <si>
    <t>E02848</t>
  </si>
  <si>
    <t xml:space="preserve"> moore</t>
  </si>
  <si>
    <t>$66,508</t>
  </si>
  <si>
    <t>sofia.moore@northfield-hr.com</t>
  </si>
  <si>
    <t>E03665</t>
  </si>
  <si>
    <t>sofia</t>
  </si>
  <si>
    <t>MARTIN</t>
  </si>
  <si>
    <t>sofia.martin@northfield-hr.com</t>
  </si>
  <si>
    <t>E00145</t>
  </si>
  <si>
    <t>$73,619</t>
  </si>
  <si>
    <t>ingrid.hernandez@northfield-hr.com</t>
  </si>
  <si>
    <t>E02105</t>
  </si>
  <si>
    <t xml:space="preserve">SUSAN </t>
  </si>
  <si>
    <t>$127,143</t>
  </si>
  <si>
    <t>susan.lopez@northfield-hr.com</t>
  </si>
  <si>
    <t>E03144</t>
  </si>
  <si>
    <t>scott</t>
  </si>
  <si>
    <t>$48,315</t>
  </si>
  <si>
    <t>michael.scott@northfield-hr.com</t>
  </si>
  <si>
    <t>E00842</t>
  </si>
  <si>
    <t>$95,461</t>
  </si>
  <si>
    <t>liam.torres@northfield-hr.com</t>
  </si>
  <si>
    <t>E01129</t>
  </si>
  <si>
    <t xml:space="preserve"> Lucas</t>
  </si>
  <si>
    <t>thompson</t>
  </si>
  <si>
    <t>lucas.thompson@northfield-hr.com</t>
  </si>
  <si>
    <t>E00152</t>
  </si>
  <si>
    <t xml:space="preserve">Ingrid </t>
  </si>
  <si>
    <t>white</t>
  </si>
  <si>
    <t xml:space="preserve"> Engg</t>
  </si>
  <si>
    <t>$85,578</t>
  </si>
  <si>
    <t>ingrid.white@northfield-hr.com</t>
  </si>
  <si>
    <t>E03592</t>
  </si>
  <si>
    <t>barbara.wright@northfield-hr.com</t>
  </si>
  <si>
    <t>E01053</t>
  </si>
  <si>
    <t>Davis</t>
  </si>
  <si>
    <t xml:space="preserve"> Customer Support</t>
  </si>
  <si>
    <t>$56,462.46</t>
  </si>
  <si>
    <t>sofia.davis@northfield-hr.com</t>
  </si>
  <si>
    <t>E01591</t>
  </si>
  <si>
    <t>martinez</t>
  </si>
  <si>
    <t>liam.martinez@northfield-hr.com</t>
  </si>
  <si>
    <t>E03009</t>
  </si>
  <si>
    <t>lee</t>
  </si>
  <si>
    <t>charles.lee@northfield-hr.com</t>
  </si>
  <si>
    <t>E02030</t>
  </si>
  <si>
    <t>priya</t>
  </si>
  <si>
    <t xml:space="preserve"> Thompson</t>
  </si>
  <si>
    <t>priya.thompson@northfield-hr.com</t>
  </si>
  <si>
    <t>E03419</t>
  </si>
  <si>
    <t>MICHAEL</t>
  </si>
  <si>
    <t xml:space="preserve"> Perez </t>
  </si>
  <si>
    <t>$58,009.35</t>
  </si>
  <si>
    <t>michael.perez@northfield-hr.com</t>
  </si>
  <si>
    <t>E01808</t>
  </si>
  <si>
    <t xml:space="preserve"> White</t>
  </si>
  <si>
    <t>$55,621</t>
  </si>
  <si>
    <t>mateo.white@northfield-hr.com</t>
  </si>
  <si>
    <t>E02697</t>
  </si>
  <si>
    <t xml:space="preserve">SENIOR ANALYST </t>
  </si>
  <si>
    <t>$89,984.41</t>
  </si>
  <si>
    <t>mateo.torres@northfield-hr.com</t>
  </si>
  <si>
    <t>E03040</t>
  </si>
  <si>
    <t>mateo</t>
  </si>
  <si>
    <t xml:space="preserve">  Legal</t>
  </si>
  <si>
    <t>E00473</t>
  </si>
  <si>
    <t>AVA</t>
  </si>
  <si>
    <t>smith</t>
  </si>
  <si>
    <t>ava.smith@northfield-hr.com</t>
  </si>
  <si>
    <t>E03290</t>
  </si>
  <si>
    <t xml:space="preserve">Carlos </t>
  </si>
  <si>
    <t>carlos.ramirez@northfield-hr.com</t>
  </si>
  <si>
    <t>E04075</t>
  </si>
  <si>
    <t xml:space="preserve"> Analyst </t>
  </si>
  <si>
    <t>$78,114</t>
  </si>
  <si>
    <t>olga.ramirez@northfield-hr.com</t>
  </si>
  <si>
    <t>E03497</t>
  </si>
  <si>
    <t xml:space="preserve"> HUMAN RESOURCES</t>
  </si>
  <si>
    <t>$93,583</t>
  </si>
  <si>
    <t>ingrid.thomas@northfield-hr.com</t>
  </si>
  <si>
    <t>E00280</t>
  </si>
  <si>
    <t>Lucas</t>
  </si>
  <si>
    <t>Allen</t>
  </si>
  <si>
    <t>lucas.allen@northfield-hr.com</t>
  </si>
  <si>
    <t>E01742</t>
  </si>
  <si>
    <t>BARBARA</t>
  </si>
  <si>
    <t xml:space="preserve">smith </t>
  </si>
  <si>
    <t>barbara.smith@northfield-hr.com</t>
  </si>
  <si>
    <t>E04625</t>
  </si>
  <si>
    <t xml:space="preserve"> Olga</t>
  </si>
  <si>
    <t>olga.moore@northfield-hr.com</t>
  </si>
  <si>
    <t>E02887</t>
  </si>
  <si>
    <t xml:space="preserve">MATEO </t>
  </si>
  <si>
    <t>$45,611</t>
  </si>
  <si>
    <t>mateo.thompson@northfield-hr.com</t>
  </si>
  <si>
    <t>E01942</t>
  </si>
  <si>
    <t>$40,920</t>
  </si>
  <si>
    <t>mary.wilson@northfield-hr.com</t>
  </si>
  <si>
    <t>E00101</t>
  </si>
  <si>
    <t xml:space="preserve">emma </t>
  </si>
  <si>
    <t>$97,204.87</t>
  </si>
  <si>
    <t>emma.moore@northfield-hr.com</t>
  </si>
  <si>
    <t>E02805</t>
  </si>
  <si>
    <t>EMMA</t>
  </si>
  <si>
    <t>harris</t>
  </si>
  <si>
    <t>emma.harris@northfield-hr.com</t>
  </si>
  <si>
    <t>E03571</t>
  </si>
  <si>
    <t>lewis</t>
  </si>
  <si>
    <t>john.lewis@northfield-hr.com</t>
  </si>
  <si>
    <t>E03685</t>
  </si>
  <si>
    <t>Hiroshi</t>
  </si>
  <si>
    <t>hiroshi.moore@northfield-hr.com</t>
  </si>
  <si>
    <t>E03662</t>
  </si>
  <si>
    <t>emma.martin@northfield-hr.com</t>
  </si>
  <si>
    <t>E00531</t>
  </si>
  <si>
    <t>$81,223</t>
  </si>
  <si>
    <t>karen.clark@northfield-hr.com</t>
  </si>
  <si>
    <t>E01887</t>
  </si>
  <si>
    <t>Susan</t>
  </si>
  <si>
    <t>SENIOR MANAGER</t>
  </si>
  <si>
    <t>$119,523.56</t>
  </si>
  <si>
    <t>susan.gonzalez@northfield-hr.com</t>
  </si>
  <si>
    <t>E00682</t>
  </si>
  <si>
    <t>carlos</t>
  </si>
  <si>
    <t>WHITE</t>
  </si>
  <si>
    <t>$-51,488</t>
  </si>
  <si>
    <t>carlos.white@northfield-hr.com</t>
  </si>
  <si>
    <t>E03795</t>
  </si>
  <si>
    <t>davis</t>
  </si>
  <si>
    <t>$51,998.15</t>
  </si>
  <si>
    <t>linda.davis@northfield-hr.com</t>
  </si>
  <si>
    <t>E03945</t>
  </si>
  <si>
    <t>$93,423.50</t>
  </si>
  <si>
    <t>jennifer.wright@northfield-hr.com</t>
  </si>
  <si>
    <t>E04667</t>
  </si>
  <si>
    <t>Johnson</t>
  </si>
  <si>
    <t xml:space="preserve"> Sales</t>
  </si>
  <si>
    <t>noah.johnson@northfield-hr.com</t>
  </si>
  <si>
    <t>E02019</t>
  </si>
  <si>
    <t>MOHAMMED</t>
  </si>
  <si>
    <t>mohammed.rodriguez@northfield-hr.com</t>
  </si>
  <si>
    <t>E01097</t>
  </si>
  <si>
    <t xml:space="preserve">customer support </t>
  </si>
  <si>
    <t>$58,562.02</t>
  </si>
  <si>
    <t>noah.nguyen@northfield-hr.com</t>
  </si>
  <si>
    <t>E00830</t>
  </si>
  <si>
    <t>ALLEN</t>
  </si>
  <si>
    <t xml:space="preserve">director </t>
  </si>
  <si>
    <t>$113,555</t>
  </si>
  <si>
    <t>hiroshi.allen@northfield-hr.com</t>
  </si>
  <si>
    <t>E02806</t>
  </si>
  <si>
    <t>mohammed</t>
  </si>
  <si>
    <t>$116,330</t>
  </si>
  <si>
    <t>mohammed.nguyen@northfield-hr.com</t>
  </si>
  <si>
    <t>E03830</t>
  </si>
  <si>
    <t xml:space="preserve"> Manager </t>
  </si>
  <si>
    <t>joseph.jones@northfield-hr.com</t>
  </si>
  <si>
    <t>E04382</t>
  </si>
  <si>
    <t xml:space="preserve"> Sarah</t>
  </si>
  <si>
    <t>sarah.lewis@northfield-hr.com</t>
  </si>
  <si>
    <t>E03892</t>
  </si>
  <si>
    <t>michael.lopez@northfield-hr.com</t>
  </si>
  <si>
    <t>E00765</t>
  </si>
  <si>
    <t xml:space="preserve"> SMITH</t>
  </si>
  <si>
    <t>emma.smith@northfield-hr.com</t>
  </si>
  <si>
    <t>E02768</t>
  </si>
  <si>
    <t xml:space="preserve"> DIEGO</t>
  </si>
  <si>
    <t>diego.hernandez@northfield-hr.com</t>
  </si>
  <si>
    <t>E04329</t>
  </si>
  <si>
    <t xml:space="preserve">Mary  </t>
  </si>
  <si>
    <t>mary.wright@northfield-hr.com</t>
  </si>
  <si>
    <t>E03296</t>
  </si>
  <si>
    <t xml:space="preserve"> Liam</t>
  </si>
  <si>
    <t>liam.rodriguez@northfield-hr.com</t>
  </si>
  <si>
    <t>E02195</t>
  </si>
  <si>
    <t>WILSON</t>
  </si>
  <si>
    <t>mohammed.wilson@northfield-hr.com</t>
  </si>
  <si>
    <t>E02358</t>
  </si>
  <si>
    <t>richard</t>
  </si>
  <si>
    <t xml:space="preserve"> WALKER</t>
  </si>
  <si>
    <t xml:space="preserve"> associate </t>
  </si>
  <si>
    <t>richard.walker@northfield-hr.com</t>
  </si>
  <si>
    <t>E03426</t>
  </si>
  <si>
    <t>David</t>
  </si>
  <si>
    <t xml:space="preserve"> VP</t>
  </si>
  <si>
    <t>$131,093</t>
  </si>
  <si>
    <t>david.clark@northfield-hr.com</t>
  </si>
  <si>
    <t>E03980</t>
  </si>
  <si>
    <t xml:space="preserve">SALES </t>
  </si>
  <si>
    <t xml:space="preserve">ASSOCIATE </t>
  </si>
  <si>
    <t>E00912</t>
  </si>
  <si>
    <t>SUSAN</t>
  </si>
  <si>
    <t>$87,644.53</t>
  </si>
  <si>
    <t>susan.moore@northfield-hr.com</t>
  </si>
  <si>
    <t>E03146</t>
  </si>
  <si>
    <t>Information Technology</t>
  </si>
  <si>
    <t>mary.jackson@northfield-hr.com</t>
  </si>
  <si>
    <t>E01000</t>
  </si>
  <si>
    <t>$54,529.24</t>
  </si>
  <si>
    <t>patricia.jones@northfield-hr.com</t>
  </si>
  <si>
    <t>E03654</t>
  </si>
  <si>
    <t>$84,375.00</t>
  </si>
  <si>
    <t>linda.sanchez@northfield-hr.com</t>
  </si>
  <si>
    <t>E02484</t>
  </si>
  <si>
    <t xml:space="preserve">walker </t>
  </si>
  <si>
    <t xml:space="preserve">Information Technology </t>
  </si>
  <si>
    <t>wei.walker@northfield-hr.com</t>
  </si>
  <si>
    <t>E04077</t>
  </si>
  <si>
    <t>diego</t>
  </si>
  <si>
    <t xml:space="preserve"> MOORE</t>
  </si>
  <si>
    <t>$122,259</t>
  </si>
  <si>
    <t>diego.moore@northfield-hr.com</t>
  </si>
  <si>
    <t>E02371</t>
  </si>
  <si>
    <t>James</t>
  </si>
  <si>
    <t>senior  manager</t>
  </si>
  <si>
    <t>james.taylor@northfield-hr.com</t>
  </si>
  <si>
    <t>E01525</t>
  </si>
  <si>
    <t>emma.jackson@northfield-hr.com</t>
  </si>
  <si>
    <t>E00034</t>
  </si>
  <si>
    <t xml:space="preserve"> LEGAL</t>
  </si>
  <si>
    <t>jennifer.thomas@northfield-hr.com</t>
  </si>
  <si>
    <t>E03790</t>
  </si>
  <si>
    <t>liam</t>
  </si>
  <si>
    <t>E01021</t>
  </si>
  <si>
    <t>olga.sanchez@northfield-hr.com</t>
  </si>
  <si>
    <t>E01648</t>
  </si>
  <si>
    <t xml:space="preserve">Joseph </t>
  </si>
  <si>
    <t xml:space="preserve"> Davis </t>
  </si>
  <si>
    <t>$88,537</t>
  </si>
  <si>
    <t>joseph.davis@northfield-hr.com</t>
  </si>
  <si>
    <t>E00734</t>
  </si>
  <si>
    <t xml:space="preserve">patricia </t>
  </si>
  <si>
    <t>patricia.white@northfield-hr.com</t>
  </si>
  <si>
    <t>E04583</t>
  </si>
  <si>
    <t>mateo.robinson@northfield-hr.com</t>
  </si>
  <si>
    <t>E03275</t>
  </si>
  <si>
    <t>priya.wright@northfield-hr.com</t>
  </si>
  <si>
    <t>E01621</t>
  </si>
  <si>
    <t>HARRIS</t>
  </si>
  <si>
    <t>$999,999</t>
  </si>
  <si>
    <t>patricia.harris@northfield-hr.com</t>
  </si>
  <si>
    <t>E03136</t>
  </si>
  <si>
    <t xml:space="preserve"> susan</t>
  </si>
  <si>
    <t>LEE</t>
  </si>
  <si>
    <t xml:space="preserve"> associate</t>
  </si>
  <si>
    <t>susan.lee@northfield-hr.com</t>
  </si>
  <si>
    <t>E02690</t>
  </si>
  <si>
    <t>walker</t>
  </si>
  <si>
    <t xml:space="preserve"> Research &amp; Development</t>
  </si>
  <si>
    <t>yuki.walker@northfield-hr.com</t>
  </si>
  <si>
    <t>E02708</t>
  </si>
  <si>
    <t xml:space="preserve"> IT </t>
  </si>
  <si>
    <t>$72,158</t>
  </si>
  <si>
    <t>patricia.robinson@northfield-hr.com</t>
  </si>
  <si>
    <t>E00298</t>
  </si>
  <si>
    <t>ENGINEERING</t>
  </si>
  <si>
    <t>barbara.williams@northfield-hr.com</t>
  </si>
  <si>
    <t>E02340</t>
  </si>
  <si>
    <t xml:space="preserve"> David</t>
  </si>
  <si>
    <t>david.williams@northfield-hr.com</t>
  </si>
  <si>
    <t>E00654</t>
  </si>
  <si>
    <t xml:space="preserve"> Operations </t>
  </si>
  <si>
    <t>$60,135</t>
  </si>
  <si>
    <t>hiroshi.walker@northfield-hr.com</t>
  </si>
  <si>
    <t>E03775</t>
  </si>
  <si>
    <t>King</t>
  </si>
  <si>
    <t xml:space="preserve">HUMAN RESOURCES </t>
  </si>
  <si>
    <t>$79,863.34</t>
  </si>
  <si>
    <t>richard.king@northfield-hr.com</t>
  </si>
  <si>
    <t>E01256</t>
  </si>
  <si>
    <t>aiko</t>
  </si>
  <si>
    <t>aiko.gonzalez@northfield-hr.com</t>
  </si>
  <si>
    <t>E04521</t>
  </si>
  <si>
    <t>DIRECTOR</t>
  </si>
  <si>
    <t>$119,842.08</t>
  </si>
  <si>
    <t>E00231</t>
  </si>
  <si>
    <t>charles</t>
  </si>
  <si>
    <t>charles.ramirez@northfield-hr.com</t>
  </si>
  <si>
    <t>E03277</t>
  </si>
  <si>
    <t>RICHARD</t>
  </si>
  <si>
    <t>richard.wilson@northfield-hr.com</t>
  </si>
  <si>
    <t>E03231</t>
  </si>
  <si>
    <t>charles.hernandez@northfield-hr.com</t>
  </si>
  <si>
    <t>E00692</t>
  </si>
  <si>
    <t xml:space="preserve"> Anderson </t>
  </si>
  <si>
    <t>wei.anderson@northfield-hr.com</t>
  </si>
  <si>
    <t>E02755</t>
  </si>
  <si>
    <t xml:space="preserve"> Lee</t>
  </si>
  <si>
    <t>aiko.lee@northfield-hr.com</t>
  </si>
  <si>
    <t>E04004</t>
  </si>
  <si>
    <t>SENIOR  ANALYST</t>
  </si>
  <si>
    <t>E00970</t>
  </si>
  <si>
    <t xml:space="preserve"> Martinez</t>
  </si>
  <si>
    <t>$-72,059</t>
  </si>
  <si>
    <t>patricia.martinez@northfield-hr.com</t>
  </si>
  <si>
    <t>E00634</t>
  </si>
  <si>
    <t>fatima.young@northfield-hr.com</t>
  </si>
  <si>
    <t>E04093</t>
  </si>
  <si>
    <t>$103,343.68</t>
  </si>
  <si>
    <t>liam.sanchez@northfield-hr.com</t>
  </si>
  <si>
    <t>E04078</t>
  </si>
  <si>
    <t>$99,891.36</t>
  </si>
  <si>
    <t>michael.johnson@northfield-hr.com</t>
  </si>
  <si>
    <t>E01322</t>
  </si>
  <si>
    <t xml:space="preserve">  Wei</t>
  </si>
  <si>
    <t>wei.martinez@northfield-hr.com</t>
  </si>
  <si>
    <t>E01832</t>
  </si>
  <si>
    <t>Torres</t>
  </si>
  <si>
    <t>thomas.torres@northfield-hr.com</t>
  </si>
  <si>
    <t>E02179</t>
  </si>
  <si>
    <t>$73,562.26</t>
  </si>
  <si>
    <t>diego.jones@northfield-hr.com</t>
  </si>
  <si>
    <t>E01418</t>
  </si>
  <si>
    <t>$81,678</t>
  </si>
  <si>
    <t>james.miller@northfield-hr.com</t>
  </si>
  <si>
    <t>E01783</t>
  </si>
  <si>
    <t>WALKER</t>
  </si>
  <si>
    <t>$92,055.36</t>
  </si>
  <si>
    <t>aiko.walker@northfield-hr.com</t>
  </si>
  <si>
    <t>E03508</t>
  </si>
  <si>
    <t xml:space="preserve"> jessica</t>
  </si>
  <si>
    <t>$39,791</t>
  </si>
  <si>
    <t>E00130</t>
  </si>
  <si>
    <t xml:space="preserve"> Senior Manager </t>
  </si>
  <si>
    <t>lucas.rodriguez@northfield-hr.com</t>
  </si>
  <si>
    <t>E04119</t>
  </si>
  <si>
    <t>liam.thomas@northfield-hr.com</t>
  </si>
  <si>
    <t>E01653</t>
  </si>
  <si>
    <t>CARLOS</t>
  </si>
  <si>
    <t>perez</t>
  </si>
  <si>
    <t>carlos.perez@northfield-hr.com</t>
  </si>
  <si>
    <t>E01484</t>
  </si>
  <si>
    <t>KING</t>
  </si>
  <si>
    <t>$113,616</t>
  </si>
  <si>
    <t>liam.king@northfield-hr.com</t>
  </si>
  <si>
    <t>E02276</t>
  </si>
  <si>
    <t xml:space="preserve"> Hernandez </t>
  </si>
  <si>
    <t>susan.hernandez@northfield-hr.com</t>
  </si>
  <si>
    <t>E00878</t>
  </si>
  <si>
    <t xml:space="preserve">ANDERSON </t>
  </si>
  <si>
    <t>E03526</t>
  </si>
  <si>
    <t xml:space="preserve">carlos </t>
  </si>
  <si>
    <t>carlos.scott@northfield-hr.com</t>
  </si>
  <si>
    <t>E02017</t>
  </si>
  <si>
    <t>$44,759.85</t>
  </si>
  <si>
    <t>E00427</t>
  </si>
  <si>
    <t xml:space="preserve"> lopez</t>
  </si>
  <si>
    <t>ingrid.lopez@northfield-hr.com</t>
  </si>
  <si>
    <t>E00627</t>
  </si>
  <si>
    <t>$92,665.25</t>
  </si>
  <si>
    <t>mohammed.white@northfield-hr.com</t>
  </si>
  <si>
    <t>E01590</t>
  </si>
  <si>
    <t>$126,991</t>
  </si>
  <si>
    <t>sofia.white@northfield-hr.com</t>
  </si>
  <si>
    <t>E02224</t>
  </si>
  <si>
    <t>$48,997.24</t>
  </si>
  <si>
    <t>E02218</t>
  </si>
  <si>
    <t>$59,638.98</t>
  </si>
  <si>
    <t>david.martin@northfield-hr.com</t>
  </si>
  <si>
    <t>E04484</t>
  </si>
  <si>
    <t>$47,867.10</t>
  </si>
  <si>
    <t>sofia.wright@northfield-hr.com</t>
  </si>
  <si>
    <t>E01486</t>
  </si>
  <si>
    <t>Yuki</t>
  </si>
  <si>
    <t>yuki.miller@northfield-hr.com</t>
  </si>
  <si>
    <t>E01740</t>
  </si>
  <si>
    <t>liam.thompson@northfield-hr.com</t>
  </si>
  <si>
    <t>E02481</t>
  </si>
  <si>
    <t>yuki.jackson@northfield-hr.com</t>
  </si>
  <si>
    <t>E02585</t>
  </si>
  <si>
    <t xml:space="preserve"> Miller </t>
  </si>
  <si>
    <t>charles.miller@northfield-hr.com</t>
  </si>
  <si>
    <t>E02894</t>
  </si>
  <si>
    <t>Carlos</t>
  </si>
  <si>
    <t>$55,322</t>
  </si>
  <si>
    <t>E00150</t>
  </si>
  <si>
    <t xml:space="preserve"> DAVID</t>
  </si>
  <si>
    <t xml:space="preserve">miller  </t>
  </si>
  <si>
    <t>$61,772</t>
  </si>
  <si>
    <t>david.miller@northfield-hr.com</t>
  </si>
  <si>
    <t>E00677</t>
  </si>
  <si>
    <t>$42,567</t>
  </si>
  <si>
    <t>lucas.moore@northfield-hr.com</t>
  </si>
  <si>
    <t>E01262</t>
  </si>
  <si>
    <t xml:space="preserve"> RnD</t>
  </si>
  <si>
    <t>john.wilson@northfield-hr.com</t>
  </si>
  <si>
    <t>E03466</t>
  </si>
  <si>
    <t xml:space="preserve">Research &amp; Development </t>
  </si>
  <si>
    <t>elizabeth.hill@northfield-hr.com</t>
  </si>
  <si>
    <t>E00013</t>
  </si>
  <si>
    <t>$121,851.65</t>
  </si>
  <si>
    <t>priya.wilson@northfield-hr.com</t>
  </si>
  <si>
    <t>E01834</t>
  </si>
  <si>
    <t>Fin.</t>
  </si>
  <si>
    <t xml:space="preserve">Director </t>
  </si>
  <si>
    <t>william.torres@northfield-hr.com</t>
  </si>
  <si>
    <t>E03249</t>
  </si>
  <si>
    <t xml:space="preserve">Customer Support </t>
  </si>
  <si>
    <t>Vp</t>
  </si>
  <si>
    <t>olga.johnson@northfield-hr.com</t>
  </si>
  <si>
    <t>E01492</t>
  </si>
  <si>
    <t>JAMES</t>
  </si>
  <si>
    <t>$50,812.77</t>
  </si>
  <si>
    <t>james.clark@northfield-hr.com</t>
  </si>
  <si>
    <t>E02728</t>
  </si>
  <si>
    <t>priya.anderson@northfield-hr.com</t>
  </si>
  <si>
    <t>E03687</t>
  </si>
  <si>
    <t xml:space="preserve"> Associate </t>
  </si>
  <si>
    <t>E01425</t>
  </si>
  <si>
    <t>E04606</t>
  </si>
  <si>
    <t xml:space="preserve">DIRECTOR </t>
  </si>
  <si>
    <t>$100,765</t>
  </si>
  <si>
    <t>mateo.ramirez@northfield-hr.com</t>
  </si>
  <si>
    <t>E04596</t>
  </si>
  <si>
    <t>$48,738.79</t>
  </si>
  <si>
    <t>E00732</t>
  </si>
  <si>
    <t>aiko.young@northfield-hr.com</t>
  </si>
  <si>
    <t>E01232</t>
  </si>
  <si>
    <t>E01635</t>
  </si>
  <si>
    <t xml:space="preserve">Lewis </t>
  </si>
  <si>
    <t>$86,065</t>
  </si>
  <si>
    <t>aiko.lewis@northfield-hr.com</t>
  </si>
  <si>
    <t>E03937</t>
  </si>
  <si>
    <t>TAYLOR</t>
  </si>
  <si>
    <t xml:space="preserve">HR </t>
  </si>
  <si>
    <t>$106,942</t>
  </si>
  <si>
    <t>olga.taylor@northfield-hr.com</t>
  </si>
  <si>
    <t>E01211</t>
  </si>
  <si>
    <t>$109,895.84</t>
  </si>
  <si>
    <t>priya.thomas@northfield-hr.com</t>
  </si>
  <si>
    <t>E03269</t>
  </si>
  <si>
    <t>AMARA</t>
  </si>
  <si>
    <t xml:space="preserve">HERNANDEZ </t>
  </si>
  <si>
    <t>$51,047</t>
  </si>
  <si>
    <t>amara.hernandez@northfield-hr.com</t>
  </si>
  <si>
    <t>E01935</t>
  </si>
  <si>
    <t>$81,502</t>
  </si>
  <si>
    <t>sarah.moore@northfield-hr.com</t>
  </si>
  <si>
    <t>E00554</t>
  </si>
  <si>
    <t xml:space="preserve">Charles </t>
  </si>
  <si>
    <t xml:space="preserve"> Enginering</t>
  </si>
  <si>
    <t xml:space="preserve"> MANAGER</t>
  </si>
  <si>
    <t>charles.white@northfield-hr.com</t>
  </si>
  <si>
    <t>E00492</t>
  </si>
  <si>
    <t>E02963</t>
  </si>
  <si>
    <t xml:space="preserve"> marketing</t>
  </si>
  <si>
    <t>$45,311.98</t>
  </si>
  <si>
    <t>robert.lee@northfield-hr.com</t>
  </si>
  <si>
    <t>E02330</t>
  </si>
  <si>
    <t xml:space="preserve">John </t>
  </si>
  <si>
    <t>$64,240</t>
  </si>
  <si>
    <t>john.miller@northfield-hr.com</t>
  </si>
  <si>
    <t>E02196</t>
  </si>
  <si>
    <t>joseph.harris@northfield-hr.com</t>
  </si>
  <si>
    <t>E03065</t>
  </si>
  <si>
    <t>$88,797.22</t>
  </si>
  <si>
    <t>E00658</t>
  </si>
  <si>
    <t>E02375</t>
  </si>
  <si>
    <t>WILLIAM</t>
  </si>
  <si>
    <t xml:space="preserve">JOHNSON </t>
  </si>
  <si>
    <t xml:space="preserve">Finance  </t>
  </si>
  <si>
    <t>$65,324</t>
  </si>
  <si>
    <t>william.johnson@northfield-hr.com</t>
  </si>
  <si>
    <t>E02226</t>
  </si>
  <si>
    <t>$84,707.52</t>
  </si>
  <si>
    <t>carlos.brown@northfield-hr.com</t>
  </si>
  <si>
    <t>E04265</t>
  </si>
  <si>
    <t xml:space="preserve">diego </t>
  </si>
  <si>
    <t xml:space="preserve"> walker</t>
  </si>
  <si>
    <t>diego.walker@northfield-hr.com</t>
  </si>
  <si>
    <t>E01171</t>
  </si>
  <si>
    <t xml:space="preserve"> Gonzalez</t>
  </si>
  <si>
    <t xml:space="preserve"> Sales </t>
  </si>
  <si>
    <t>$58,339</t>
  </si>
  <si>
    <t>carlos.gonzalez@northfield-hr.com</t>
  </si>
  <si>
    <t>E00133</t>
  </si>
  <si>
    <t xml:space="preserve">manager </t>
  </si>
  <si>
    <t>$133,742</t>
  </si>
  <si>
    <t>aiko.robinson@northfield-hr.com</t>
  </si>
  <si>
    <t>E00472</t>
  </si>
  <si>
    <t xml:space="preserve">Cust. Support </t>
  </si>
  <si>
    <t>E03226</t>
  </si>
  <si>
    <t>PEREZ</t>
  </si>
  <si>
    <t>Senior  Manager</t>
  </si>
  <si>
    <t>$143,791</t>
  </si>
  <si>
    <t>sofia.perez@northfield-hr.com</t>
  </si>
  <si>
    <t>E01406</t>
  </si>
  <si>
    <t>$137,899.69</t>
  </si>
  <si>
    <t>susan.wright@northfield-hr.com</t>
  </si>
  <si>
    <t>E02877</t>
  </si>
  <si>
    <t>MATEO</t>
  </si>
  <si>
    <t xml:space="preserve"> research &amp; development</t>
  </si>
  <si>
    <t xml:space="preserve"> ANALYST</t>
  </si>
  <si>
    <t>$98,014.70</t>
  </si>
  <si>
    <t>mateo.adams@northfield-hr.com</t>
  </si>
  <si>
    <t>E04505</t>
  </si>
  <si>
    <t xml:space="preserve">thomas  </t>
  </si>
  <si>
    <t>E04693</t>
  </si>
  <si>
    <t xml:space="preserve">Sarah </t>
  </si>
  <si>
    <t>sarah.lee@northfield-hr.com</t>
  </si>
  <si>
    <t>E02827</t>
  </si>
  <si>
    <t>$75,203.97</t>
  </si>
  <si>
    <t>john.martin@northfield-hr.com</t>
  </si>
  <si>
    <t>E00288</t>
  </si>
  <si>
    <t>richard.thomas@northfield-hr.com</t>
  </si>
  <si>
    <t>E01870</t>
  </si>
  <si>
    <t>olga.martinez@northfield-hr.com</t>
  </si>
  <si>
    <t>E03115</t>
  </si>
  <si>
    <t>$103,968.73</t>
  </si>
  <si>
    <t>lucas.king@northfield-hr.com</t>
  </si>
  <si>
    <t>E03626</t>
  </si>
  <si>
    <t xml:space="preserve">CLARK </t>
  </si>
  <si>
    <t>$74,194</t>
  </si>
  <si>
    <t>amara.clark@northfield-hr.com</t>
  </si>
  <si>
    <t>E02313</t>
  </si>
  <si>
    <t>$39,494.41</t>
  </si>
  <si>
    <t>elizabeth.wilson@northfield-hr.com</t>
  </si>
  <si>
    <t>E04335</t>
  </si>
  <si>
    <t>Mohammed</t>
  </si>
  <si>
    <t>$131,324</t>
  </si>
  <si>
    <t>E01619</t>
  </si>
  <si>
    <t xml:space="preserve">Ramirez </t>
  </si>
  <si>
    <t>fatima.ramirez@northfield-hr.com</t>
  </si>
  <si>
    <t>E00995</t>
  </si>
  <si>
    <t xml:space="preserve"> amara</t>
  </si>
  <si>
    <t>MILLER</t>
  </si>
  <si>
    <t>$81,112.27</t>
  </si>
  <si>
    <t>amara.miller@northfield-hr.com</t>
  </si>
  <si>
    <t>E01804</t>
  </si>
  <si>
    <t xml:space="preserve">charles </t>
  </si>
  <si>
    <t xml:space="preserve">Hill </t>
  </si>
  <si>
    <t>$46,224.26</t>
  </si>
  <si>
    <t>charles.hill@northfield-hr.com</t>
  </si>
  <si>
    <t>E02643</t>
  </si>
  <si>
    <t xml:space="preserve"> mary</t>
  </si>
  <si>
    <t xml:space="preserve">Miller </t>
  </si>
  <si>
    <t>mary.miller@northfield-hr.com</t>
  </si>
  <si>
    <t>E03001</t>
  </si>
  <si>
    <t>ava.johnson@northfield-hr.com</t>
  </si>
  <si>
    <t>E03536</t>
  </si>
  <si>
    <t>$55,262</t>
  </si>
  <si>
    <t>priya.lee@northfield-hr.com</t>
  </si>
  <si>
    <t>E02709</t>
  </si>
  <si>
    <t>hernandez</t>
  </si>
  <si>
    <t>lucas.hernandez@northfield-hr.com</t>
  </si>
  <si>
    <t>E03912</t>
  </si>
  <si>
    <t xml:space="preserve">moore </t>
  </si>
  <si>
    <t>E02108</t>
  </si>
  <si>
    <t>$89,574.81</t>
  </si>
  <si>
    <t>james.wilson@northfield-hr.com</t>
  </si>
  <si>
    <t>E03045</t>
  </si>
  <si>
    <t>$101,858.75</t>
  </si>
  <si>
    <t>mohammed.king@northfield-hr.com</t>
  </si>
  <si>
    <t>E00417</t>
  </si>
  <si>
    <t xml:space="preserve"> Coordinator</t>
  </si>
  <si>
    <t>ava.jones@northfield-hr.com</t>
  </si>
  <si>
    <t>E00978</t>
  </si>
  <si>
    <t xml:space="preserve">DAVIS </t>
  </si>
  <si>
    <t>john.davis@northfield-hr.com</t>
  </si>
  <si>
    <t>E02418</t>
  </si>
  <si>
    <t>chidi.thomas@northfield-hr.com</t>
  </si>
  <si>
    <t>E00506</t>
  </si>
  <si>
    <t xml:space="preserve">Specialist </t>
  </si>
  <si>
    <t>$53,058.79</t>
  </si>
  <si>
    <t>ava.williams@northfield-hr.com</t>
  </si>
  <si>
    <t>E04153</t>
  </si>
  <si>
    <t>lucas.miller@northfield-hr.com</t>
  </si>
  <si>
    <t>E04256</t>
  </si>
  <si>
    <t xml:space="preserve"> Rodriguez</t>
  </si>
  <si>
    <t>yuki.rodriguez@northfield-hr.com</t>
  </si>
  <si>
    <t>E03942</t>
  </si>
  <si>
    <t>E00415</t>
  </si>
  <si>
    <t xml:space="preserve"> HR</t>
  </si>
  <si>
    <t>jennifer.miller@northfield-hr.com</t>
  </si>
  <si>
    <t>E04149</t>
  </si>
  <si>
    <t xml:space="preserve">miller </t>
  </si>
  <si>
    <t>thomas.miller@northfield-hr.com</t>
  </si>
  <si>
    <t>E01184</t>
  </si>
  <si>
    <t>jessica</t>
  </si>
  <si>
    <t>jessica.miller@northfield-hr.com</t>
  </si>
  <si>
    <t>E00486</t>
  </si>
  <si>
    <t>priya.taylor@northfield-hr.com</t>
  </si>
  <si>
    <t>E00894</t>
  </si>
  <si>
    <t>YOUNG</t>
  </si>
  <si>
    <t xml:space="preserve">marketing </t>
  </si>
  <si>
    <t>E00806</t>
  </si>
  <si>
    <t>$39,847.53</t>
  </si>
  <si>
    <t>sarah.perez@northfield-hr.com</t>
  </si>
  <si>
    <t>E00556</t>
  </si>
  <si>
    <t xml:space="preserve"> yuki</t>
  </si>
  <si>
    <t>$125,555.04</t>
  </si>
  <si>
    <t>yuki.moore@northfield-hr.com</t>
  </si>
  <si>
    <t>E03826</t>
  </si>
  <si>
    <t xml:space="preserve">Yuki </t>
  </si>
  <si>
    <t xml:space="preserve"> anderson </t>
  </si>
  <si>
    <t>yuki.anderson@northfield-hr.com</t>
  </si>
  <si>
    <t>E01198</t>
  </si>
  <si>
    <t>GONZALEZ</t>
  </si>
  <si>
    <t>wei.gonzalez@northfield-hr.com</t>
  </si>
  <si>
    <t>E04254</t>
  </si>
  <si>
    <t>mary.martinez@northfield-hr.com</t>
  </si>
  <si>
    <t>E04059</t>
  </si>
  <si>
    <t xml:space="preserve">susan </t>
  </si>
  <si>
    <t>garcia</t>
  </si>
  <si>
    <t>susan.garcia@northfield-hr.com</t>
  </si>
  <si>
    <t>E01294</t>
  </si>
  <si>
    <t xml:space="preserve"> ASSOCIATE</t>
  </si>
  <si>
    <t>carlos.lopez@northfield-hr.com</t>
  </si>
  <si>
    <t>E02222</t>
  </si>
  <si>
    <t>allen</t>
  </si>
  <si>
    <t>fatima.allen@northfield-hr.com</t>
  </si>
  <si>
    <t>E03505</t>
  </si>
  <si>
    <t>E03655</t>
  </si>
  <si>
    <t xml:space="preserve"> Jessica</t>
  </si>
  <si>
    <t xml:space="preserve"> Jackson</t>
  </si>
  <si>
    <t>jessica.jackson@northfield-hr.com</t>
  </si>
  <si>
    <t>E02060</t>
  </si>
  <si>
    <t>patricia.adams@northfield-hr.com</t>
  </si>
  <si>
    <t>E03007</t>
  </si>
  <si>
    <t xml:space="preserve">Barbara </t>
  </si>
  <si>
    <t xml:space="preserve">LOPEZ </t>
  </si>
  <si>
    <t>barbara.lopez@northfield-hr.com</t>
  </si>
  <si>
    <t>E02094</t>
  </si>
  <si>
    <t xml:space="preserve">thompson  </t>
  </si>
  <si>
    <t>$58,564.75</t>
  </si>
  <si>
    <t>carlos.thompson@northfield-hr.com</t>
  </si>
  <si>
    <t>E02188</t>
  </si>
  <si>
    <t>yuki</t>
  </si>
  <si>
    <t>E03037</t>
  </si>
  <si>
    <t>charles.harris@northfield-hr.com</t>
  </si>
  <si>
    <t>E03919</t>
  </si>
  <si>
    <t>james.thomas@northfield-hr.com</t>
  </si>
  <si>
    <t>E01273</t>
  </si>
  <si>
    <t>JONES</t>
  </si>
  <si>
    <t>$65,976</t>
  </si>
  <si>
    <t>sofia.jones@northfield-hr.com</t>
  </si>
  <si>
    <t>E00291</t>
  </si>
  <si>
    <t xml:space="preserve">GARCIA </t>
  </si>
  <si>
    <t>$87,815.32</t>
  </si>
  <si>
    <t>charles.garcia@northfield-hr.com</t>
  </si>
  <si>
    <t>E00907</t>
  </si>
  <si>
    <t xml:space="preserve"> jackson</t>
  </si>
  <si>
    <t>$55,997</t>
  </si>
  <si>
    <t>amara.jackson@northfield-hr.com</t>
  </si>
  <si>
    <t>E00253</t>
  </si>
  <si>
    <t>lucas</t>
  </si>
  <si>
    <t>lucas.anderson@northfield-hr.com</t>
  </si>
  <si>
    <t>E03246</t>
  </si>
  <si>
    <t xml:space="preserve"> emma</t>
  </si>
  <si>
    <t>emma.hernandez@northfield-hr.com</t>
  </si>
  <si>
    <t>E00351</t>
  </si>
  <si>
    <t>chidi</t>
  </si>
  <si>
    <t>chidi.walker@northfield-hr.com</t>
  </si>
  <si>
    <t>E01188</t>
  </si>
  <si>
    <t>Scott</t>
  </si>
  <si>
    <t xml:space="preserve">associate  </t>
  </si>
  <si>
    <t>$57,411</t>
  </si>
  <si>
    <t>patricia.scott@northfield-hr.com</t>
  </si>
  <si>
    <t>E01962</t>
  </si>
  <si>
    <t>hiroshi</t>
  </si>
  <si>
    <t>E00423</t>
  </si>
  <si>
    <t>jackson</t>
  </si>
  <si>
    <t xml:space="preserve"> R &amp; D</t>
  </si>
  <si>
    <t>$99,305</t>
  </si>
  <si>
    <t>diego.jackson@northfield-hr.com</t>
  </si>
  <si>
    <t>E00091</t>
  </si>
  <si>
    <t>carlos.jones@northfield-hr.com</t>
  </si>
  <si>
    <t>E03730</t>
  </si>
  <si>
    <t>fatima.gonzalez@northfield-hr.com</t>
  </si>
  <si>
    <t>E02237</t>
  </si>
  <si>
    <t>$97,337</t>
  </si>
  <si>
    <t>E00671</t>
  </si>
  <si>
    <t>E03041</t>
  </si>
  <si>
    <t>$43,157</t>
  </si>
  <si>
    <t>emma.wright@northfield-hr.com</t>
  </si>
  <si>
    <t>E00027</t>
  </si>
  <si>
    <t xml:space="preserve">AMARA </t>
  </si>
  <si>
    <t xml:space="preserve">scott </t>
  </si>
  <si>
    <t>amara.scott@northfield-hr.com</t>
  </si>
  <si>
    <t>E00430</t>
  </si>
  <si>
    <t>karen</t>
  </si>
  <si>
    <t>karen.garcia@northfield-hr.com</t>
  </si>
  <si>
    <t>E00684</t>
  </si>
  <si>
    <t>$77,829.62</t>
  </si>
  <si>
    <t>richard.martinez@northfield-hr.com</t>
  </si>
  <si>
    <t>E04464</t>
  </si>
  <si>
    <t>$67,784</t>
  </si>
  <si>
    <t>hiroshi.brown@northfield-hr.com</t>
  </si>
  <si>
    <t>E03946</t>
  </si>
  <si>
    <t>$60,800</t>
  </si>
  <si>
    <t>ava.perez@northfield-hr.com</t>
  </si>
  <si>
    <t>E03524</t>
  </si>
  <si>
    <t xml:space="preserve"> mateo</t>
  </si>
  <si>
    <t>mateo.sanchez@northfield-hr.com</t>
  </si>
  <si>
    <t>E01542</t>
  </si>
  <si>
    <t xml:space="preserve">Chidi </t>
  </si>
  <si>
    <t>$124,878.42</t>
  </si>
  <si>
    <t>chidi.miller@northfield-hr.com</t>
  </si>
  <si>
    <t>E02032</t>
  </si>
  <si>
    <t xml:space="preserve"> Charles</t>
  </si>
  <si>
    <t>$62,827.05</t>
  </si>
  <si>
    <t>charles.martin@northfield-hr.com</t>
  </si>
  <si>
    <t>E02233</t>
  </si>
  <si>
    <t>emma.perez@northfield-hr.com</t>
  </si>
  <si>
    <t>E04121</t>
  </si>
  <si>
    <t xml:space="preserve">lee </t>
  </si>
  <si>
    <t>jennifer.lee@northfield-hr.com</t>
  </si>
  <si>
    <t>E03236</t>
  </si>
  <si>
    <t>$89,518.28</t>
  </si>
  <si>
    <t>E00255</t>
  </si>
  <si>
    <t xml:space="preserve"> JONES</t>
  </si>
  <si>
    <t>E01030</t>
  </si>
  <si>
    <t>karen.jones@northfield-hr.com</t>
  </si>
  <si>
    <t>E04393</t>
  </si>
  <si>
    <t xml:space="preserve"> Amara</t>
  </si>
  <si>
    <t>$70,849.05</t>
  </si>
  <si>
    <t>amara.nguyen@northfield-hr.com</t>
  </si>
  <si>
    <t>E03801</t>
  </si>
  <si>
    <t xml:space="preserve"> mohammed</t>
  </si>
  <si>
    <t>SANCHEZ</t>
  </si>
  <si>
    <t>$101,839</t>
  </si>
  <si>
    <t>mohammed.sanchez@northfield-hr.com</t>
  </si>
  <si>
    <t>E04311</t>
  </si>
  <si>
    <t xml:space="preserve"> senior manager</t>
  </si>
  <si>
    <t>$109,605</t>
  </si>
  <si>
    <t>E02510</t>
  </si>
  <si>
    <t>noah.jackson@northfield-hr.com</t>
  </si>
  <si>
    <t>E02293</t>
  </si>
  <si>
    <t>E01324</t>
  </si>
  <si>
    <t>$221,241.93</t>
  </si>
  <si>
    <t>E01551</t>
  </si>
  <si>
    <t>E04648</t>
  </si>
  <si>
    <t>$100,593</t>
  </si>
  <si>
    <t>priya.martin@northfield-hr.com</t>
  </si>
  <si>
    <t>E00316</t>
  </si>
  <si>
    <t xml:space="preserve"> Ops</t>
  </si>
  <si>
    <t>E01243</t>
  </si>
  <si>
    <t xml:space="preserve">  CLARK</t>
  </si>
  <si>
    <t>$67,113.69</t>
  </si>
  <si>
    <t>E02451</t>
  </si>
  <si>
    <t xml:space="preserve">THOMAS </t>
  </si>
  <si>
    <t>E01579</t>
  </si>
  <si>
    <t>$92,714</t>
  </si>
  <si>
    <t>david.adams@northfield-hr.com</t>
  </si>
  <si>
    <t>E04626</t>
  </si>
  <si>
    <t>$98,225.23</t>
  </si>
  <si>
    <t>susan.brown@northfield-hr.com</t>
  </si>
  <si>
    <t>E03117</t>
  </si>
  <si>
    <t xml:space="preserve"> Chidi </t>
  </si>
  <si>
    <t xml:space="preserve">Rodriguez </t>
  </si>
  <si>
    <t>$42,564</t>
  </si>
  <si>
    <t>chidi.rodriguez@northfield-hr.com</t>
  </si>
  <si>
    <t>E00070</t>
  </si>
  <si>
    <t xml:space="preserve">Michael </t>
  </si>
  <si>
    <t>E00860</t>
  </si>
  <si>
    <t>E02754</t>
  </si>
  <si>
    <t xml:space="preserve">James </t>
  </si>
  <si>
    <t>E01633</t>
  </si>
  <si>
    <t xml:space="preserve">Mary </t>
  </si>
  <si>
    <t>$96,055</t>
  </si>
  <si>
    <t>mary.young@northfield-hr.com</t>
  </si>
  <si>
    <t>E01651</t>
  </si>
  <si>
    <t>lucas.lewis@northfield-hr.com</t>
  </si>
  <si>
    <t>E03861</t>
  </si>
  <si>
    <t xml:space="preserve">Scott </t>
  </si>
  <si>
    <t>$55,032.01</t>
  </si>
  <si>
    <t>liam.scott@northfield-hr.com</t>
  </si>
  <si>
    <t>E03107</t>
  </si>
  <si>
    <t xml:space="preserve">Karen </t>
  </si>
  <si>
    <t>karen.lewis@northfield-hr.com</t>
  </si>
  <si>
    <t>E01075</t>
  </si>
  <si>
    <t>JACKSON</t>
  </si>
  <si>
    <t>E04002</t>
  </si>
  <si>
    <t>E00788</t>
  </si>
  <si>
    <t>noah.sanchez@northfield-hr.com</t>
  </si>
  <si>
    <t>E02606</t>
  </si>
  <si>
    <t>mohammed.lopez@northfield-hr.com</t>
  </si>
  <si>
    <t>E03631</t>
  </si>
  <si>
    <t>mary.clark@northfield-hr.com</t>
  </si>
  <si>
    <t>E02122</t>
  </si>
  <si>
    <t xml:space="preserve"> Jennifer</t>
  </si>
  <si>
    <t>jennifer.hill@northfield-hr.com</t>
  </si>
  <si>
    <t>E01875</t>
  </si>
  <si>
    <t>$87,361.80</t>
  </si>
  <si>
    <t>mary.rodriguez@northfield-hr.com</t>
  </si>
  <si>
    <t>E00812</t>
  </si>
  <si>
    <t>$57,971</t>
  </si>
  <si>
    <t>wei.thompson@northfield-hr.com</t>
  </si>
  <si>
    <t>E00388</t>
  </si>
  <si>
    <t>emma</t>
  </si>
  <si>
    <t>$80,305</t>
  </si>
  <si>
    <t>emma.davis@northfield-hr.com</t>
  </si>
  <si>
    <t>E02883</t>
  </si>
  <si>
    <t xml:space="preserve">JOSEPH </t>
  </si>
  <si>
    <t>brown</t>
  </si>
  <si>
    <t>joseph.brown@northfield-hr.com</t>
  </si>
  <si>
    <t>E01176</t>
  </si>
  <si>
    <t>rodriguez</t>
  </si>
  <si>
    <t>john.rodriguez@northfield-hr.com</t>
  </si>
  <si>
    <t>E03198</t>
  </si>
  <si>
    <t xml:space="preserve">ALLEN  </t>
  </si>
  <si>
    <t>$72,366</t>
  </si>
  <si>
    <t>charles.allen@northfield-hr.com</t>
  </si>
  <si>
    <t>E02624</t>
  </si>
  <si>
    <t>mohammed.harris@northfield-hr.com</t>
  </si>
  <si>
    <t>E01352</t>
  </si>
  <si>
    <t>wei.garcia@northfield-hr.com</t>
  </si>
  <si>
    <t>E00411</t>
  </si>
  <si>
    <t>E04213</t>
  </si>
  <si>
    <t xml:space="preserve">human resources </t>
  </si>
  <si>
    <t>hiroshi.nguyen@northfield-hr.com</t>
  </si>
  <si>
    <t>E00110</t>
  </si>
  <si>
    <t>$226,067.40</t>
  </si>
  <si>
    <t>karen.torres@northfield-hr.com</t>
  </si>
  <si>
    <t>E02083</t>
  </si>
  <si>
    <t>HILL</t>
  </si>
  <si>
    <t>priya.hill@northfield-hr.com</t>
  </si>
  <si>
    <t>E03430</t>
  </si>
  <si>
    <t>$55,607.01</t>
  </si>
  <si>
    <t>robert.sanchez@northfield-hr.com</t>
  </si>
  <si>
    <t>E02810</t>
  </si>
  <si>
    <t>yuki.martin@northfield-hr.com</t>
  </si>
  <si>
    <t>E02595</t>
  </si>
  <si>
    <t xml:space="preserve">Legal </t>
  </si>
  <si>
    <t>john.wright@northfield-hr.com</t>
  </si>
  <si>
    <t>E02837</t>
  </si>
  <si>
    <t>robert.allen@northfield-hr.com</t>
  </si>
  <si>
    <t>E02373</t>
  </si>
  <si>
    <t>john.sanchez@northfield-hr.com</t>
  </si>
  <si>
    <t>E01236</t>
  </si>
  <si>
    <t>$58,635</t>
  </si>
  <si>
    <t>joseph.jackson@northfield-hr.com</t>
  </si>
  <si>
    <t>E02147</t>
  </si>
  <si>
    <t xml:space="preserve">SPECIALIST </t>
  </si>
  <si>
    <t>liam.davis@northfield-hr.com</t>
  </si>
  <si>
    <t>E02254</t>
  </si>
  <si>
    <t>elizabeth.miller@northfield-hr.com</t>
  </si>
  <si>
    <t>E00600</t>
  </si>
  <si>
    <t xml:space="preserve">Priya </t>
  </si>
  <si>
    <t>priya.harris@northfield-hr.com</t>
  </si>
  <si>
    <t>E01435</t>
  </si>
  <si>
    <t>THOMPSON</t>
  </si>
  <si>
    <t>$148,596.92</t>
  </si>
  <si>
    <t>patricia.thompson@northfield-hr.com</t>
  </si>
  <si>
    <t>E04192</t>
  </si>
  <si>
    <t xml:space="preserve"> Legall</t>
  </si>
  <si>
    <t>mohammed.scott@northfield-hr.com</t>
  </si>
  <si>
    <t>E00539</t>
  </si>
  <si>
    <t xml:space="preserve">IT  </t>
  </si>
  <si>
    <t>priya.king@northfield-hr.com</t>
  </si>
  <si>
    <t>E00722</t>
  </si>
  <si>
    <t>michael.rodriguez@northfield-hr.com</t>
  </si>
  <si>
    <t>E04411</t>
  </si>
  <si>
    <t xml:space="preserve"> Anderson</t>
  </si>
  <si>
    <t>$91,969</t>
  </si>
  <si>
    <t>jennifer.anderson@northfield-hr.com</t>
  </si>
  <si>
    <t>E01873</t>
  </si>
  <si>
    <t>carlos.lewis@northfield-hr.com</t>
  </si>
  <si>
    <t>E02846</t>
  </si>
  <si>
    <t>yuki.perez@northfield-hr.com</t>
  </si>
  <si>
    <t>E02054</t>
  </si>
  <si>
    <t xml:space="preserve"> Coordinator </t>
  </si>
  <si>
    <t>sofia.hill@northfield-hr.com</t>
  </si>
  <si>
    <t>E02908</t>
  </si>
  <si>
    <t xml:space="preserve"> Robinson</t>
  </si>
  <si>
    <t>liam.robinson@northfield-hr.com</t>
  </si>
  <si>
    <t>E02255</t>
  </si>
  <si>
    <t xml:space="preserve"> Fin.</t>
  </si>
  <si>
    <t>priya.nguyen@northfield-hr.com</t>
  </si>
  <si>
    <t>E03913</t>
  </si>
  <si>
    <t>$82,390.52</t>
  </si>
  <si>
    <t>E00178</t>
  </si>
  <si>
    <t>carlos.rodriguez@northfield-hr.com</t>
  </si>
  <si>
    <t>E02891</t>
  </si>
  <si>
    <t>linda.wilson@northfield-hr.com</t>
  </si>
  <si>
    <t>E03674</t>
  </si>
  <si>
    <t>E00081</t>
  </si>
  <si>
    <t>$44,257</t>
  </si>
  <si>
    <t>emma.rodriguez@northfield-hr.com</t>
  </si>
  <si>
    <t>E02562</t>
  </si>
  <si>
    <t>karen.adams@northfield-hr.com</t>
  </si>
  <si>
    <t>E01724</t>
  </si>
  <si>
    <t xml:space="preserve"> Mateo</t>
  </si>
  <si>
    <t>mateo.wilson@northfield-hr.com</t>
  </si>
  <si>
    <t>E01618</t>
  </si>
  <si>
    <t xml:space="preserve">Moore </t>
  </si>
  <si>
    <t>david.moore@northfield-hr.com</t>
  </si>
  <si>
    <t>E01655</t>
  </si>
  <si>
    <t>E02329</t>
  </si>
  <si>
    <t>$60,436.13</t>
  </si>
  <si>
    <t>david.anderson@northfield-hr.com</t>
  </si>
  <si>
    <t>E04614</t>
  </si>
  <si>
    <t>$47,361</t>
  </si>
  <si>
    <t>E00222</t>
  </si>
  <si>
    <t>E00094</t>
  </si>
  <si>
    <t>$-52,308</t>
  </si>
  <si>
    <t>amara.moore@northfield-hr.com</t>
  </si>
  <si>
    <t>E02610</t>
  </si>
  <si>
    <t>E03383</t>
  </si>
  <si>
    <t>Lee</t>
  </si>
  <si>
    <t>sofia.lee@northfield-hr.com</t>
  </si>
  <si>
    <t>E04416</t>
  </si>
  <si>
    <t>john.king@northfield-hr.com</t>
  </si>
  <si>
    <t>E01398</t>
  </si>
  <si>
    <t xml:space="preserve">  JOHN</t>
  </si>
  <si>
    <t>john.walker@northfield-hr.com</t>
  </si>
  <si>
    <t>E04687</t>
  </si>
  <si>
    <t xml:space="preserve">Wright </t>
  </si>
  <si>
    <t>$53,166.62</t>
  </si>
  <si>
    <t>E01293</t>
  </si>
  <si>
    <t>john.clark@northfield-hr.com</t>
  </si>
  <si>
    <t>E02165</t>
  </si>
  <si>
    <t xml:space="preserve">RODRIGUEZ  </t>
  </si>
  <si>
    <t>$144,721</t>
  </si>
  <si>
    <t>joseph.rodriguez@northfield-hr.com</t>
  </si>
  <si>
    <t>E02940</t>
  </si>
  <si>
    <t>charles.davis@northfield-hr.com</t>
  </si>
  <si>
    <t>E03669</t>
  </si>
  <si>
    <t>$76,276.13</t>
  </si>
  <si>
    <t>priya.lopez@northfield-hr.com</t>
  </si>
  <si>
    <t>E00813</t>
  </si>
  <si>
    <t xml:space="preserve"> Thomas</t>
  </si>
  <si>
    <t xml:space="preserve">coordinator </t>
  </si>
  <si>
    <t>E01259</t>
  </si>
  <si>
    <t xml:space="preserve"> Richard</t>
  </si>
  <si>
    <t>richard.adams@northfield-hr.com</t>
  </si>
  <si>
    <t>E00890</t>
  </si>
  <si>
    <t xml:space="preserve"> james</t>
  </si>
  <si>
    <t>james.harris@northfield-hr.com</t>
  </si>
  <si>
    <t>E01452</t>
  </si>
  <si>
    <t>priya.sanchez@northfield-hr.com</t>
  </si>
  <si>
    <t>E03317</t>
  </si>
  <si>
    <t>fatima.clark@northfield-hr.com</t>
  </si>
  <si>
    <t>E02560</t>
  </si>
  <si>
    <t>anderson</t>
  </si>
  <si>
    <t xml:space="preserve">  MANAGER</t>
  </si>
  <si>
    <t>james.anderson@northfield-hr.com</t>
  </si>
  <si>
    <t>E03575</t>
  </si>
  <si>
    <t>charles.johnson@northfield-hr.com</t>
  </si>
  <si>
    <t>E02681</t>
  </si>
  <si>
    <t xml:space="preserve">Senior  Manager </t>
  </si>
  <si>
    <t>$86,678</t>
  </si>
  <si>
    <t>E04652</t>
  </si>
  <si>
    <t>david.davis@northfield-hr.com</t>
  </si>
  <si>
    <t>E03792</t>
  </si>
  <si>
    <t xml:space="preserve"> Miller</t>
  </si>
  <si>
    <t>liam.miller@northfield-hr.com</t>
  </si>
  <si>
    <t>E04680</t>
  </si>
  <si>
    <t xml:space="preserve"> Human Resource </t>
  </si>
  <si>
    <t>$58,975.33</t>
  </si>
  <si>
    <t>ingrid.scott@northfield-hr.com</t>
  </si>
  <si>
    <t>E02965</t>
  </si>
  <si>
    <t>$91,170</t>
  </si>
  <si>
    <t>chidi.adams@northfield-hr.com</t>
  </si>
  <si>
    <t>E02673</t>
  </si>
  <si>
    <t>susan.scott@northfield-hr.com</t>
  </si>
  <si>
    <t>E00562</t>
  </si>
  <si>
    <t>$75,942</t>
  </si>
  <si>
    <t>E02779</t>
  </si>
  <si>
    <t>carlos.torres@northfield-hr.com</t>
  </si>
  <si>
    <t>E02949</t>
  </si>
  <si>
    <t>mohammed.martin@northfield-hr.com</t>
  </si>
  <si>
    <t>E02818</t>
  </si>
  <si>
    <t>$133,578</t>
  </si>
  <si>
    <t>jennifer.white@northfield-hr.com</t>
  </si>
  <si>
    <t>E02759</t>
  </si>
  <si>
    <t>james</t>
  </si>
  <si>
    <t>james.wright@northfield-hr.com</t>
  </si>
  <si>
    <t>E01757</t>
  </si>
  <si>
    <t>$97,210.36</t>
  </si>
  <si>
    <t>aiko.jackson@northfield-hr.com</t>
  </si>
  <si>
    <t>E00725</t>
  </si>
  <si>
    <t>E00220</t>
  </si>
  <si>
    <t>$53,897</t>
  </si>
  <si>
    <t>aiko.allen@northfield-hr.com</t>
  </si>
  <si>
    <t>E04140</t>
  </si>
  <si>
    <t xml:space="preserve"> Human Resources </t>
  </si>
  <si>
    <t>E03958</t>
  </si>
  <si>
    <t xml:space="preserve"> MATEO</t>
  </si>
  <si>
    <t xml:space="preserve"> PEREZ</t>
  </si>
  <si>
    <t xml:space="preserve"> senior analyst</t>
  </si>
  <si>
    <t>mateo.perez@northfield-hr.com</t>
  </si>
  <si>
    <t>E01589</t>
  </si>
  <si>
    <t>INGRID</t>
  </si>
  <si>
    <t>$43,515.00</t>
  </si>
  <si>
    <t>ingrid.gonzalez@northfield-hr.com</t>
  </si>
  <si>
    <t>E03348</t>
  </si>
  <si>
    <t>$64,999</t>
  </si>
  <si>
    <t>linda.walker@northfield-hr.com</t>
  </si>
  <si>
    <t>E03971</t>
  </si>
  <si>
    <t>$86,666</t>
  </si>
  <si>
    <t>E02214</t>
  </si>
  <si>
    <t xml:space="preserve">mohammed </t>
  </si>
  <si>
    <t xml:space="preserve">RnD </t>
  </si>
  <si>
    <t>mohammed.taylor@northfield-hr.com</t>
  </si>
  <si>
    <t>E00044</t>
  </si>
  <si>
    <t xml:space="preserve"> analyst</t>
  </si>
  <si>
    <t>noah.wright@northfield-hr.com</t>
  </si>
  <si>
    <t>E03002</t>
  </si>
  <si>
    <t>$72,122</t>
  </si>
  <si>
    <t>robert.johnson@northfield-hr.com</t>
  </si>
  <si>
    <t>E00211</t>
  </si>
  <si>
    <t>$172,632.23</t>
  </si>
  <si>
    <t>E00678</t>
  </si>
  <si>
    <t>E00355</t>
  </si>
  <si>
    <t>fatima.brown@northfield-hr.com</t>
  </si>
  <si>
    <t>E01434</t>
  </si>
  <si>
    <t>$52,057</t>
  </si>
  <si>
    <t>E00950</t>
  </si>
  <si>
    <t>william.wright@northfield-hr.com</t>
  </si>
  <si>
    <t>E02844</t>
  </si>
  <si>
    <t>taylor</t>
  </si>
  <si>
    <t>$54,580</t>
  </si>
  <si>
    <t>charles.taylor@northfield-hr.com</t>
  </si>
  <si>
    <t>E00578</t>
  </si>
  <si>
    <t>barbara</t>
  </si>
  <si>
    <t>$999,999.00</t>
  </si>
  <si>
    <t>E03929</t>
  </si>
  <si>
    <t>fatima.sanchez@northfield-hr.com</t>
  </si>
  <si>
    <t>E00545</t>
  </si>
  <si>
    <t xml:space="preserve"> miller</t>
  </si>
  <si>
    <t>$63,652.98</t>
  </si>
  <si>
    <t>patricia.miller@northfield-hr.com</t>
  </si>
  <si>
    <t>E00368</t>
  </si>
  <si>
    <t>$58,445.95</t>
  </si>
  <si>
    <t>yuki.harris@northfield-hr.com</t>
  </si>
  <si>
    <t>E01613</t>
  </si>
  <si>
    <t xml:space="preserve"> adams</t>
  </si>
  <si>
    <t>mohammed.adams@northfield-hr.com</t>
  </si>
  <si>
    <t>E03551</t>
  </si>
  <si>
    <t xml:space="preserve"> Michael</t>
  </si>
  <si>
    <t>$49,513</t>
  </si>
  <si>
    <t>michael.hernandez@northfield-hr.com</t>
  </si>
  <si>
    <t>E03717</t>
  </si>
  <si>
    <t>david.johnson@northfield-hr.com</t>
  </si>
  <si>
    <t>E03780</t>
  </si>
  <si>
    <t xml:space="preserve"> MICHAEL</t>
  </si>
  <si>
    <t>E00136</t>
  </si>
  <si>
    <t>noah.miller@northfield-hr.com</t>
  </si>
  <si>
    <t>E04481</t>
  </si>
  <si>
    <t xml:space="preserve">SMITH </t>
  </si>
  <si>
    <t>joseph.smith@northfield-hr.com</t>
  </si>
  <si>
    <t>E01438</t>
  </si>
  <si>
    <t xml:space="preserve"> Operatons </t>
  </si>
  <si>
    <t>$53,865.83</t>
  </si>
  <si>
    <t>E00048</t>
  </si>
  <si>
    <t>ROBERT</t>
  </si>
  <si>
    <t>SMITH</t>
  </si>
  <si>
    <t xml:space="preserve">  Manager</t>
  </si>
  <si>
    <t>$75,553</t>
  </si>
  <si>
    <t>robert.smith@northfield-hr.com</t>
  </si>
  <si>
    <t>E01361</t>
  </si>
  <si>
    <t xml:space="preserve"> OLGA</t>
  </si>
  <si>
    <t>olga.lee@northfield-hr.com</t>
  </si>
  <si>
    <t>E00735</t>
  </si>
  <si>
    <t>sarah.king@northfield-hr.com</t>
  </si>
  <si>
    <t>E01535</t>
  </si>
  <si>
    <t>E02005</t>
  </si>
  <si>
    <t>$49,007.84</t>
  </si>
  <si>
    <t>john.thomas@northfield-hr.com</t>
  </si>
  <si>
    <t>E03796</t>
  </si>
  <si>
    <t>AIKO</t>
  </si>
  <si>
    <t xml:space="preserve">Customer  Support </t>
  </si>
  <si>
    <t>E02520</t>
  </si>
  <si>
    <t xml:space="preserve"> Linda</t>
  </si>
  <si>
    <t>E01973</t>
  </si>
  <si>
    <t>thomas.young@northfield-hr.com</t>
  </si>
  <si>
    <t>E00997</t>
  </si>
  <si>
    <t xml:space="preserve"> ANALYST </t>
  </si>
  <si>
    <t>$47,309</t>
  </si>
  <si>
    <t>E00062</t>
  </si>
  <si>
    <t xml:space="preserve"> martin</t>
  </si>
  <si>
    <t>linda.martin@northfield-hr.com</t>
  </si>
  <si>
    <t>E01109</t>
  </si>
  <si>
    <t>barbara.allen@northfield-hr.com</t>
  </si>
  <si>
    <t>E02406</t>
  </si>
  <si>
    <t xml:space="preserve"> Susan </t>
  </si>
  <si>
    <t>susan.miller@northfield-hr.com</t>
  </si>
  <si>
    <t>E00096</t>
  </si>
  <si>
    <t>E00479</t>
  </si>
  <si>
    <t>$68,117.82</t>
  </si>
  <si>
    <t>james.torres@northfield-hr.com</t>
  </si>
  <si>
    <t>E04360</t>
  </si>
  <si>
    <t xml:space="preserve"> EMMA</t>
  </si>
  <si>
    <t>$58,136</t>
  </si>
  <si>
    <t>emma.thomas@northfield-hr.com</t>
  </si>
  <si>
    <t>E04113</t>
  </si>
  <si>
    <t>$52,932.53</t>
  </si>
  <si>
    <t>ava.lee@northfield-hr.com</t>
  </si>
  <si>
    <t>E03708</t>
  </si>
  <si>
    <t>E01102</t>
  </si>
  <si>
    <t xml:space="preserve">YOUNG </t>
  </si>
  <si>
    <t>$95,182</t>
  </si>
  <si>
    <t>linda.young@northfield-hr.com</t>
  </si>
  <si>
    <t>E02747</t>
  </si>
  <si>
    <t>$123,637</t>
  </si>
  <si>
    <t>yuki.lopez@northfield-hr.com</t>
  </si>
  <si>
    <t>E02171</t>
  </si>
  <si>
    <t>E00323</t>
  </si>
  <si>
    <t>patricia.rodriguez@northfield-hr.com</t>
  </si>
  <si>
    <t>E04255</t>
  </si>
  <si>
    <t xml:space="preserve">Sofia </t>
  </si>
  <si>
    <t>E03143</t>
  </si>
  <si>
    <t xml:space="preserve"> WILLIAM</t>
  </si>
  <si>
    <t xml:space="preserve"> ANDERSON</t>
  </si>
  <si>
    <t xml:space="preserve">  ANALYST</t>
  </si>
  <si>
    <t>$49,718.58</t>
  </si>
  <si>
    <t>william.anderson@northfield-hr.com</t>
  </si>
  <si>
    <t>E03538</t>
  </si>
  <si>
    <t>$89,977</t>
  </si>
  <si>
    <t>priya.young@northfield-hr.com</t>
  </si>
  <si>
    <t>E04302</t>
  </si>
  <si>
    <t>ava.taylor@northfield-hr.com</t>
  </si>
  <si>
    <t>E02925</t>
  </si>
  <si>
    <t xml:space="preserve">sofia </t>
  </si>
  <si>
    <t xml:space="preserve">JACKSON </t>
  </si>
  <si>
    <t xml:space="preserve"> Saless</t>
  </si>
  <si>
    <t>sofia.jackson@northfield-hr.com</t>
  </si>
  <si>
    <t>E01150</t>
  </si>
  <si>
    <t>mary</t>
  </si>
  <si>
    <t>mary.moore@northfield-hr.com</t>
  </si>
  <si>
    <t>E03618</t>
  </si>
  <si>
    <t xml:space="preserve">jessica </t>
  </si>
  <si>
    <t>E00292</t>
  </si>
  <si>
    <t>$42,865.40</t>
  </si>
  <si>
    <t>ingrid.moore@northfield-hr.com</t>
  </si>
  <si>
    <t>E03750</t>
  </si>
  <si>
    <t xml:space="preserve"> Sarah </t>
  </si>
  <si>
    <t xml:space="preserve">operations </t>
  </si>
  <si>
    <t>sarah.torres@northfield-hr.com</t>
  </si>
  <si>
    <t>E03587</t>
  </si>
  <si>
    <t xml:space="preserve"> david</t>
  </si>
  <si>
    <t>$53,272.43</t>
  </si>
  <si>
    <t>david.harris@northfield-hr.com</t>
  </si>
  <si>
    <t>E00534</t>
  </si>
  <si>
    <t>E03608</t>
  </si>
  <si>
    <t xml:space="preserve">Taylor </t>
  </si>
  <si>
    <t xml:space="preserve"> ASSOCIATE </t>
  </si>
  <si>
    <t>$55,311.90</t>
  </si>
  <si>
    <t>john.taylor@northfield-hr.com</t>
  </si>
  <si>
    <t>E02649</t>
  </si>
  <si>
    <t>mateo.taylor@northfield-hr.com</t>
  </si>
  <si>
    <t>E04145</t>
  </si>
  <si>
    <t xml:space="preserve"> SENIOR ANALYST</t>
  </si>
  <si>
    <t>E01984</t>
  </si>
  <si>
    <t xml:space="preserve">PATRICIA  </t>
  </si>
  <si>
    <t>$52,269</t>
  </si>
  <si>
    <t>patricia.walker@northfield-hr.com</t>
  </si>
  <si>
    <t>E02933</t>
  </si>
  <si>
    <t>E01537</t>
  </si>
  <si>
    <t>john.young@northfield-hr.com</t>
  </si>
  <si>
    <t>E04535</t>
  </si>
  <si>
    <t>ingrid.taylor@northfield-hr.com</t>
  </si>
  <si>
    <t>E04173</t>
  </si>
  <si>
    <t xml:space="preserve"> Elizabeth</t>
  </si>
  <si>
    <t>$71,468.37</t>
  </si>
  <si>
    <t>elizabeth.harris@northfield-hr.com</t>
  </si>
  <si>
    <t>E03361</t>
  </si>
  <si>
    <t>MARTINEZ</t>
  </si>
  <si>
    <t>jennifer.martinez@northfield-hr.com</t>
  </si>
  <si>
    <t>E03666</t>
  </si>
  <si>
    <t>$99,576.78</t>
  </si>
  <si>
    <t>E04006</t>
  </si>
  <si>
    <t>$82,552.70</t>
  </si>
  <si>
    <t>E03627</t>
  </si>
  <si>
    <t xml:space="preserve">WEI </t>
  </si>
  <si>
    <t xml:space="preserve">R &amp; D </t>
  </si>
  <si>
    <t>wei.thomas@northfield-hr.com</t>
  </si>
  <si>
    <t>E00587</t>
  </si>
  <si>
    <t xml:space="preserve">wilson </t>
  </si>
  <si>
    <t>$52,433.48</t>
  </si>
  <si>
    <t>charles.wilson@northfield-hr.com</t>
  </si>
  <si>
    <t>E03257</t>
  </si>
  <si>
    <t xml:space="preserve">Jessica </t>
  </si>
  <si>
    <t>jessica.gonzalez@northfield-hr.com</t>
  </si>
  <si>
    <t>E02299</t>
  </si>
  <si>
    <t>$54,023</t>
  </si>
  <si>
    <t>E03989</t>
  </si>
  <si>
    <t xml:space="preserve">Anderson </t>
  </si>
  <si>
    <t>$-87,492</t>
  </si>
  <si>
    <t>joseph.anderson@northfield-hr.com</t>
  </si>
  <si>
    <t>E00585</t>
  </si>
  <si>
    <t>$98,996</t>
  </si>
  <si>
    <t>liam.smith@northfield-hr.com</t>
  </si>
  <si>
    <t>E02424</t>
  </si>
  <si>
    <t xml:space="preserve"> R&amp;D</t>
  </si>
  <si>
    <t>$-72,831</t>
  </si>
  <si>
    <t>diego.white@northfield-hr.com</t>
  </si>
  <si>
    <t>E01392</t>
  </si>
  <si>
    <t>$39,041.74</t>
  </si>
  <si>
    <t>karen.davis@northfield-hr.com</t>
  </si>
  <si>
    <t>E04526</t>
  </si>
  <si>
    <t>jennifer.hernandez@northfield-hr.com</t>
  </si>
  <si>
    <t>E00623</t>
  </si>
  <si>
    <t>E00428</t>
  </si>
  <si>
    <t>$58,689</t>
  </si>
  <si>
    <t>susan.williams@northfield-hr.com</t>
  </si>
  <si>
    <t>E03241</t>
  </si>
  <si>
    <t>E04282</t>
  </si>
  <si>
    <t>$91,848</t>
  </si>
  <si>
    <t>david.rodriguez@northfield-hr.com</t>
  </si>
  <si>
    <t>E03339</t>
  </si>
  <si>
    <t>$49,721</t>
  </si>
  <si>
    <t>jessica.lee@northfield-hr.com</t>
  </si>
  <si>
    <t>E03221</t>
  </si>
  <si>
    <t>mary.taylor@northfield-hr.com</t>
  </si>
  <si>
    <t>E02112</t>
  </si>
  <si>
    <t>$186,117.17</t>
  </si>
  <si>
    <t>michael.brown@northfield-hr.com</t>
  </si>
  <si>
    <t>E01175</t>
  </si>
  <si>
    <t>$43,063.52</t>
  </si>
  <si>
    <t>richard.torres@northfield-hr.com</t>
  </si>
  <si>
    <t>E04649</t>
  </si>
  <si>
    <t>E03812</t>
  </si>
  <si>
    <t>E01868</t>
  </si>
  <si>
    <t>diego.nguyen@northfield-hr.com</t>
  </si>
  <si>
    <t>E02615</t>
  </si>
  <si>
    <t>$102,705.67</t>
  </si>
  <si>
    <t>william.wilson@northfield-hr.com</t>
  </si>
  <si>
    <t>E03867</t>
  </si>
  <si>
    <t xml:space="preserve"> Hill</t>
  </si>
  <si>
    <t>liam.hill@northfield-hr.com</t>
  </si>
  <si>
    <t>E01508</t>
  </si>
  <si>
    <t>richard.hill@northfield-hr.com</t>
  </si>
  <si>
    <t>E03779</t>
  </si>
  <si>
    <t>emma.miller@northfield-hr.com</t>
  </si>
  <si>
    <t>E03847</t>
  </si>
  <si>
    <t xml:space="preserve"> MARKETING</t>
  </si>
  <si>
    <t>$72,875.56</t>
  </si>
  <si>
    <t>noah.garcia@northfield-hr.com</t>
  </si>
  <si>
    <t>E02417</t>
  </si>
  <si>
    <t>mateo.jackson@northfield-hr.com</t>
  </si>
  <si>
    <t>E00071</t>
  </si>
  <si>
    <t>hiroshi.thomas@northfield-hr.com</t>
  </si>
  <si>
    <t>E02953</t>
  </si>
  <si>
    <t xml:space="preserve">SANCHEZ </t>
  </si>
  <si>
    <t>$55,710</t>
  </si>
  <si>
    <t>charles.sanchez@northfield-hr.com</t>
  </si>
  <si>
    <t>E01127</t>
  </si>
  <si>
    <t>wei.hernandez@northfield-hr.com</t>
  </si>
  <si>
    <t>E04025</t>
  </si>
  <si>
    <t xml:space="preserve"> hill</t>
  </si>
  <si>
    <t>lucas.hill@northfield-hr.com</t>
  </si>
  <si>
    <t>E03251</t>
  </si>
  <si>
    <t>$121,349</t>
  </si>
  <si>
    <t>karen.thomas@northfield-hr.com</t>
  </si>
  <si>
    <t>E03902</t>
  </si>
  <si>
    <t>wei.jones@northfield-hr.com</t>
  </si>
  <si>
    <t>E01096</t>
  </si>
  <si>
    <t xml:space="preserve"> hernandez </t>
  </si>
  <si>
    <t>$43,956.36</t>
  </si>
  <si>
    <t>linda.hernandez@northfield-hr.com</t>
  </si>
  <si>
    <t>E04546</t>
  </si>
  <si>
    <t xml:space="preserve"> SCOTT </t>
  </si>
  <si>
    <t>$87,946.39</t>
  </si>
  <si>
    <t>yuki.scott@northfield-hr.com</t>
  </si>
  <si>
    <t>E01213</t>
  </si>
  <si>
    <t>$73,097</t>
  </si>
  <si>
    <t>lucas.harris@northfield-hr.com</t>
  </si>
  <si>
    <t>E03922</t>
  </si>
  <si>
    <t xml:space="preserve">sales </t>
  </si>
  <si>
    <t>$61,580.11</t>
  </si>
  <si>
    <t>jennifer.taylor@northfield-hr.com</t>
  </si>
  <si>
    <t>E01426</t>
  </si>
  <si>
    <t>E03067</t>
  </si>
  <si>
    <t>$58,624</t>
  </si>
  <si>
    <t>michael.adams@northfield-hr.com</t>
  </si>
  <si>
    <t>E04520</t>
  </si>
  <si>
    <t xml:space="preserve"> Williams</t>
  </si>
  <si>
    <t>diego.williams@northfield-hr.com</t>
  </si>
  <si>
    <t>E02101</t>
  </si>
  <si>
    <t>$41,595</t>
  </si>
  <si>
    <t>jennifer.nguyen@northfield-hr.com</t>
  </si>
  <si>
    <t>E00808</t>
  </si>
  <si>
    <t xml:space="preserve">Diego </t>
  </si>
  <si>
    <t>E00309</t>
  </si>
  <si>
    <t>ingrid.wilson@northfield-hr.com</t>
  </si>
  <si>
    <t>E03751</t>
  </si>
  <si>
    <t>$66,576</t>
  </si>
  <si>
    <t>david.lee@northfield-hr.com</t>
  </si>
  <si>
    <t>E01363</t>
  </si>
  <si>
    <t xml:space="preserve">CUSTOMER SUPPORT </t>
  </si>
  <si>
    <t>james.ramirez@northfield-hr.com</t>
  </si>
  <si>
    <t>E02318</t>
  </si>
  <si>
    <t>E04582</t>
  </si>
  <si>
    <t xml:space="preserve"> Adams</t>
  </si>
  <si>
    <t>liam.adams@northfield-hr.com</t>
  </si>
  <si>
    <t>E02637</t>
  </si>
  <si>
    <t>karen.lee@northfield-hr.com</t>
  </si>
  <si>
    <t>E01026</t>
  </si>
  <si>
    <t xml:space="preserve"> Taylor</t>
  </si>
  <si>
    <t>$108,093.20</t>
  </si>
  <si>
    <t>william.taylor@northfield-hr.com</t>
  </si>
  <si>
    <t>E03110</t>
  </si>
  <si>
    <t xml:space="preserve"> rodriguez </t>
  </si>
  <si>
    <t>$61,074</t>
  </si>
  <si>
    <t>E02111</t>
  </si>
  <si>
    <t>$52,561.83</t>
  </si>
  <si>
    <t>james.moore@northfield-hr.com</t>
  </si>
  <si>
    <t>E01042</t>
  </si>
  <si>
    <t>GARCIA</t>
  </si>
  <si>
    <t xml:space="preserve">Operations </t>
  </si>
  <si>
    <t>sarah.garcia@northfield-hr.com</t>
  </si>
  <si>
    <t>E01877</t>
  </si>
  <si>
    <t>$135,878</t>
  </si>
  <si>
    <t>E00882</t>
  </si>
  <si>
    <t xml:space="preserve"> Markting</t>
  </si>
  <si>
    <t>$62,374.15</t>
  </si>
  <si>
    <t>E04300</t>
  </si>
  <si>
    <t>$81,621</t>
  </si>
  <si>
    <t>joseph.thomas@northfield-hr.com</t>
  </si>
  <si>
    <t>E01193</t>
  </si>
  <si>
    <t>$63,165.30</t>
  </si>
  <si>
    <t>yuki.lewis@northfield-hr.com</t>
  </si>
  <si>
    <t>E04588</t>
  </si>
  <si>
    <t>E04511</t>
  </si>
  <si>
    <t>$54,815</t>
  </si>
  <si>
    <t>E03671</t>
  </si>
  <si>
    <t>DIEGO</t>
  </si>
  <si>
    <t>$45,697</t>
  </si>
  <si>
    <t>diego.adams@northfield-hr.com</t>
  </si>
  <si>
    <t>E00625</t>
  </si>
  <si>
    <t xml:space="preserve"> Hiroshi </t>
  </si>
  <si>
    <t>$88,627</t>
  </si>
  <si>
    <t>hiroshi.taylor@northfield-hr.com</t>
  </si>
  <si>
    <t>E02797</t>
  </si>
  <si>
    <t>thomas.wilson@northfield-hr.com</t>
  </si>
  <si>
    <t>E04292</t>
  </si>
  <si>
    <t>$82,694</t>
  </si>
  <si>
    <t>mary.torres@northfield-hr.com</t>
  </si>
  <si>
    <t>E02280</t>
  </si>
  <si>
    <t xml:space="preserve"> Fatima </t>
  </si>
  <si>
    <t xml:space="preserve">garcia </t>
  </si>
  <si>
    <t>fatima.garcia@northfield-hr.com</t>
  </si>
  <si>
    <t>E00234</t>
  </si>
  <si>
    <t>$65,465.92</t>
  </si>
  <si>
    <t>fatima.jones@northfield-hr.com</t>
  </si>
  <si>
    <t>E04567</t>
  </si>
  <si>
    <t xml:space="preserve"> Noah</t>
  </si>
  <si>
    <t>noah.taylor@northfield-hr.com</t>
  </si>
  <si>
    <t>E01663</t>
  </si>
  <si>
    <t xml:space="preserve">Clark </t>
  </si>
  <si>
    <t>engineering</t>
  </si>
  <si>
    <t>E00416</t>
  </si>
  <si>
    <t>noah.smith@northfield-hr.com</t>
  </si>
  <si>
    <t>E04247</t>
  </si>
  <si>
    <t>jennifer.adams@northfield-hr.com</t>
  </si>
  <si>
    <t>E02174</t>
  </si>
  <si>
    <t>mateo.clark@northfield-hr.com</t>
  </si>
  <si>
    <t>E01457</t>
  </si>
  <si>
    <t>david.perez@northfield-hr.com</t>
  </si>
  <si>
    <t>E00747</t>
  </si>
  <si>
    <t xml:space="preserve">jones </t>
  </si>
  <si>
    <t>$84,218.67</t>
  </si>
  <si>
    <t>susan.jones@northfield-hr.com</t>
  </si>
  <si>
    <t>E00018</t>
  </si>
  <si>
    <t xml:space="preserve"> Wright</t>
  </si>
  <si>
    <t>$55,422</t>
  </si>
  <si>
    <t>linda.wright@northfield-hr.com</t>
  </si>
  <si>
    <t>E01201</t>
  </si>
  <si>
    <t>$57,383.69</t>
  </si>
  <si>
    <t>susan.thomas@northfield-hr.com</t>
  </si>
  <si>
    <t>E01700</t>
  </si>
  <si>
    <t>E03254</t>
  </si>
  <si>
    <t>E00597</t>
  </si>
  <si>
    <t>$104,946</t>
  </si>
  <si>
    <t>E03227</t>
  </si>
  <si>
    <t xml:space="preserve"> Mktg</t>
  </si>
  <si>
    <t>mary.thomas@northfield-hr.com</t>
  </si>
  <si>
    <t>E04406</t>
  </si>
  <si>
    <t>$100,901</t>
  </si>
  <si>
    <t>E00414</t>
  </si>
  <si>
    <t xml:space="preserve">William </t>
  </si>
  <si>
    <t xml:space="preserve"> Brown </t>
  </si>
  <si>
    <t>william.brown@northfield-hr.com</t>
  </si>
  <si>
    <t>E01506</t>
  </si>
  <si>
    <t>barbara.torres@northfield-hr.com</t>
  </si>
  <si>
    <t>E01413</t>
  </si>
  <si>
    <t>$99,332</t>
  </si>
  <si>
    <t>barbara.gonzalez@northfield-hr.com</t>
  </si>
  <si>
    <t>E01966</t>
  </si>
  <si>
    <t>$53,107.61</t>
  </si>
  <si>
    <t>david.sanchez@northfield-hr.com</t>
  </si>
  <si>
    <t>E00372</t>
  </si>
  <si>
    <t>$84,788.80</t>
  </si>
  <si>
    <t>hiroshi.johnson@northfield-hr.com</t>
  </si>
  <si>
    <t>E01341</t>
  </si>
  <si>
    <t>priya.davis@northfield-hr.com</t>
  </si>
  <si>
    <t>E00599</t>
  </si>
  <si>
    <t>$55,163.20</t>
  </si>
  <si>
    <t>fatima.lewis@northfield-hr.com</t>
  </si>
  <si>
    <t>E00239</t>
  </si>
  <si>
    <t>$73,437.94</t>
  </si>
  <si>
    <t>patricia.perez@northfield-hr.com</t>
  </si>
  <si>
    <t>E03401</t>
  </si>
  <si>
    <t xml:space="preserve">Garcia </t>
  </si>
  <si>
    <t>$126,137.44</t>
  </si>
  <si>
    <t>E02068</t>
  </si>
  <si>
    <t xml:space="preserve"> BARBARA</t>
  </si>
  <si>
    <t>$80,034</t>
  </si>
  <si>
    <t>barbara.wilson@northfield-hr.com</t>
  </si>
  <si>
    <t>E00811</t>
  </si>
  <si>
    <t>$55,750.66</t>
  </si>
  <si>
    <t>E01095</t>
  </si>
  <si>
    <t xml:space="preserve">GONZALEZ </t>
  </si>
  <si>
    <t>E04325</t>
  </si>
  <si>
    <t>$89,942</t>
  </si>
  <si>
    <t>E03859</t>
  </si>
  <si>
    <t>sofia.taylor@northfield-hr.com</t>
  </si>
  <si>
    <t>E03677</t>
  </si>
  <si>
    <t>$65,504.34</t>
  </si>
  <si>
    <t>robert.garcia@northfield-hr.com</t>
  </si>
  <si>
    <t>E03465</t>
  </si>
  <si>
    <t>charles.rodriguez@northfield-hr.com</t>
  </si>
  <si>
    <t>E03104</t>
  </si>
  <si>
    <t>elizabeth.anderson@northfield-hr.com</t>
  </si>
  <si>
    <t>E02750</t>
  </si>
  <si>
    <t xml:space="preserve"> brown</t>
  </si>
  <si>
    <t>$84,836</t>
  </si>
  <si>
    <t>E02296</t>
  </si>
  <si>
    <t xml:space="preserve">  analyst</t>
  </si>
  <si>
    <t>$55,628</t>
  </si>
  <si>
    <t>hiroshi.wright@northfield-hr.com</t>
  </si>
  <si>
    <t>E04193</t>
  </si>
  <si>
    <t>joseph</t>
  </si>
  <si>
    <t>$78,770</t>
  </si>
  <si>
    <t>joseph.williams@northfield-hr.com</t>
  </si>
  <si>
    <t>E03709</t>
  </si>
  <si>
    <t>$62,159.89</t>
  </si>
  <si>
    <t>E03019</t>
  </si>
  <si>
    <t>E04253</t>
  </si>
  <si>
    <t>$-52,077</t>
  </si>
  <si>
    <t>E00804</t>
  </si>
  <si>
    <t xml:space="preserve">EMMA  </t>
  </si>
  <si>
    <t>emma.nguyen@northfield-hr.com</t>
  </si>
  <si>
    <t>E04191</t>
  </si>
  <si>
    <t>barbara.miller@northfield-hr.com</t>
  </si>
  <si>
    <t>E03706</t>
  </si>
  <si>
    <t>$106,249.34</t>
  </si>
  <si>
    <t>yuki.sanchez@northfield-hr.com</t>
  </si>
  <si>
    <t>E00752</t>
  </si>
  <si>
    <t>mohammed.lewis@northfield-hr.com</t>
  </si>
  <si>
    <t>E04645</t>
  </si>
  <si>
    <t>jennifer.lopez@northfield-hr.com</t>
  </si>
  <si>
    <t>E02532</t>
  </si>
  <si>
    <t xml:space="preserve">RODRIGUEZ </t>
  </si>
  <si>
    <t>E00622</t>
  </si>
  <si>
    <t>$78,089</t>
  </si>
  <si>
    <t>E02298</t>
  </si>
  <si>
    <t>$47,968.85</t>
  </si>
  <si>
    <t>robert.martin@northfield-hr.com</t>
  </si>
  <si>
    <t>E03829</t>
  </si>
  <si>
    <t>$62,585.07</t>
  </si>
  <si>
    <t>chidi.martin@northfield-hr.com</t>
  </si>
  <si>
    <t>E00567</t>
  </si>
  <si>
    <t>$88,070</t>
  </si>
  <si>
    <t>E01136</t>
  </si>
  <si>
    <t>$80,170</t>
  </si>
  <si>
    <t>liam.lewis@northfield-hr.com</t>
  </si>
  <si>
    <t>E01205</t>
  </si>
  <si>
    <t>$92,647</t>
  </si>
  <si>
    <t>barbara.perez@northfield-hr.com</t>
  </si>
  <si>
    <t>E01048</t>
  </si>
  <si>
    <t>$71,811</t>
  </si>
  <si>
    <t>amara.lee@northfield-hr.com</t>
  </si>
  <si>
    <t>E00052</t>
  </si>
  <si>
    <t>E03652</t>
  </si>
  <si>
    <t xml:space="preserve"> AMARA</t>
  </si>
  <si>
    <t xml:space="preserve">  Director</t>
  </si>
  <si>
    <t>E01045</t>
  </si>
  <si>
    <t xml:space="preserve">  david</t>
  </si>
  <si>
    <t>$91,555.31</t>
  </si>
  <si>
    <t>david.smith@northfield-hr.com</t>
  </si>
  <si>
    <t>E02182</t>
  </si>
  <si>
    <t xml:space="preserve">Ava </t>
  </si>
  <si>
    <t>ava.ramirez@northfield-hr.com</t>
  </si>
  <si>
    <t>E02689</t>
  </si>
  <si>
    <t xml:space="preserve"> LEWIS</t>
  </si>
  <si>
    <t>james.lewis@northfield-hr.com</t>
  </si>
  <si>
    <t>E00535</t>
  </si>
  <si>
    <t>barbara.garcia@northfield-hr.com</t>
  </si>
  <si>
    <t>E03185</t>
  </si>
  <si>
    <t>$60,731</t>
  </si>
  <si>
    <t>lucas.davis@northfield-hr.com</t>
  </si>
  <si>
    <t>E03858</t>
  </si>
  <si>
    <t>sarah.martin@northfield-hr.com</t>
  </si>
  <si>
    <t>E00444</t>
  </si>
  <si>
    <t>jessica.robinson@northfield-hr.com</t>
  </si>
  <si>
    <t>E03605</t>
  </si>
  <si>
    <t xml:space="preserve">Lopez  </t>
  </si>
  <si>
    <t>patricia.lopez@northfield-hr.com</t>
  </si>
  <si>
    <t>E00196</t>
  </si>
  <si>
    <t xml:space="preserve"> GARCIA</t>
  </si>
  <si>
    <t>carlos.garcia@northfield-hr.com</t>
  </si>
  <si>
    <t>E01116</t>
  </si>
  <si>
    <t>$76,185.51</t>
  </si>
  <si>
    <t>noah.clark@northfield-hr.com</t>
  </si>
  <si>
    <t>E00766</t>
  </si>
  <si>
    <t>E01946</t>
  </si>
  <si>
    <t>FATIMA</t>
  </si>
  <si>
    <t>fatima.lopez@northfield-hr.com</t>
  </si>
  <si>
    <t>E03248</t>
  </si>
  <si>
    <t>$35,248</t>
  </si>
  <si>
    <t>lucas.wright@northfield-hr.com</t>
  </si>
  <si>
    <t>E03003</t>
  </si>
  <si>
    <t>$125,315.67</t>
  </si>
  <si>
    <t>linda.brown@northfield-hr.com</t>
  </si>
  <si>
    <t>E01433</t>
  </si>
  <si>
    <t xml:space="preserve">Torres </t>
  </si>
  <si>
    <t>$80,962.79</t>
  </si>
  <si>
    <t>E04201</t>
  </si>
  <si>
    <t xml:space="preserve">Mohammed </t>
  </si>
  <si>
    <t>$63,160</t>
  </si>
  <si>
    <t>E03096</t>
  </si>
  <si>
    <t>E02923</t>
  </si>
  <si>
    <t>emma.allen@northfield-hr.com</t>
  </si>
  <si>
    <t>E00645</t>
  </si>
  <si>
    <t>barbara.walker@northfield-hr.com</t>
  </si>
  <si>
    <t>E01050</t>
  </si>
  <si>
    <t>ROBINSON</t>
  </si>
  <si>
    <t>E03746</t>
  </si>
  <si>
    <t>barbara.ramirez@northfield-hr.com</t>
  </si>
  <si>
    <t>E04094</t>
  </si>
  <si>
    <t xml:space="preserve"> ramirez</t>
  </si>
  <si>
    <t>E04404</t>
  </si>
  <si>
    <t xml:space="preserve"> Diego</t>
  </si>
  <si>
    <t xml:space="preserve"> Lewis</t>
  </si>
  <si>
    <t>diego.lewis@northfield-hr.com</t>
  </si>
  <si>
    <t>E00121</t>
  </si>
  <si>
    <t>olga</t>
  </si>
  <si>
    <t>$60,972.55</t>
  </si>
  <si>
    <t>olga.perez@northfield-hr.com</t>
  </si>
  <si>
    <t>E02053</t>
  </si>
  <si>
    <t>jennifer.harris@northfield-hr.com</t>
  </si>
  <si>
    <t>E04259</t>
  </si>
  <si>
    <t>$54,160</t>
  </si>
  <si>
    <t>mohammed.brown@northfield-hr.com</t>
  </si>
  <si>
    <t>E02382</t>
  </si>
  <si>
    <t>$116,177</t>
  </si>
  <si>
    <t>E04692</t>
  </si>
  <si>
    <t>thomas.anderson@northfield-hr.com</t>
  </si>
  <si>
    <t>E00135</t>
  </si>
  <si>
    <t>$52,099</t>
  </si>
  <si>
    <t>elizabeth.young@northfield-hr.com</t>
  </si>
  <si>
    <t>E02461</t>
  </si>
  <si>
    <t>$91,498</t>
  </si>
  <si>
    <t>fatima.lee@northfield-hr.com</t>
  </si>
  <si>
    <t>E01955</t>
  </si>
  <si>
    <t>E02464</t>
  </si>
  <si>
    <t>CHIDI</t>
  </si>
  <si>
    <t>chidi.sanchez@northfield-hr.com</t>
  </si>
  <si>
    <t>E00185</t>
  </si>
  <si>
    <t xml:space="preserve">research &amp; development </t>
  </si>
  <si>
    <t>john.martinez@northfield-hr.com</t>
  </si>
  <si>
    <t>E01393</t>
  </si>
  <si>
    <t>carlos.nguyen@northfield-hr.com</t>
  </si>
  <si>
    <t>E02277</t>
  </si>
  <si>
    <t>E00512</t>
  </si>
  <si>
    <t>$136,234.05</t>
  </si>
  <si>
    <t>E01913</t>
  </si>
  <si>
    <t>$54,890.67</t>
  </si>
  <si>
    <t>E04055</t>
  </si>
  <si>
    <t>lucas.perez@northfield-hr.com</t>
  </si>
  <si>
    <t>E03138</t>
  </si>
  <si>
    <t>$98,128.53</t>
  </si>
  <si>
    <t>E02670</t>
  </si>
  <si>
    <t>$80,986</t>
  </si>
  <si>
    <t>priya.walker@northfield-hr.com</t>
  </si>
  <si>
    <t>E00495</t>
  </si>
  <si>
    <t xml:space="preserve">Robinson </t>
  </si>
  <si>
    <t>noah.robinson@northfield-hr.com</t>
  </si>
  <si>
    <t>E00434</t>
  </si>
  <si>
    <t xml:space="preserve"> king</t>
  </si>
  <si>
    <t>fatima.king@northfield-hr.com</t>
  </si>
  <si>
    <t>E02118</t>
  </si>
  <si>
    <t>emma.clark@northfield-hr.com</t>
  </si>
  <si>
    <t>E00252</t>
  </si>
  <si>
    <t xml:space="preserve"> Scott</t>
  </si>
  <si>
    <t>E03527</t>
  </si>
  <si>
    <t xml:space="preserve"> Engineering</t>
  </si>
  <si>
    <t>ava.jackson@northfield-hr.com</t>
  </si>
  <si>
    <t>E03560</t>
  </si>
  <si>
    <t>chidi.jackson@northfield-hr.com</t>
  </si>
  <si>
    <t>E04012</t>
  </si>
  <si>
    <t>$87,984</t>
  </si>
  <si>
    <t>$111,538</t>
  </si>
  <si>
    <t>E00123</t>
  </si>
  <si>
    <t xml:space="preserve">priya </t>
  </si>
  <si>
    <t>$61,696</t>
  </si>
  <si>
    <t>E04260</t>
  </si>
  <si>
    <t xml:space="preserve">Gonzalez </t>
  </si>
  <si>
    <t>richard.gonzalez@northfield-hr.com</t>
  </si>
  <si>
    <t>E03334</t>
  </si>
  <si>
    <t>E01872</t>
  </si>
  <si>
    <t>$113,087.20</t>
  </si>
  <si>
    <t>E03693</t>
  </si>
  <si>
    <t>$76,446.40</t>
  </si>
  <si>
    <t>E00568</t>
  </si>
  <si>
    <t>$49,415.56</t>
  </si>
  <si>
    <t>E01372</t>
  </si>
  <si>
    <t xml:space="preserve"> Smith</t>
  </si>
  <si>
    <t>$76,766.31</t>
  </si>
  <si>
    <t>michael.smith@northfield-hr.com</t>
  </si>
  <si>
    <t>E03186</t>
  </si>
  <si>
    <t>amara.harris@northfield-hr.com</t>
  </si>
  <si>
    <t>E03956</t>
  </si>
  <si>
    <t>james.young@northfield-hr.com</t>
  </si>
  <si>
    <t>E01057</t>
  </si>
  <si>
    <t>$40,933.56</t>
  </si>
  <si>
    <t>ava.rodriguez@northfield-hr.com</t>
  </si>
  <si>
    <t>E00857</t>
  </si>
  <si>
    <t>$85,015</t>
  </si>
  <si>
    <t>jessica.allen@northfield-hr.com</t>
  </si>
  <si>
    <t>E03839</t>
  </si>
  <si>
    <t xml:space="preserve"> COORDINATOR </t>
  </si>
  <si>
    <t>richard.lewis@northfield-hr.com</t>
  </si>
  <si>
    <t>E02861</t>
  </si>
  <si>
    <t>diego.lopez@northfield-hr.com</t>
  </si>
  <si>
    <t>E00713</t>
  </si>
  <si>
    <t>mohammed.jones@northfield-hr.com</t>
  </si>
  <si>
    <t>E00777</t>
  </si>
  <si>
    <t xml:space="preserve"> Johnson </t>
  </si>
  <si>
    <t>$-102,738.63</t>
  </si>
  <si>
    <t>elizabeth.johnson@northfield-hr.com</t>
  </si>
  <si>
    <t>E00721</t>
  </si>
  <si>
    <t>$105,039.79</t>
  </si>
  <si>
    <t>E02711</t>
  </si>
  <si>
    <t xml:space="preserve">noah </t>
  </si>
  <si>
    <t>noah.thomas@northfield-hr.com</t>
  </si>
  <si>
    <t>E02655</t>
  </si>
  <si>
    <t>E03402</t>
  </si>
  <si>
    <t>$100,277.50</t>
  </si>
  <si>
    <t>amara.thompson@northfield-hr.com</t>
  </si>
  <si>
    <t>E00603</t>
  </si>
  <si>
    <t>$110,680.95</t>
  </si>
  <si>
    <t>E03823</t>
  </si>
  <si>
    <t>amara.thomas@northfield-hr.com</t>
  </si>
  <si>
    <t>E01245</t>
  </si>
  <si>
    <t>william.moore@northfield-hr.com</t>
  </si>
  <si>
    <t>E04106</t>
  </si>
  <si>
    <t>wei.harris@northfield-hr.com</t>
  </si>
  <si>
    <t>E03784</t>
  </si>
  <si>
    <t xml:space="preserve"> INGRID</t>
  </si>
  <si>
    <t>ingrid.jones@northfield-hr.com</t>
  </si>
  <si>
    <t>E00319</t>
  </si>
  <si>
    <t>$40,928.78</t>
  </si>
  <si>
    <t>ingrid.ramirez@northfield-hr.com</t>
  </si>
  <si>
    <t>E00829</t>
  </si>
  <si>
    <t xml:space="preserve"> davis</t>
  </si>
  <si>
    <t xml:space="preserve">legal </t>
  </si>
  <si>
    <t>noah.davis@northfield-hr.com</t>
  </si>
  <si>
    <t>E03264</t>
  </si>
  <si>
    <t>chidi.wilson@northfield-hr.com</t>
  </si>
  <si>
    <t>E00275</t>
  </si>
  <si>
    <t>noah.scott@northfield-hr.com</t>
  </si>
  <si>
    <t>E02665</t>
  </si>
  <si>
    <t xml:space="preserve"> LIAM</t>
  </si>
  <si>
    <t xml:space="preserve"> Brown</t>
  </si>
  <si>
    <t>liam.brown@northfield-hr.com</t>
  </si>
  <si>
    <t>E00550</t>
  </si>
  <si>
    <t>E03642</t>
  </si>
  <si>
    <t>$147,447</t>
  </si>
  <si>
    <t>amara.martin@northfield-hr.com</t>
  </si>
  <si>
    <t>E04054</t>
  </si>
  <si>
    <t>$43,067.55</t>
  </si>
  <si>
    <t>jessica.wilson@northfield-hr.com</t>
  </si>
  <si>
    <t>E03315</t>
  </si>
  <si>
    <t>E02935</t>
  </si>
  <si>
    <t xml:space="preserve"> YOUNG</t>
  </si>
  <si>
    <t>noah.young@northfield-hr.com</t>
  </si>
  <si>
    <t>E00606</t>
  </si>
  <si>
    <t>$47,455.87</t>
  </si>
  <si>
    <t>thomas.scott@northfield-hr.com</t>
  </si>
  <si>
    <t>E00897</t>
  </si>
  <si>
    <t>E00528</t>
  </si>
  <si>
    <t>$121,791.29</t>
  </si>
  <si>
    <t>E04608</t>
  </si>
  <si>
    <t xml:space="preserve"> Engineering </t>
  </si>
  <si>
    <t>E02348</t>
  </si>
  <si>
    <t>$54,406</t>
  </si>
  <si>
    <t>E03440</t>
  </si>
  <si>
    <t xml:space="preserve"> Scott </t>
  </si>
  <si>
    <t>linda.scott@northfield-hr.com</t>
  </si>
  <si>
    <t>E00120</t>
  </si>
  <si>
    <t>$99,440.99</t>
  </si>
  <si>
    <t>E03923</t>
  </si>
  <si>
    <t xml:space="preserve">EMMA </t>
  </si>
  <si>
    <t>$81,175.47</t>
  </si>
  <si>
    <t>E00299</t>
  </si>
  <si>
    <t>E02120</t>
  </si>
  <si>
    <t xml:space="preserve"> coordinator </t>
  </si>
  <si>
    <t>$58,045.63</t>
  </si>
  <si>
    <t>E02537</t>
  </si>
  <si>
    <t>$62,925.73</t>
  </si>
  <si>
    <t>chidi.torres@northfield-hr.com</t>
  </si>
  <si>
    <t>E04204</t>
  </si>
  <si>
    <t>$102,679</t>
  </si>
  <si>
    <t>carlos.wright@northfield-hr.com</t>
  </si>
  <si>
    <t>E03255</t>
  </si>
  <si>
    <t>charles.perez@northfield-hr.com</t>
  </si>
  <si>
    <t>E03726</t>
  </si>
  <si>
    <t>E01261</t>
  </si>
  <si>
    <t>$73,263</t>
  </si>
  <si>
    <t>susan.robinson@northfield-hr.com</t>
  </si>
  <si>
    <t>E01559</t>
  </si>
  <si>
    <t xml:space="preserve">Martin </t>
  </si>
  <si>
    <t>fatima.martin@northfield-hr.com</t>
  </si>
  <si>
    <t>E03270</t>
  </si>
  <si>
    <t xml:space="preserve">SARAH </t>
  </si>
  <si>
    <t xml:space="preserve">BROWN </t>
  </si>
  <si>
    <t>$105,933.13</t>
  </si>
  <si>
    <t>sarah.brown@northfield-hr.com</t>
  </si>
  <si>
    <t>E04047</t>
  </si>
  <si>
    <t xml:space="preserve">sarah </t>
  </si>
  <si>
    <t>sarah.robinson@northfield-hr.com</t>
  </si>
  <si>
    <t>E00757</t>
  </si>
  <si>
    <t>chidi.garcia@northfield-hr.com</t>
  </si>
  <si>
    <t>E01011</t>
  </si>
  <si>
    <t xml:space="preserve"> thompson</t>
  </si>
  <si>
    <t>olga.thompson@northfield-hr.com</t>
  </si>
  <si>
    <t>E02906</t>
  </si>
  <si>
    <t>wei.sanchez@northfield-hr.com</t>
  </si>
  <si>
    <t>E01871</t>
  </si>
  <si>
    <t>E02230</t>
  </si>
  <si>
    <t>james.rodriguez@northfield-hr.com</t>
  </si>
  <si>
    <t>E01174</t>
  </si>
  <si>
    <t xml:space="preserve">richard </t>
  </si>
  <si>
    <t>$80,109.03</t>
  </si>
  <si>
    <t>richard.sanchez@northfield-hr.com</t>
  </si>
  <si>
    <t>E01833</t>
  </si>
  <si>
    <t>$109,268</t>
  </si>
  <si>
    <t>mary.anderson@northfield-hr.com</t>
  </si>
  <si>
    <t>E00377</t>
  </si>
  <si>
    <t>$66,609</t>
  </si>
  <si>
    <t>yuki.williams@northfield-hr.com</t>
  </si>
  <si>
    <t>E03854</t>
  </si>
  <si>
    <t>$58,781</t>
  </si>
  <si>
    <t>susan.davis@northfield-hr.com</t>
  </si>
  <si>
    <t>E03617</t>
  </si>
  <si>
    <t xml:space="preserve">RAMIREZ </t>
  </si>
  <si>
    <t>$79,529.51</t>
  </si>
  <si>
    <t>E00799</t>
  </si>
  <si>
    <t xml:space="preserve">WALKER </t>
  </si>
  <si>
    <t>E00379</t>
  </si>
  <si>
    <t>$109,143.87</t>
  </si>
  <si>
    <t>chidi.anderson@northfield-hr.com</t>
  </si>
  <si>
    <t>E01159</t>
  </si>
  <si>
    <t>hiroshi.rodriguez@northfield-hr.com</t>
  </si>
  <si>
    <t>E03820</t>
  </si>
  <si>
    <t>E02793</t>
  </si>
  <si>
    <t xml:space="preserve"> Charles </t>
  </si>
  <si>
    <t>E02241</t>
  </si>
  <si>
    <t>$77,329.46</t>
  </si>
  <si>
    <t>mary.perez@northfield-hr.com</t>
  </si>
  <si>
    <t>E04036</t>
  </si>
  <si>
    <t>susan.wilson@northfield-hr.com</t>
  </si>
  <si>
    <t>E02663</t>
  </si>
  <si>
    <t>E04013</t>
  </si>
  <si>
    <t>E02958</t>
  </si>
  <si>
    <t xml:space="preserve"> YUKI</t>
  </si>
  <si>
    <t>E03928</t>
  </si>
  <si>
    <t>linda.allen@northfield-hr.com</t>
  </si>
  <si>
    <t>E01039</t>
  </si>
  <si>
    <t>$133,780.87</t>
  </si>
  <si>
    <t>E03260</t>
  </si>
  <si>
    <t>$51,961</t>
  </si>
  <si>
    <t>amara.brown@northfield-hr.com</t>
  </si>
  <si>
    <t>E01345</t>
  </si>
  <si>
    <t xml:space="preserve">Lucas </t>
  </si>
  <si>
    <t>lucas.wilson@northfield-hr.com</t>
  </si>
  <si>
    <t>E02506</t>
  </si>
  <si>
    <t>$55,604</t>
  </si>
  <si>
    <t>linda.lee@northfield-hr.com</t>
  </si>
  <si>
    <t>E01722</t>
  </si>
  <si>
    <t>$111,493.47</t>
  </si>
  <si>
    <t>hiroshi.clark@northfield-hr.com</t>
  </si>
  <si>
    <t>E04664</t>
  </si>
  <si>
    <t xml:space="preserve"> elizabeth</t>
  </si>
  <si>
    <t>elizabeth.thompson@northfield-hr.com</t>
  </si>
  <si>
    <t>E00176</t>
  </si>
  <si>
    <t>michael.lee@northfield-hr.com</t>
  </si>
  <si>
    <t>E01910</t>
  </si>
  <si>
    <t>$82,779.87</t>
  </si>
  <si>
    <t>carlos.martinez@northfield-hr.com</t>
  </si>
  <si>
    <t>E00046</t>
  </si>
  <si>
    <t>elizabeth.moore@northfield-hr.com</t>
  </si>
  <si>
    <t>E03410</t>
  </si>
  <si>
    <t>$127,476</t>
  </si>
  <si>
    <t>E04675</t>
  </si>
  <si>
    <t xml:space="preserve"> Yuki</t>
  </si>
  <si>
    <t xml:space="preserve">specialist  </t>
  </si>
  <si>
    <t>$110,117.61</t>
  </si>
  <si>
    <t>yuki.hernandez@northfield-hr.com</t>
  </si>
  <si>
    <t>E01076</t>
  </si>
  <si>
    <t xml:space="preserve">Aiko </t>
  </si>
  <si>
    <t>aiko.garcia@northfield-hr.com</t>
  </si>
  <si>
    <t>E02830</t>
  </si>
  <si>
    <t>E01505</t>
  </si>
  <si>
    <t>E02310</t>
  </si>
  <si>
    <t xml:space="preserve"> Smith </t>
  </si>
  <si>
    <t>$148,003</t>
  </si>
  <si>
    <t>chidi.smith@northfield-hr.com</t>
  </si>
  <si>
    <t>E01437</t>
  </si>
  <si>
    <t>$43,317.97</t>
  </si>
  <si>
    <t>linda.martinez@northfield-hr.com</t>
  </si>
  <si>
    <t>E02419</t>
  </si>
  <si>
    <t>$81,332.97</t>
  </si>
  <si>
    <t>E03987</t>
  </si>
  <si>
    <t xml:space="preserve"> nguyen</t>
  </si>
  <si>
    <t>$83,579.94</t>
  </si>
  <si>
    <t>chidi.nguyen@northfield-hr.com</t>
  </si>
  <si>
    <t>E03099</t>
  </si>
  <si>
    <t xml:space="preserve">gonzalez </t>
  </si>
  <si>
    <t>$51,361</t>
  </si>
  <si>
    <t>jennifer.gonzalez@northfield-hr.com</t>
  </si>
  <si>
    <t>E04589</t>
  </si>
  <si>
    <t>$67,027.09</t>
  </si>
  <si>
    <t>E00284</t>
  </si>
  <si>
    <t>linda.gonzalez@northfield-hr.com</t>
  </si>
  <si>
    <t>E00551</t>
  </si>
  <si>
    <t>E00843</t>
  </si>
  <si>
    <t>chidi.young@northfield-hr.com</t>
  </si>
  <si>
    <t>E01514</t>
  </si>
  <si>
    <t>noah.ramirez@northfield-hr.com</t>
  </si>
  <si>
    <t>E01169</t>
  </si>
  <si>
    <t xml:space="preserve"> WRIGHT</t>
  </si>
  <si>
    <t>E01593</t>
  </si>
  <si>
    <t>fatima.rodriguez@northfield-hr.com</t>
  </si>
  <si>
    <t>E03461</t>
  </si>
  <si>
    <t>E03166</t>
  </si>
  <si>
    <t>jennifer.davis@northfield-hr.com</t>
  </si>
  <si>
    <t>E02285</t>
  </si>
  <si>
    <t>$84,159.17</t>
  </si>
  <si>
    <t>sofia.scott@northfield-hr.com</t>
  </si>
  <si>
    <t>E03576</t>
  </si>
  <si>
    <t>$105,229</t>
  </si>
  <si>
    <t>charles.thomas@northfield-hr.com</t>
  </si>
  <si>
    <t>E01862</t>
  </si>
  <si>
    <t xml:space="preserve"> LIAM </t>
  </si>
  <si>
    <t xml:space="preserve"> Torres</t>
  </si>
  <si>
    <t xml:space="preserve">Senior  Analyst </t>
  </si>
  <si>
    <t>E02306</t>
  </si>
  <si>
    <t>jessica.adams@northfield-hr.com</t>
  </si>
  <si>
    <t>E00953</t>
  </si>
  <si>
    <t>noah.perez@northfield-hr.com</t>
  </si>
  <si>
    <t>E00148</t>
  </si>
  <si>
    <t xml:space="preserve">  Associate</t>
  </si>
  <si>
    <t>mohammed.moore@northfield-hr.com</t>
  </si>
  <si>
    <t>E03054</t>
  </si>
  <si>
    <t xml:space="preserve"> Walker</t>
  </si>
  <si>
    <t>$105,942</t>
  </si>
  <si>
    <t>E04560</t>
  </si>
  <si>
    <t xml:space="preserve">ANALYST  </t>
  </si>
  <si>
    <t>$55,428.72</t>
  </si>
  <si>
    <t>susan.lewis@northfield-hr.com</t>
  </si>
  <si>
    <t>E02686</t>
  </si>
  <si>
    <t>E01490</t>
  </si>
  <si>
    <t>E00928</t>
  </si>
  <si>
    <t xml:space="preserve">Olga </t>
  </si>
  <si>
    <t>$56,162</t>
  </si>
  <si>
    <t>olga.wilson@northfield-hr.com</t>
  </si>
  <si>
    <t>E01210</t>
  </si>
  <si>
    <t>jessica.williams@northfield-hr.com</t>
  </si>
  <si>
    <t>E03974</t>
  </si>
  <si>
    <t>E03546</t>
  </si>
  <si>
    <t xml:space="preserve"> Patricia </t>
  </si>
  <si>
    <t>$81,276</t>
  </si>
  <si>
    <t>E04362</t>
  </si>
  <si>
    <t>$61,332</t>
  </si>
  <si>
    <t>linda.taylor@northfield-hr.com</t>
  </si>
  <si>
    <t>E01922</t>
  </si>
  <si>
    <t>elizabeth.wright@northfield-hr.com</t>
  </si>
  <si>
    <t>E00352</t>
  </si>
  <si>
    <t>$110,407</t>
  </si>
  <si>
    <t>chidi.williams@northfield-hr.com</t>
  </si>
  <si>
    <t>E03202</t>
  </si>
  <si>
    <t>joseph.martin@northfield-hr.com</t>
  </si>
  <si>
    <t>E03394</t>
  </si>
  <si>
    <t>$62,530.64</t>
  </si>
  <si>
    <t>E02722</t>
  </si>
  <si>
    <t xml:space="preserve">RICHARD </t>
  </si>
  <si>
    <t xml:space="preserve">Engg </t>
  </si>
  <si>
    <t>richard.martin@northfield-hr.com</t>
  </si>
  <si>
    <t xml:space="preserve"> Sanchez </t>
  </si>
  <si>
    <t>E00719</t>
  </si>
  <si>
    <t>$121,043</t>
  </si>
  <si>
    <t>amara.davis@northfield-hr.com</t>
  </si>
  <si>
    <t>E02703</t>
  </si>
  <si>
    <t>william.martinez@northfield-hr.com</t>
  </si>
  <si>
    <t>E02723</t>
  </si>
  <si>
    <t xml:space="preserve"> WILLIAMS</t>
  </si>
  <si>
    <t>$55,886</t>
  </si>
  <si>
    <t>wei.williams@northfield-hr.com</t>
  </si>
  <si>
    <t>E04562</t>
  </si>
  <si>
    <t>E01676</t>
  </si>
  <si>
    <t>fatima.jackson@northfield-hr.com</t>
  </si>
  <si>
    <t>E00834</t>
  </si>
  <si>
    <t xml:space="preserve">KAREN  </t>
  </si>
  <si>
    <t>$44,162.68</t>
  </si>
  <si>
    <t>karen.perez@northfield-hr.com</t>
  </si>
  <si>
    <t>E00367</t>
  </si>
  <si>
    <t>richard.robinson@northfield-hr.com</t>
  </si>
  <si>
    <t>E04507</t>
  </si>
  <si>
    <t>$61,072</t>
  </si>
  <si>
    <t>noah.williams@northfield-hr.com</t>
  </si>
  <si>
    <t>E02079</t>
  </si>
  <si>
    <t>michael.harris@northfield-hr.com</t>
  </si>
  <si>
    <t>E04039</t>
  </si>
  <si>
    <t xml:space="preserve">  Analyst</t>
  </si>
  <si>
    <t>wei.ramirez@northfield-hr.com</t>
  </si>
  <si>
    <t>E03204</t>
  </si>
  <si>
    <t>amara.ramirez@northfield-hr.com</t>
  </si>
  <si>
    <t>E04480</t>
  </si>
  <si>
    <t>$56,180</t>
  </si>
  <si>
    <t>liam.jones@northfield-hr.com</t>
  </si>
  <si>
    <t>E01747</t>
  </si>
  <si>
    <t>barbara.rodriguez@northfield-hr.com</t>
  </si>
  <si>
    <t>E00020</t>
  </si>
  <si>
    <t>$121,996.21</t>
  </si>
  <si>
    <t>E01323</t>
  </si>
  <si>
    <t xml:space="preserve"> patricia</t>
  </si>
  <si>
    <t>E03568</t>
  </si>
  <si>
    <t>$49,407.13</t>
  </si>
  <si>
    <t>emma.wilson@northfield-hr.com</t>
  </si>
  <si>
    <t>E02522</t>
  </si>
  <si>
    <t>$57,703</t>
  </si>
  <si>
    <t>barbara.martinez@northfield-hr.com</t>
  </si>
  <si>
    <t>E00219</t>
  </si>
  <si>
    <t>$59,001.10</t>
  </si>
  <si>
    <t>ava.gonzalez@northfield-hr.com</t>
  </si>
  <si>
    <t>E01488</t>
  </si>
  <si>
    <t>$95,757.13</t>
  </si>
  <si>
    <t>noah.allen@northfield-hr.com</t>
  </si>
  <si>
    <t>E00439</t>
  </si>
  <si>
    <t>ava.white@northfield-hr.com</t>
  </si>
  <si>
    <t>E04175</t>
  </si>
  <si>
    <t>E02751</t>
  </si>
  <si>
    <t>$45,630</t>
  </si>
  <si>
    <t>E03289</t>
  </si>
  <si>
    <t>$38,814</t>
  </si>
  <si>
    <t>E03434</t>
  </si>
  <si>
    <t>E02526</t>
  </si>
  <si>
    <t xml:space="preserve">  emma</t>
  </si>
  <si>
    <t>emma.young@northfield-hr.com</t>
  </si>
  <si>
    <t>E04651</t>
  </si>
  <si>
    <t>$106,367.71</t>
  </si>
  <si>
    <t>barbara.robinson@northfield-hr.com</t>
  </si>
  <si>
    <t>E03689</t>
  </si>
  <si>
    <t>hiroshi.williams@northfield-hr.com</t>
  </si>
  <si>
    <t>E02764</t>
  </si>
  <si>
    <t xml:space="preserve"> smith </t>
  </si>
  <si>
    <t>E00803</t>
  </si>
  <si>
    <t>charles.adams@northfield-hr.com</t>
  </si>
  <si>
    <t>E02998</t>
  </si>
  <si>
    <t>mohammed.miller@northfield-hr.com</t>
  </si>
  <si>
    <t>E02229</t>
  </si>
  <si>
    <t>richard.garcia@northfield-hr.com</t>
  </si>
  <si>
    <t>E01650</t>
  </si>
  <si>
    <t>MARY</t>
  </si>
  <si>
    <t>mary.thompson@northfield-hr.com</t>
  </si>
  <si>
    <t>E02078</t>
  </si>
  <si>
    <t>$50,075</t>
  </si>
  <si>
    <t>yuki.thomas@northfield-hr.com</t>
  </si>
  <si>
    <t>E00583</t>
  </si>
  <si>
    <t>david.lopez@northfield-hr.com</t>
  </si>
  <si>
    <t>E00204</t>
  </si>
  <si>
    <t>E04347</t>
  </si>
  <si>
    <t>$153,237.14</t>
  </si>
  <si>
    <t>E03479</t>
  </si>
  <si>
    <t>E02930</t>
  </si>
  <si>
    <t>$66,363</t>
  </si>
  <si>
    <t>thomas.nguyen@northfield-hr.com</t>
  </si>
  <si>
    <t>E03086</t>
  </si>
  <si>
    <t>E01019</t>
  </si>
  <si>
    <t>SARAH</t>
  </si>
  <si>
    <t>sarah.jones@northfield-hr.com</t>
  </si>
  <si>
    <t>E01584</t>
  </si>
  <si>
    <t xml:space="preserve">Engineering  </t>
  </si>
  <si>
    <t>karen.smith@northfield-hr.com</t>
  </si>
  <si>
    <t>E01033</t>
  </si>
  <si>
    <t xml:space="preserve"> perez</t>
  </si>
  <si>
    <t>priya.perez@northfield-hr.com</t>
  </si>
  <si>
    <t>E01719</t>
  </si>
  <si>
    <t xml:space="preserve"> lucas</t>
  </si>
  <si>
    <t xml:space="preserve"> customer support</t>
  </si>
  <si>
    <t xml:space="preserve">COORDINATOR  </t>
  </si>
  <si>
    <t>$40,162.54</t>
  </si>
  <si>
    <t>lucas.scott@northfield-hr.com</t>
  </si>
  <si>
    <t>E01282</t>
  </si>
  <si>
    <t>$77,781.15</t>
  </si>
  <si>
    <t>carlos.young@northfield-hr.com</t>
  </si>
  <si>
    <t>E02499</t>
  </si>
  <si>
    <t>liam.clark@northfield-hr.com</t>
  </si>
  <si>
    <t>E03351</t>
  </si>
  <si>
    <t>$203,942.49</t>
  </si>
  <si>
    <t>hiroshi.lopez@northfield-hr.com</t>
  </si>
  <si>
    <t>E00518</t>
  </si>
  <si>
    <t>$122,475</t>
  </si>
  <si>
    <t>susan.anderson@northfield-hr.com</t>
  </si>
  <si>
    <t>E01748</t>
  </si>
  <si>
    <t xml:space="preserve">Saless </t>
  </si>
  <si>
    <t>$71,043</t>
  </si>
  <si>
    <t>patricia.lee@northfield-hr.com</t>
  </si>
  <si>
    <t>E04653</t>
  </si>
  <si>
    <t xml:space="preserve">allen </t>
  </si>
  <si>
    <t>susan.allen@northfield-hr.com</t>
  </si>
  <si>
    <t>E03733</t>
  </si>
  <si>
    <t>E00669</t>
  </si>
  <si>
    <t>emma.robinson@northfield-hr.com</t>
  </si>
  <si>
    <t>E04060</t>
  </si>
  <si>
    <t>E03027</t>
  </si>
  <si>
    <t>$39,614.74</t>
  </si>
  <si>
    <t>charles.scott@northfield-hr.com</t>
  </si>
  <si>
    <t>E01043</t>
  </si>
  <si>
    <t xml:space="preserve">Hernandez </t>
  </si>
  <si>
    <t>E03287</t>
  </si>
  <si>
    <t>jessica.moore@northfield-hr.com</t>
  </si>
  <si>
    <t>E02651</t>
  </si>
  <si>
    <t>$67,110.67</t>
  </si>
  <si>
    <t>fatima.hernandez@northfield-hr.com</t>
  </si>
  <si>
    <t>E04454</t>
  </si>
  <si>
    <t>$130,752.97</t>
  </si>
  <si>
    <t>E03193</t>
  </si>
  <si>
    <t>$42,234</t>
  </si>
  <si>
    <t>noah.thompson@northfield-hr.com</t>
  </si>
  <si>
    <t>E02125</t>
  </si>
  <si>
    <t>E03376</t>
  </si>
  <si>
    <t>E03393</t>
  </si>
  <si>
    <t>$93,029</t>
  </si>
  <si>
    <t>E03486</t>
  </si>
  <si>
    <t>thomas.harris@northfield-hr.com</t>
  </si>
  <si>
    <t>E00760</t>
  </si>
  <si>
    <t xml:space="preserve">Martinez </t>
  </si>
  <si>
    <t>$45,260.61</t>
  </si>
  <si>
    <t>E03380</t>
  </si>
  <si>
    <t>E04441</t>
  </si>
  <si>
    <t xml:space="preserve">Coordinator  </t>
  </si>
  <si>
    <t>chidi.hernandez@northfield-hr.com</t>
  </si>
  <si>
    <t>E02527</t>
  </si>
  <si>
    <t>$113,212.08</t>
  </si>
  <si>
    <t>chidi.perez@northfield-hr.com</t>
  </si>
  <si>
    <t>E00908</t>
  </si>
  <si>
    <t>$37,575</t>
  </si>
  <si>
    <t>susan.martinez@northfield-hr.com</t>
  </si>
  <si>
    <t>E02684</t>
  </si>
  <si>
    <t xml:space="preserve"> williams</t>
  </si>
  <si>
    <t>michael.williams@northfield-hr.com</t>
  </si>
  <si>
    <t>E00215</t>
  </si>
  <si>
    <t xml:space="preserve">Markting </t>
  </si>
  <si>
    <t>ingrid.king@northfield-hr.com</t>
  </si>
  <si>
    <t>E03332</t>
  </si>
  <si>
    <t>E04459</t>
  </si>
  <si>
    <t>$63,042</t>
  </si>
  <si>
    <t>michael.young@northfield-hr.com</t>
  </si>
  <si>
    <t>E00694</t>
  </si>
  <si>
    <t xml:space="preserve"> Clark</t>
  </si>
  <si>
    <t>$113,615.93</t>
  </si>
  <si>
    <t>E01504</t>
  </si>
  <si>
    <t>sofia.johnson@northfield-hr.com</t>
  </si>
  <si>
    <t>E02415</t>
  </si>
  <si>
    <t>$91,816.80</t>
  </si>
  <si>
    <t>diego.torres@northfield-hr.com</t>
  </si>
  <si>
    <t>E02119</t>
  </si>
  <si>
    <t>sarah.jackson@northfield-hr.com</t>
  </si>
  <si>
    <t>E02463</t>
  </si>
  <si>
    <t>E03636</t>
  </si>
  <si>
    <t>$106,529.40</t>
  </si>
  <si>
    <t>E04479</t>
  </si>
  <si>
    <t>$44,713</t>
  </si>
  <si>
    <t>mateo.hill@northfield-hr.com</t>
  </si>
  <si>
    <t>E00197</t>
  </si>
  <si>
    <t>$78,884.43</t>
  </si>
  <si>
    <t>jennifer.sanchez@northfield-hr.com</t>
  </si>
  <si>
    <t>E04668</t>
  </si>
  <si>
    <t>E01544</t>
  </si>
  <si>
    <t>$43,004</t>
  </si>
  <si>
    <t>E01331</t>
  </si>
  <si>
    <t xml:space="preserve"> LUCAS </t>
  </si>
  <si>
    <t>$50,053.87</t>
  </si>
  <si>
    <t>E00880</t>
  </si>
  <si>
    <t>linda.garcia@northfield-hr.com</t>
  </si>
  <si>
    <t>E04503</t>
  </si>
  <si>
    <t>$140,728.18</t>
  </si>
  <si>
    <t>mohammed.lee@northfield-hr.com</t>
  </si>
  <si>
    <t>E03502</t>
  </si>
  <si>
    <t>$90,389</t>
  </si>
  <si>
    <t>liam.moore@northfield-hr.com</t>
  </si>
  <si>
    <t>E03895</t>
  </si>
  <si>
    <t xml:space="preserve"> Robert </t>
  </si>
  <si>
    <t>robert.martinez@northfield-hr.com</t>
  </si>
  <si>
    <t>E03335</t>
  </si>
  <si>
    <t>$85,871</t>
  </si>
  <si>
    <t>chidi.wright@northfield-hr.com</t>
  </si>
  <si>
    <t>E00888</t>
  </si>
  <si>
    <t xml:space="preserve"> MOORE </t>
  </si>
  <si>
    <t>$91,708.73</t>
  </si>
  <si>
    <t>E01346</t>
  </si>
  <si>
    <t xml:space="preserve">Human Resource </t>
  </si>
  <si>
    <t>$45,290</t>
  </si>
  <si>
    <t>elizabeth.martin@northfield-hr.com</t>
  </si>
  <si>
    <t>E00069</t>
  </si>
  <si>
    <t>E04211</t>
  </si>
  <si>
    <t xml:space="preserve"> olga</t>
  </si>
  <si>
    <t>olga.allen@northfield-hr.com</t>
  </si>
  <si>
    <t>E01816</t>
  </si>
  <si>
    <t>E00569</t>
  </si>
  <si>
    <t>hiroshi.smith@northfield-hr.com</t>
  </si>
  <si>
    <t>E02168</t>
  </si>
  <si>
    <t>$128,174</t>
  </si>
  <si>
    <t>robert.white@northfield-hr.com</t>
  </si>
  <si>
    <t>E00097</t>
  </si>
  <si>
    <t>E04182</t>
  </si>
  <si>
    <t xml:space="preserve">Aiko  </t>
  </si>
  <si>
    <t>E03354</t>
  </si>
  <si>
    <t xml:space="preserve">WRIGHT </t>
  </si>
  <si>
    <t>olga.wright@northfield-hr.com</t>
  </si>
  <si>
    <t>E00140</t>
  </si>
  <si>
    <t>E00399</t>
  </si>
  <si>
    <t>robert.lewis@northfield-hr.com</t>
  </si>
  <si>
    <t>E02603</t>
  </si>
  <si>
    <t>$66,431.97</t>
  </si>
  <si>
    <t>E04024</t>
  </si>
  <si>
    <t>susan.taylor@northfield-hr.com</t>
  </si>
  <si>
    <t>E02592</t>
  </si>
  <si>
    <t xml:space="preserve"> Ingrid</t>
  </si>
  <si>
    <t>$79,306.28</t>
  </si>
  <si>
    <t>ingrid.garcia@northfield-hr.com</t>
  </si>
  <si>
    <t>E01607</t>
  </si>
  <si>
    <t>$63,242.49</t>
  </si>
  <si>
    <t>E01630</t>
  </si>
  <si>
    <t>olga.adams@northfield-hr.com</t>
  </si>
  <si>
    <t>E01540</t>
  </si>
  <si>
    <t>E01695</t>
  </si>
  <si>
    <t>OLGA</t>
  </si>
  <si>
    <t>olga.brown@northfield-hr.com</t>
  </si>
  <si>
    <t>E00464</t>
  </si>
  <si>
    <t>E02331</t>
  </si>
  <si>
    <t xml:space="preserve">White </t>
  </si>
  <si>
    <t>$51,901.04</t>
  </si>
  <si>
    <t>susan.white@northfield-hr.com</t>
  </si>
  <si>
    <t>E03044</t>
  </si>
  <si>
    <t>michael.moore@northfield-hr.com</t>
  </si>
  <si>
    <t>E00595</t>
  </si>
  <si>
    <t>E03815</t>
  </si>
  <si>
    <t>$33,466</t>
  </si>
  <si>
    <t>E00626</t>
  </si>
  <si>
    <t>joseph.nguyen@northfield-hr.com</t>
  </si>
  <si>
    <t>E00451</t>
  </si>
  <si>
    <t>E01500</t>
  </si>
  <si>
    <t>$87,786</t>
  </si>
  <si>
    <t>E02457</t>
  </si>
  <si>
    <t xml:space="preserve"> anderson</t>
  </si>
  <si>
    <t>$81,561.95</t>
  </si>
  <si>
    <t>E01309</t>
  </si>
  <si>
    <t xml:space="preserve"> Emma</t>
  </si>
  <si>
    <t xml:space="preserve"> hernandez</t>
  </si>
  <si>
    <t>$237,199</t>
  </si>
  <si>
    <t>E02985</t>
  </si>
  <si>
    <t>diego.robinson@northfield-hr.com</t>
  </si>
  <si>
    <t>E01570</t>
  </si>
  <si>
    <t>E01035</t>
  </si>
  <si>
    <t>$48,117.02</t>
  </si>
  <si>
    <t>E03519</t>
  </si>
  <si>
    <t>$162,792</t>
  </si>
  <si>
    <t>E01558</t>
  </si>
  <si>
    <t xml:space="preserve"> Senior Analyst </t>
  </si>
  <si>
    <t>$51,968.36</t>
  </si>
  <si>
    <t>fatima.wright@northfield-hr.com</t>
  </si>
  <si>
    <t>E03625</t>
  </si>
  <si>
    <t>$52,828.59</t>
  </si>
  <si>
    <t>sarah.sanchez@northfield-hr.com</t>
  </si>
  <si>
    <t>E04665</t>
  </si>
  <si>
    <t xml:space="preserve"> WILSON</t>
  </si>
  <si>
    <t>aiko.wilson@northfield-hr.com</t>
  </si>
  <si>
    <t>E00151</t>
  </si>
  <si>
    <t>E01421</t>
  </si>
  <si>
    <t xml:space="preserve"> michael</t>
  </si>
  <si>
    <t>E02012</t>
  </si>
  <si>
    <t>E02687</t>
  </si>
  <si>
    <t>aiko.ramirez@northfield-hr.com</t>
  </si>
  <si>
    <t>E01787</t>
  </si>
  <si>
    <t xml:space="preserve"> Marketing </t>
  </si>
  <si>
    <t>E00089</t>
  </si>
  <si>
    <t>aiko.sanchez@northfield-hr.com</t>
  </si>
  <si>
    <t>E00458</t>
  </si>
  <si>
    <t>E01306</t>
  </si>
  <si>
    <t>$108,263</t>
  </si>
  <si>
    <t>yuki.garcia@northfield-hr.com</t>
  </si>
  <si>
    <t>E02926</t>
  </si>
  <si>
    <t xml:space="preserve">MILLER </t>
  </si>
  <si>
    <t>$59,128.14</t>
  </si>
  <si>
    <t>fatima.miller@northfield-hr.com</t>
  </si>
  <si>
    <t>E03271</t>
  </si>
  <si>
    <t xml:space="preserve">  Coordinator</t>
  </si>
  <si>
    <t>E03228</t>
  </si>
  <si>
    <t xml:space="preserve">rodriguez </t>
  </si>
  <si>
    <t>E01989</t>
  </si>
  <si>
    <t>$105,506.63</t>
  </si>
  <si>
    <t>patricia.king@northfield-hr.com</t>
  </si>
  <si>
    <t>E03755</t>
  </si>
  <si>
    <t>E03647</t>
  </si>
  <si>
    <t>jessica.torres@northfield-hr.com</t>
  </si>
  <si>
    <t>E00832</t>
  </si>
  <si>
    <t xml:space="preserve"> RODRIGUEZ</t>
  </si>
  <si>
    <t>E00240</t>
  </si>
  <si>
    <t>aiko.perez@northfield-hr.com</t>
  </si>
  <si>
    <t>E04682</t>
  </si>
  <si>
    <t>noah.white@northfield-hr.com</t>
  </si>
  <si>
    <t>E03023</t>
  </si>
  <si>
    <t>E03149</t>
  </si>
  <si>
    <t>E01947</t>
  </si>
  <si>
    <t xml:space="preserve">LEE </t>
  </si>
  <si>
    <t>joseph.lee@northfield-hr.com</t>
  </si>
  <si>
    <t>E02776</t>
  </si>
  <si>
    <t xml:space="preserve"> CUSTOMER SUPPORT</t>
  </si>
  <si>
    <t>E00193</t>
  </si>
  <si>
    <t>E01830</t>
  </si>
  <si>
    <t>E03744</t>
  </si>
  <si>
    <t>chidi.jones@northfield-hr.com</t>
  </si>
  <si>
    <t>E00945</t>
  </si>
  <si>
    <t>$106,070.74</t>
  </si>
  <si>
    <t>E01269</t>
  </si>
  <si>
    <t>$62,527.79</t>
  </si>
  <si>
    <t>jessica.hill@northfield-hr.com</t>
  </si>
  <si>
    <t>E04232</t>
  </si>
  <si>
    <t>amara.lopez@northfield-hr.com</t>
  </si>
  <si>
    <t>E02308</t>
  </si>
  <si>
    <t>E04425</t>
  </si>
  <si>
    <t>$67,395.08</t>
  </si>
  <si>
    <t>E02314</t>
  </si>
  <si>
    <t>E03215</t>
  </si>
  <si>
    <t xml:space="preserve">aiko </t>
  </si>
  <si>
    <t>$42,556</t>
  </si>
  <si>
    <t>aiko.brown@northfield-hr.com</t>
  </si>
  <si>
    <t>E02733</t>
  </si>
  <si>
    <t>diego.miller@northfield-hr.com</t>
  </si>
  <si>
    <t>E01927</t>
  </si>
  <si>
    <t xml:space="preserve">  Operations </t>
  </si>
  <si>
    <t>jessica.thompson@northfield-hr.com</t>
  </si>
  <si>
    <t>E04228</t>
  </si>
  <si>
    <t>$77,055.30</t>
  </si>
  <si>
    <t>aiko.nguyen@northfield-hr.com</t>
  </si>
  <si>
    <t>E04677</t>
  </si>
  <si>
    <t>elizabeth.white@northfield-hr.com</t>
  </si>
  <si>
    <t>E00801</t>
  </si>
  <si>
    <t>elizabeth.brown@northfield-hr.com</t>
  </si>
  <si>
    <t>E03672</t>
  </si>
  <si>
    <t>$95,330.36</t>
  </si>
  <si>
    <t>E04194</t>
  </si>
  <si>
    <t>$88,172</t>
  </si>
  <si>
    <t>E02969</t>
  </si>
  <si>
    <t xml:space="preserve">sanchez </t>
  </si>
  <si>
    <t>$102,129</t>
  </si>
  <si>
    <t>ingrid.sanchez@northfield-hr.com</t>
  </si>
  <si>
    <t>E04630</t>
  </si>
  <si>
    <t>$68,158.02</t>
  </si>
  <si>
    <t>E04369</t>
  </si>
  <si>
    <t>joseph.hernandez@northfield-hr.com</t>
  </si>
  <si>
    <t>E02777</t>
  </si>
  <si>
    <t>$93,688</t>
  </si>
  <si>
    <t>E02971</t>
  </si>
  <si>
    <t>$72,217.13</t>
  </si>
  <si>
    <t>joseph.hill@northfield-hr.com</t>
  </si>
  <si>
    <t>E03868</t>
  </si>
  <si>
    <t>E01744</t>
  </si>
  <si>
    <t>sarah.walker@northfield-hr.com</t>
  </si>
  <si>
    <t>E03949</t>
  </si>
  <si>
    <t>wei.clark@northfield-hr.com</t>
  </si>
  <si>
    <t>E03803</t>
  </si>
  <si>
    <t>E02025</t>
  </si>
  <si>
    <t>E02275</t>
  </si>
  <si>
    <t>$57,065</t>
  </si>
  <si>
    <t>thomas.hernandez@northfield-hr.com</t>
  </si>
  <si>
    <t>E00100</t>
  </si>
  <si>
    <t>carlos.walker@northfield-hr.com</t>
  </si>
  <si>
    <t xml:space="preserve">I.T. </t>
  </si>
  <si>
    <t>E03408</t>
  </si>
  <si>
    <t>ingrid.martinez@northfield-hr.com</t>
  </si>
  <si>
    <t>E04246</t>
  </si>
  <si>
    <t>$51,102</t>
  </si>
  <si>
    <t>david.hernandez@northfield-hr.com</t>
  </si>
  <si>
    <t>E04620</t>
  </si>
  <si>
    <t>$71,369</t>
  </si>
  <si>
    <t>E00192</t>
  </si>
  <si>
    <t>$31,875</t>
  </si>
  <si>
    <t>E04697</t>
  </si>
  <si>
    <t>$37,730</t>
  </si>
  <si>
    <t>susan.harris@northfield-hr.com</t>
  </si>
  <si>
    <t>E01785</t>
  </si>
  <si>
    <t>$79,400</t>
  </si>
  <si>
    <t>james.hernandez@northfield-hr.com</t>
  </si>
  <si>
    <t>E01533</t>
  </si>
  <si>
    <t>$47,457.49</t>
  </si>
  <si>
    <t>william.rodriguez@northfield-hr.com</t>
  </si>
  <si>
    <t>E02835</t>
  </si>
  <si>
    <t>$60,482.84</t>
  </si>
  <si>
    <t>ava.anderson@northfield-hr.com</t>
  </si>
  <si>
    <t>E04445</t>
  </si>
  <si>
    <t>E01826</t>
  </si>
  <si>
    <t>ingrid.davis@northfield-hr.com</t>
  </si>
  <si>
    <t>E01599</t>
  </si>
  <si>
    <t>E01780</t>
  </si>
  <si>
    <t>E00739</t>
  </si>
  <si>
    <t>barbara.scott@northfield-hr.com</t>
  </si>
  <si>
    <t>E02575</t>
  </si>
  <si>
    <t>william.lewis@northfield-hr.com</t>
  </si>
  <si>
    <t>E03399</t>
  </si>
  <si>
    <t>E03976</t>
  </si>
  <si>
    <t>sarah.miller@northfield-hr.com</t>
  </si>
  <si>
    <t>E03771</t>
  </si>
  <si>
    <t>wei.jackson@northfield-hr.com</t>
  </si>
  <si>
    <t>E00167</t>
  </si>
  <si>
    <t xml:space="preserve">davis </t>
  </si>
  <si>
    <t>barbara.davis@northfield-hr.com</t>
  </si>
  <si>
    <t>E01752</t>
  </si>
  <si>
    <t>$58,712</t>
  </si>
  <si>
    <t>richard.allen@northfield-hr.com</t>
  </si>
  <si>
    <t>E01480</t>
  </si>
  <si>
    <t>E01025</t>
  </si>
  <si>
    <t>$98,740.12</t>
  </si>
  <si>
    <t>E01789</t>
  </si>
  <si>
    <t xml:space="preserve">Nguyen  </t>
  </si>
  <si>
    <t>wei.nguyen@northfield-hr.com</t>
  </si>
  <si>
    <t>E02265</t>
  </si>
  <si>
    <t>yuki.gonzalez@northfield-hr.com</t>
  </si>
  <si>
    <t>E02474</t>
  </si>
  <si>
    <t>chidi.ramirez@northfield-hr.com</t>
  </si>
  <si>
    <t>E01823</t>
  </si>
  <si>
    <t xml:space="preserve">JESSICA </t>
  </si>
  <si>
    <t>jessica.lopez@northfield-hr.com</t>
  </si>
  <si>
    <t>E01221</t>
  </si>
  <si>
    <t>$63,610</t>
  </si>
  <si>
    <t>E01667</t>
  </si>
  <si>
    <t>$58,614</t>
  </si>
  <si>
    <t>E02961</t>
  </si>
  <si>
    <t xml:space="preserve">mary </t>
  </si>
  <si>
    <t>mary.hernandez@northfield-hr.com</t>
  </si>
  <si>
    <t>E00153</t>
  </si>
  <si>
    <t>E02535</t>
  </si>
  <si>
    <t xml:space="preserve"> IT  </t>
  </si>
  <si>
    <t>$67,888</t>
  </si>
  <si>
    <t>carlos.allen@northfield-hr.com</t>
  </si>
  <si>
    <t>E04689</t>
  </si>
  <si>
    <t>$75,132.97</t>
  </si>
  <si>
    <t>richard.harris@northfield-hr.com</t>
  </si>
  <si>
    <t>E01979</t>
  </si>
  <si>
    <t>E01470</t>
  </si>
  <si>
    <t>$48,481</t>
  </si>
  <si>
    <t>robert.wright@northfield-hr.com</t>
  </si>
  <si>
    <t>E02808</t>
  </si>
  <si>
    <t>diego.allen@northfield-hr.com</t>
  </si>
  <si>
    <t>E02513</t>
  </si>
  <si>
    <t xml:space="preserve">martinez </t>
  </si>
  <si>
    <t>$62,300.20</t>
  </si>
  <si>
    <t>diego.martinez@northfield-hr.com</t>
  </si>
  <si>
    <t>E02944</t>
  </si>
  <si>
    <t>thomas.adams@northfield-hr.com</t>
  </si>
  <si>
    <t>E02981</t>
  </si>
  <si>
    <t>E03018</t>
  </si>
  <si>
    <t>E01567</t>
  </si>
  <si>
    <t>E00032</t>
  </si>
  <si>
    <t xml:space="preserve">  Richard</t>
  </si>
  <si>
    <t xml:space="preserve">Marketing </t>
  </si>
  <si>
    <t>E00938</t>
  </si>
  <si>
    <t xml:space="preserve"> LINDA</t>
  </si>
  <si>
    <t>E01216</t>
  </si>
  <si>
    <t xml:space="preserve">  LEWIS </t>
  </si>
  <si>
    <t>$51,527</t>
  </si>
  <si>
    <t>E01938</t>
  </si>
  <si>
    <t>chidi.harris@northfield-hr.com</t>
  </si>
  <si>
    <t>E01130</t>
  </si>
  <si>
    <t>E00310</t>
  </si>
  <si>
    <t>$86,064.57</t>
  </si>
  <si>
    <t>E02169</t>
  </si>
  <si>
    <t xml:space="preserve"> HILL</t>
  </si>
  <si>
    <t>$66,334.17</t>
  </si>
  <si>
    <t>ingrid.hill@northfield-hr.com</t>
  </si>
  <si>
    <t>E03114</t>
  </si>
  <si>
    <t xml:space="preserve">Legall </t>
  </si>
  <si>
    <t>$97,672.52</t>
  </si>
  <si>
    <t>lucas.clark@northfield-hr.com</t>
  </si>
  <si>
    <t>E00496</t>
  </si>
  <si>
    <t>michael.garcia@northfield-hr.com</t>
  </si>
  <si>
    <t>E00206</t>
  </si>
  <si>
    <t>$72,135</t>
  </si>
  <si>
    <t>E02674</t>
  </si>
  <si>
    <t xml:space="preserve">  chidi </t>
  </si>
  <si>
    <t>E03358</t>
  </si>
  <si>
    <t>$-44,001.30</t>
  </si>
  <si>
    <t>diego.harris@northfield-hr.com</t>
  </si>
  <si>
    <t>E03831</t>
  </si>
  <si>
    <t>$51,493.87</t>
  </si>
  <si>
    <t>jessica.smith@northfield-hr.com</t>
  </si>
  <si>
    <t>E00306</t>
  </si>
  <si>
    <t>jessica.brown@northfield-hr.com</t>
  </si>
  <si>
    <t>E03794</t>
  </si>
  <si>
    <t>joseph.scott@northfield-hr.com</t>
  </si>
  <si>
    <t>E02202</t>
  </si>
  <si>
    <t>E01062</t>
  </si>
  <si>
    <t>E00844</t>
  </si>
  <si>
    <t>noah.lopez@northfield-hr.com</t>
  </si>
  <si>
    <t>E03873</t>
  </si>
  <si>
    <t>fatima.davis@northfield-hr.com</t>
  </si>
  <si>
    <t>E02252</t>
  </si>
  <si>
    <t xml:space="preserve"> Mohammed</t>
  </si>
  <si>
    <t>mohammed.clark@northfield-hr.com</t>
  </si>
  <si>
    <t>E00212</t>
  </si>
  <si>
    <t>E03998</t>
  </si>
  <si>
    <t xml:space="preserve">FATIMA </t>
  </si>
  <si>
    <t>E00680</t>
  </si>
  <si>
    <t>E00566</t>
  </si>
  <si>
    <t>E03291</t>
  </si>
  <si>
    <t xml:space="preserve"> Mary</t>
  </si>
  <si>
    <t>E04355</t>
  </si>
  <si>
    <t>E00681</t>
  </si>
  <si>
    <t>E00181</t>
  </si>
  <si>
    <t>E04280</t>
  </si>
  <si>
    <t>patricia.johnson@northfield-hr.com</t>
  </si>
  <si>
    <t>E02496</t>
  </si>
  <si>
    <t xml:space="preserve">Adams  </t>
  </si>
  <si>
    <t>$60,115.72</t>
  </si>
  <si>
    <t>E02317</t>
  </si>
  <si>
    <t xml:space="preserve"> THOMPSON </t>
  </si>
  <si>
    <t>$92,009</t>
  </si>
  <si>
    <t>emma.thompson@northfield-hr.com</t>
  </si>
  <si>
    <t>E04274</t>
  </si>
  <si>
    <t>E00279</t>
  </si>
  <si>
    <t xml:space="preserve"> Legall </t>
  </si>
  <si>
    <t>$85,768</t>
  </si>
  <si>
    <t>yuki.lee@northfield-hr.com</t>
  </si>
  <si>
    <t>E03684</t>
  </si>
  <si>
    <t>E04642</t>
  </si>
  <si>
    <t>$83,228.85</t>
  </si>
  <si>
    <t>patricia.gonzalez@northfield-hr.com</t>
  </si>
  <si>
    <t>E00433</t>
  </si>
  <si>
    <t xml:space="preserve"> Davis</t>
  </si>
  <si>
    <t>$59,340.96</t>
  </si>
  <si>
    <t>E00290</t>
  </si>
  <si>
    <t>E01028</t>
  </si>
  <si>
    <t>$56,217</t>
  </si>
  <si>
    <t>E00536</t>
  </si>
  <si>
    <t>E03632</t>
  </si>
  <si>
    <t>$80,412</t>
  </si>
  <si>
    <t>E00189</t>
  </si>
  <si>
    <t>E02175</t>
  </si>
  <si>
    <t>david.jackson@northfield-hr.com</t>
  </si>
  <si>
    <t>E03916</t>
  </si>
  <si>
    <t xml:space="preserve">MARTIN </t>
  </si>
  <si>
    <t>ingrid.martin@northfield-hr.com</t>
  </si>
  <si>
    <t>E01863</t>
  </si>
  <si>
    <t xml:space="preserve">thompson </t>
  </si>
  <si>
    <t>E00271</t>
  </si>
  <si>
    <t xml:space="preserve"> Allen </t>
  </si>
  <si>
    <t>$43,528</t>
  </si>
  <si>
    <t>mohammed.allen@northfield-hr.com</t>
  </si>
  <si>
    <t>E01729</t>
  </si>
  <si>
    <t xml:space="preserve"> Joseph</t>
  </si>
  <si>
    <t>joseph.thompson@northfield-hr.com</t>
  </si>
  <si>
    <t>E04076</t>
  </si>
  <si>
    <t>E02158</t>
  </si>
  <si>
    <t>$53,440.86</t>
  </si>
  <si>
    <t>sarah.nguyen@northfield-hr.com</t>
  </si>
  <si>
    <t>E03932</t>
  </si>
  <si>
    <t xml:space="preserve">david </t>
  </si>
  <si>
    <t>david.wilson@northfield-hr.com</t>
  </si>
  <si>
    <t>E00112</t>
  </si>
  <si>
    <t xml:space="preserve">Smith  </t>
  </si>
  <si>
    <t>$100,215.58</t>
  </si>
  <si>
    <t>william.smith@northfield-hr.com</t>
  </si>
  <si>
    <t>E02385</t>
  </si>
  <si>
    <t>$95,463.54</t>
  </si>
  <si>
    <t>E00221</t>
  </si>
  <si>
    <t>thomas.brown@northfield-hr.com</t>
  </si>
  <si>
    <t>E00628</t>
  </si>
  <si>
    <t xml:space="preserve"> coordinator</t>
  </si>
  <si>
    <t>E01182</t>
  </si>
  <si>
    <t>joseph.ramirez@northfield-hr.com</t>
  </si>
  <si>
    <t>E03382</t>
  </si>
  <si>
    <t xml:space="preserve"> Chidi</t>
  </si>
  <si>
    <t xml:space="preserve"> jones</t>
  </si>
  <si>
    <t>E02423</t>
  </si>
  <si>
    <t>E00791</t>
  </si>
  <si>
    <t>E04276</t>
  </si>
  <si>
    <t xml:space="preserve">Perez </t>
  </si>
  <si>
    <t>$51,833</t>
  </si>
  <si>
    <t>richard.perez@northfield-hr.com</t>
  </si>
  <si>
    <t>E00462</t>
  </si>
  <si>
    <t>barbara.moore@northfield-hr.com</t>
  </si>
  <si>
    <t>E04403</t>
  </si>
  <si>
    <t>carlos.taylor@northfield-hr.com</t>
  </si>
  <si>
    <t>E00552</t>
  </si>
  <si>
    <t xml:space="preserve">Sofia  </t>
  </si>
  <si>
    <t>E03130</t>
  </si>
  <si>
    <t>$59,782</t>
  </si>
  <si>
    <t>wei.martin@northfield-hr.com</t>
  </si>
  <si>
    <t>E01445</t>
  </si>
  <si>
    <t>E00199</t>
  </si>
  <si>
    <t>elizabeth.taylor@northfield-hr.com</t>
  </si>
  <si>
    <t>E02590</t>
  </si>
  <si>
    <t>E00403</t>
  </si>
  <si>
    <t>chidi.thompson@northfield-hr.com</t>
  </si>
  <si>
    <t>E03960</t>
  </si>
  <si>
    <t xml:space="preserve"> CARLOS </t>
  </si>
  <si>
    <t>carlos.king@northfield-hr.com</t>
  </si>
  <si>
    <t>E04190</t>
  </si>
  <si>
    <t>E02096</t>
  </si>
  <si>
    <t>jennifer.wilson@northfield-hr.com</t>
  </si>
  <si>
    <t>E02901</t>
  </si>
  <si>
    <t xml:space="preserve">Associate  </t>
  </si>
  <si>
    <t>jennifer.young@northfield-hr.com</t>
  </si>
  <si>
    <t>E04463</t>
  </si>
  <si>
    <t>$100,612</t>
  </si>
  <si>
    <t>wei.white@northfield-hr.com</t>
  </si>
  <si>
    <t>E00651</t>
  </si>
  <si>
    <t>$61,526</t>
  </si>
  <si>
    <t>linda.king@northfield-hr.com</t>
  </si>
  <si>
    <t>E00709</t>
  </si>
  <si>
    <t>E01481</t>
  </si>
  <si>
    <t>E04415</t>
  </si>
  <si>
    <t xml:space="preserve"> CLARK</t>
  </si>
  <si>
    <t xml:space="preserve"> Director</t>
  </si>
  <si>
    <t>E03066</t>
  </si>
  <si>
    <t>$67,902</t>
  </si>
  <si>
    <t>E02396</t>
  </si>
  <si>
    <t xml:space="preserve">linda </t>
  </si>
  <si>
    <t>E01770</t>
  </si>
  <si>
    <t>E00315</t>
  </si>
  <si>
    <t>E03762</t>
  </si>
  <si>
    <t>richard.clark@northfield-hr.com</t>
  </si>
  <si>
    <t>E00114</t>
  </si>
  <si>
    <t xml:space="preserve">senior manager </t>
  </si>
  <si>
    <t>$87,447</t>
  </si>
  <si>
    <t>amara.gonzalez@northfield-hr.com</t>
  </si>
  <si>
    <t>E00961</t>
  </si>
  <si>
    <t>$40,399</t>
  </si>
  <si>
    <t>olga.rodriguez@northfield-hr.com</t>
  </si>
  <si>
    <t>E02911</t>
  </si>
  <si>
    <t>$118,118</t>
  </si>
  <si>
    <t>barbara.anderson@northfield-hr.com</t>
  </si>
  <si>
    <t>E03406</t>
  </si>
  <si>
    <t>$67,296.65</t>
  </si>
  <si>
    <t>E01624</t>
  </si>
  <si>
    <t>ingrid.torres@northfield-hr.com</t>
  </si>
  <si>
    <t>E03323</t>
  </si>
  <si>
    <t>E00984</t>
  </si>
  <si>
    <t>linda.hill@northfield-hr.com</t>
  </si>
  <si>
    <t>E01819</t>
  </si>
  <si>
    <t>jessica.hernandez@northfield-hr.com</t>
  </si>
  <si>
    <t>E03195</t>
  </si>
  <si>
    <t>E03008</t>
  </si>
  <si>
    <t>$51,189.19</t>
  </si>
  <si>
    <t>charles.lewis@northfield-hr.com</t>
  </si>
  <si>
    <t>E03415</t>
  </si>
  <si>
    <t xml:space="preserve">  Young</t>
  </si>
  <si>
    <t xml:space="preserve">Senior Manager </t>
  </si>
  <si>
    <t>liam.young@northfield-hr.com</t>
  </si>
  <si>
    <t>E04529</t>
  </si>
  <si>
    <t xml:space="preserve">LEGAL </t>
  </si>
  <si>
    <t>E01898</t>
  </si>
  <si>
    <t>olga.hernandez@northfield-hr.com</t>
  </si>
  <si>
    <t>E01919</t>
  </si>
  <si>
    <t>joseph.johnson@northfield-hr.com</t>
  </si>
  <si>
    <t>E01271</t>
  </si>
  <si>
    <t>wei.perez@northfield-hr.com</t>
  </si>
  <si>
    <t>E04177</t>
  </si>
  <si>
    <t>$83,519.80</t>
  </si>
  <si>
    <t>william.lee@northfield-hr.com</t>
  </si>
  <si>
    <t>E02531</t>
  </si>
  <si>
    <t>$37,462</t>
  </si>
  <si>
    <t>priya.rodriguez@northfield-hr.com</t>
  </si>
  <si>
    <t xml:space="preserve"> wright</t>
  </si>
  <si>
    <t>E04095</t>
  </si>
  <si>
    <t>E03160</t>
  </si>
  <si>
    <t>william.nguyen@northfield-hr.com</t>
  </si>
  <si>
    <t>E01814</t>
  </si>
  <si>
    <t>$79,326.60</t>
  </si>
  <si>
    <t>priya.allen@northfield-hr.com</t>
  </si>
  <si>
    <t>E02427</t>
  </si>
  <si>
    <t>$89,132</t>
  </si>
  <si>
    <t>E03951</t>
  </si>
  <si>
    <t>$67,394</t>
  </si>
  <si>
    <t>E04429</t>
  </si>
  <si>
    <t>aiko.hernandez@northfield-hr.com</t>
  </si>
  <si>
    <t>E02143</t>
  </si>
  <si>
    <t>noah.wilson@northfield-hr.com</t>
  </si>
  <si>
    <t>E01627</t>
  </si>
  <si>
    <t>$65,167.75</t>
  </si>
  <si>
    <t>E00790</t>
  </si>
  <si>
    <t>E03787</t>
  </si>
  <si>
    <t>robert.jones@northfield-hr.com</t>
  </si>
  <si>
    <t>E01865</t>
  </si>
  <si>
    <t>liam.harris@northfield-hr.com</t>
  </si>
  <si>
    <t>E02866</t>
  </si>
  <si>
    <t xml:space="preserve"> ENGINEERING</t>
  </si>
  <si>
    <t>$79,814</t>
  </si>
  <si>
    <t>linda.nguyen@northfield-hr.com</t>
  </si>
  <si>
    <t>E00872</t>
  </si>
  <si>
    <t>$95,029.59</t>
  </si>
  <si>
    <t>E03272</t>
  </si>
  <si>
    <t>michael.martin@northfield-hr.com</t>
  </si>
  <si>
    <t>E03834</t>
  </si>
  <si>
    <t>$77,998</t>
  </si>
  <si>
    <t>michael.sanchez@northfield-hr.com</t>
  </si>
  <si>
    <t>E00074</t>
  </si>
  <si>
    <t>$56,225</t>
  </si>
  <si>
    <t>E01753</t>
  </si>
  <si>
    <t>hiroshi.thompson@northfield-hr.com</t>
  </si>
  <si>
    <t>E01422</t>
  </si>
  <si>
    <t>E04222</t>
  </si>
  <si>
    <t xml:space="preserve"> Carlos</t>
  </si>
  <si>
    <t>E04694</t>
  </si>
  <si>
    <t>$73,035</t>
  </si>
  <si>
    <t>mary.smith@northfield-hr.com</t>
  </si>
  <si>
    <t>E04370</t>
  </si>
  <si>
    <t>$87,671</t>
  </si>
  <si>
    <t>karen.martin@northfield-hr.com</t>
  </si>
  <si>
    <t>E04576</t>
  </si>
  <si>
    <t>$80,531</t>
  </si>
  <si>
    <t>E03810</t>
  </si>
  <si>
    <t>E02245</t>
  </si>
  <si>
    <t xml:space="preserve">elizabeth </t>
  </si>
  <si>
    <t>$99,555.73</t>
  </si>
  <si>
    <t>E03048</t>
  </si>
  <si>
    <t>E02446</t>
  </si>
  <si>
    <t>E03131</t>
  </si>
  <si>
    <t>$122,742.75</t>
  </si>
  <si>
    <t>E04322</t>
  </si>
  <si>
    <t>E04398</t>
  </si>
  <si>
    <t>$43,551</t>
  </si>
  <si>
    <t>aiko.scott@northfield-hr.com</t>
  </si>
  <si>
    <t>E01165</t>
  </si>
  <si>
    <t>$266,022.04</t>
  </si>
  <si>
    <t>liam.wilson@northfield-hr.com</t>
  </si>
  <si>
    <t>E03735</t>
  </si>
  <si>
    <t>$81,168.48</t>
  </si>
  <si>
    <t>E01731</t>
  </si>
  <si>
    <t>$119,244.07</t>
  </si>
  <si>
    <t>richard.jones@northfield-hr.com</t>
  </si>
  <si>
    <t>E01277</t>
  </si>
  <si>
    <t>$60,013.15</t>
  </si>
  <si>
    <t>ava.garcia@northfield-hr.com</t>
  </si>
  <si>
    <t>E02403</t>
  </si>
  <si>
    <t>michael.davis@northfield-hr.com</t>
  </si>
  <si>
    <t>E03404</t>
  </si>
  <si>
    <t>E00619</t>
  </si>
  <si>
    <t xml:space="preserve">TORRES </t>
  </si>
  <si>
    <t>elizabeth.torres@northfield-hr.com</t>
  </si>
  <si>
    <t>E01698</t>
  </si>
  <si>
    <t>linda.adams@northfield-hr.com</t>
  </si>
  <si>
    <t>E03594</t>
  </si>
  <si>
    <t>E01958</t>
  </si>
  <si>
    <t>aiko.taylor@northfield-hr.com</t>
  </si>
  <si>
    <t>E01222</t>
  </si>
  <si>
    <t>john.white@northfield-hr.com</t>
  </si>
  <si>
    <t>E02074</t>
  </si>
  <si>
    <t>$85,888</t>
  </si>
  <si>
    <t>david.king@northfield-hr.com</t>
  </si>
  <si>
    <t>E03411</t>
  </si>
  <si>
    <t>$60,287</t>
  </si>
  <si>
    <t>ingrid.wright@northfield-hr.com</t>
  </si>
  <si>
    <t>E00870</t>
  </si>
  <si>
    <t xml:space="preserve"> BROWN</t>
  </si>
  <si>
    <t>E02719</t>
  </si>
  <si>
    <t>$75,056</t>
  </si>
  <si>
    <t>E01362</t>
  </si>
  <si>
    <t>$100,864.67</t>
  </si>
  <si>
    <t>E00357</t>
  </si>
  <si>
    <t>E01163</t>
  </si>
  <si>
    <t>E02766</t>
  </si>
  <si>
    <t xml:space="preserve"> DAVIS</t>
  </si>
  <si>
    <t>$89,097</t>
  </si>
  <si>
    <t>E03253</t>
  </si>
  <si>
    <t>$53,501.84</t>
  </si>
  <si>
    <t>E01439</t>
  </si>
  <si>
    <t>$74,700.17</t>
  </si>
  <si>
    <t>E03604</t>
  </si>
  <si>
    <t>E01892</t>
  </si>
  <si>
    <t>E04594</t>
  </si>
  <si>
    <t>E03640</t>
  </si>
  <si>
    <t>E01254</t>
  </si>
  <si>
    <t>E03366</t>
  </si>
  <si>
    <t>jessica.sanchez@northfield-hr.com</t>
  </si>
  <si>
    <t>E00333</t>
  </si>
  <si>
    <t>$139,749</t>
  </si>
  <si>
    <t>E03695</t>
  </si>
  <si>
    <t xml:space="preserve"> johnson</t>
  </si>
  <si>
    <t xml:space="preserve">VP </t>
  </si>
  <si>
    <t>E03569</t>
  </si>
  <si>
    <t>aiko.lopez@northfield-hr.com</t>
  </si>
  <si>
    <t>E02729</t>
  </si>
  <si>
    <t>$66,669.48</t>
  </si>
  <si>
    <t>david.wright@northfield-hr.com</t>
  </si>
  <si>
    <t>E03668</t>
  </si>
  <si>
    <t>E01631</t>
  </si>
  <si>
    <t>mateo.anderson@northfield-hr.com</t>
  </si>
  <si>
    <t>E01117</t>
  </si>
  <si>
    <t>E01850</t>
  </si>
  <si>
    <t>$89,518</t>
  </si>
  <si>
    <t>E03555</t>
  </si>
  <si>
    <t xml:space="preserve"> JOHN</t>
  </si>
  <si>
    <t>$72,346</t>
  </si>
  <si>
    <t>E03154</t>
  </si>
  <si>
    <t xml:space="preserve"> Wilson</t>
  </si>
  <si>
    <t>sofia.wilson@northfield-hr.com</t>
  </si>
  <si>
    <t>E03266</t>
  </si>
  <si>
    <t>E01666</t>
  </si>
  <si>
    <t>$108,813</t>
  </si>
  <si>
    <t>E00446</t>
  </si>
  <si>
    <t>james.perez@northfield-hr.com</t>
  </si>
  <si>
    <t>E02246</t>
  </si>
  <si>
    <t>$193,122</t>
  </si>
  <si>
    <t>E00453</t>
  </si>
  <si>
    <t>ingrid.thompson@northfield-hr.com</t>
  </si>
  <si>
    <t>E01552</t>
  </si>
  <si>
    <t>$116,478.53</t>
  </si>
  <si>
    <t>E04435</t>
  </si>
  <si>
    <t>$83,596.90</t>
  </si>
  <si>
    <t>E02955</t>
  </si>
  <si>
    <t>E00015</t>
  </si>
  <si>
    <t>E03629</t>
  </si>
  <si>
    <t xml:space="preserve">olga </t>
  </si>
  <si>
    <t xml:space="preserve">  Gonzalez</t>
  </si>
  <si>
    <t>olga.gonzalez@northfield-hr.com</t>
  </si>
  <si>
    <t>E00946</t>
  </si>
  <si>
    <t xml:space="preserve">CARLOS  </t>
  </si>
  <si>
    <t xml:space="preserve">Jackson </t>
  </si>
  <si>
    <t>$73,267.93</t>
  </si>
  <si>
    <t>carlos.jackson@northfield-hr.com</t>
  </si>
  <si>
    <t>E00248</t>
  </si>
  <si>
    <t>carlos.sanchez@northfield-hr.com</t>
  </si>
  <si>
    <t>E04698</t>
  </si>
  <si>
    <t>$125,179.35</t>
  </si>
  <si>
    <t>priya.lewis@northfield-hr.com</t>
  </si>
  <si>
    <t>E00361</t>
  </si>
  <si>
    <t>E04657</t>
  </si>
  <si>
    <t>E01615</t>
  </si>
  <si>
    <t>$135,449.36</t>
  </si>
  <si>
    <t>E02304</t>
  </si>
  <si>
    <t>E04142</t>
  </si>
  <si>
    <t>$66,427</t>
  </si>
  <si>
    <t>E03169</t>
  </si>
  <si>
    <t>$144,044.75</t>
  </si>
  <si>
    <t>E02479</t>
  </si>
  <si>
    <t>E04215</t>
  </si>
  <si>
    <t>$66,896</t>
  </si>
  <si>
    <t>E04181</t>
  </si>
  <si>
    <t>E03164</t>
  </si>
  <si>
    <t xml:space="preserve">Liam </t>
  </si>
  <si>
    <t>$105,931</t>
  </si>
  <si>
    <t>liam.taylor@northfield-hr.com</t>
  </si>
  <si>
    <t>E00491</t>
  </si>
  <si>
    <t>$-145,080.94</t>
  </si>
  <si>
    <t>E00863</t>
  </si>
  <si>
    <t xml:space="preserve"> Diego </t>
  </si>
  <si>
    <t>diego.martin@northfield-hr.com</t>
  </si>
  <si>
    <t>E01741</t>
  </si>
  <si>
    <t>$60,891.51</t>
  </si>
  <si>
    <t>E04100</t>
  </si>
  <si>
    <t>$61,414</t>
  </si>
  <si>
    <t>thomas.king@northfield-hr.com</t>
  </si>
  <si>
    <t>E04386</t>
  </si>
  <si>
    <t>priya.torres@northfield-hr.com</t>
  </si>
  <si>
    <t>E02448</t>
  </si>
  <si>
    <t xml:space="preserve">Richard </t>
  </si>
  <si>
    <t xml:space="preserve">Wilson </t>
  </si>
  <si>
    <t>$69,987</t>
  </si>
  <si>
    <t>E04231</t>
  </si>
  <si>
    <t>$48,878.29</t>
  </si>
  <si>
    <t>susan.torres@northfield-hr.com</t>
  </si>
  <si>
    <t>E00507</t>
  </si>
  <si>
    <t>$91,416.04</t>
  </si>
  <si>
    <t>mohammed.williams@northfield-hr.com</t>
  </si>
  <si>
    <t>E02678</t>
  </si>
  <si>
    <t>aiko.davis@northfield-hr.com</t>
  </si>
  <si>
    <t>E02996</t>
  </si>
  <si>
    <t>$45,059</t>
  </si>
  <si>
    <t>E01943</t>
  </si>
  <si>
    <t>$71,879.63</t>
  </si>
  <si>
    <t>E01114</t>
  </si>
  <si>
    <t>carlos.hernandez@northfield-hr.com</t>
  </si>
  <si>
    <t>E01906</t>
  </si>
  <si>
    <t xml:space="preserve"> chidi</t>
  </si>
  <si>
    <t>chidi.gonzalez@northfield-hr.com</t>
  </si>
  <si>
    <t>E03424</t>
  </si>
  <si>
    <t>john.jackson@northfield-hr.com</t>
  </si>
  <si>
    <t>E01878</t>
  </si>
  <si>
    <t xml:space="preserve">  garcia</t>
  </si>
  <si>
    <t>E04673</t>
  </si>
  <si>
    <t>E02365</t>
  </si>
  <si>
    <t xml:space="preserve">Elizabeth </t>
  </si>
  <si>
    <t>E03155</t>
  </si>
  <si>
    <t>E02836</t>
  </si>
  <si>
    <t xml:space="preserve"> fatima</t>
  </si>
  <si>
    <t>$61,189</t>
  </si>
  <si>
    <t>fatima.williams@northfield-hr.com</t>
  </si>
  <si>
    <t>E02093</t>
  </si>
  <si>
    <t>E03011</t>
  </si>
  <si>
    <t xml:space="preserve"> charles</t>
  </si>
  <si>
    <t>E03163</t>
  </si>
  <si>
    <t>E02946</t>
  </si>
  <si>
    <t>E03917</t>
  </si>
  <si>
    <t xml:space="preserve">WHITE </t>
  </si>
  <si>
    <t>william.white@northfield-hr.com</t>
  </si>
  <si>
    <t>E02917</t>
  </si>
  <si>
    <t>$116,156</t>
  </si>
  <si>
    <t>E01103</t>
  </si>
  <si>
    <t>$47,097.74</t>
  </si>
  <si>
    <t>charles.gonzalez@northfield-hr.com</t>
  </si>
  <si>
    <t>E01449</t>
  </si>
  <si>
    <t xml:space="preserve">martin </t>
  </si>
  <si>
    <t>$43,913</t>
  </si>
  <si>
    <t>E01721</t>
  </si>
  <si>
    <t xml:space="preserve">Linda </t>
  </si>
  <si>
    <t>linda.williams@northfield-hr.com</t>
  </si>
  <si>
    <t>E04519</t>
  </si>
  <si>
    <t>$80,963</t>
  </si>
  <si>
    <t>chidi.lewis@northfield-hr.com</t>
  </si>
  <si>
    <t>E03843</t>
  </si>
  <si>
    <t xml:space="preserve"> DIRECTOR</t>
  </si>
  <si>
    <t>sofia.harris@northfield-hr.com</t>
  </si>
  <si>
    <t>E00157</t>
  </si>
  <si>
    <t>$100,740.15</t>
  </si>
  <si>
    <t>E02979</t>
  </si>
  <si>
    <t>william.adams@northfield-hr.com</t>
  </si>
  <si>
    <t>E01774</t>
  </si>
  <si>
    <t>$91,782</t>
  </si>
  <si>
    <t>E00616</t>
  </si>
  <si>
    <t>E00644</t>
  </si>
  <si>
    <t xml:space="preserve"> GONZALEZ</t>
  </si>
  <si>
    <t>mary.gonzalez@northfield-hr.com</t>
  </si>
  <si>
    <t>E01936</t>
  </si>
  <si>
    <t xml:space="preserve">Smith </t>
  </si>
  <si>
    <t>$166,380</t>
  </si>
  <si>
    <t>jennifer.smith@northfield-hr.com</t>
  </si>
  <si>
    <t>E04278</t>
  </si>
  <si>
    <t>$75,495.54</t>
  </si>
  <si>
    <t>E01069</t>
  </si>
  <si>
    <t>$81,408</t>
  </si>
  <si>
    <t>E04455</t>
  </si>
  <si>
    <t xml:space="preserve">liam </t>
  </si>
  <si>
    <t>E04155</t>
  </si>
  <si>
    <t>$77,699</t>
  </si>
  <si>
    <t>karen.johnson@northfield-hr.com</t>
  </si>
  <si>
    <t>E04240</t>
  </si>
  <si>
    <t>patricia.williams@northfield-hr.com</t>
  </si>
  <si>
    <t>E00664</t>
  </si>
  <si>
    <t xml:space="preserve">HIROSHI </t>
  </si>
  <si>
    <t>hiroshi.jackson@northfield-hr.com</t>
  </si>
  <si>
    <t>E00331</t>
  </si>
  <si>
    <t>aiko.hill@northfield-hr.com</t>
  </si>
  <si>
    <t>E02058</t>
  </si>
  <si>
    <t xml:space="preserve"> lucas </t>
  </si>
  <si>
    <t>$88,168.97</t>
  </si>
  <si>
    <t>lucas.jackson@northfield-hr.com</t>
  </si>
  <si>
    <t>E02647</t>
  </si>
  <si>
    <t xml:space="preserve"> fatima </t>
  </si>
  <si>
    <t>E02192</t>
  </si>
  <si>
    <t xml:space="preserve"> JOHNSON</t>
  </si>
  <si>
    <t>$73,838.86</t>
  </si>
  <si>
    <t>aiko.johnson@northfield-hr.com</t>
  </si>
  <si>
    <t>$135,098.24</t>
  </si>
  <si>
    <t>E01596</t>
  </si>
  <si>
    <t>$85,309</t>
  </si>
  <si>
    <t>E02916</t>
  </si>
  <si>
    <t xml:space="preserve"> AVA</t>
  </si>
  <si>
    <t>$79,075</t>
  </si>
  <si>
    <t>ava.young@northfield-hr.com</t>
  </si>
  <si>
    <t>E01761</t>
  </si>
  <si>
    <t>$144,799</t>
  </si>
  <si>
    <t>E03899</t>
  </si>
  <si>
    <t xml:space="preserve"> Finanace</t>
  </si>
  <si>
    <t>$62,671.82</t>
  </si>
  <si>
    <t>yuki.white@northfield-hr.com</t>
  </si>
  <si>
    <t>E01920</t>
  </si>
  <si>
    <t>chidi.king@northfield-hr.com</t>
  </si>
  <si>
    <t>E04174</t>
  </si>
  <si>
    <t>$70,074.28</t>
  </si>
  <si>
    <t>olga.thomas@northfield-hr.com</t>
  </si>
  <si>
    <t>E04478</t>
  </si>
  <si>
    <t>$102,629</t>
  </si>
  <si>
    <t>robert.miller@northfield-hr.com</t>
  </si>
  <si>
    <t>E00756</t>
  </si>
  <si>
    <t xml:space="preserve">mateo  </t>
  </si>
  <si>
    <t>$52,702.56</t>
  </si>
  <si>
    <t>mateo.thomas@northfield-hr.com</t>
  </si>
  <si>
    <t>E00519</t>
  </si>
  <si>
    <t xml:space="preserve"> JAMES</t>
  </si>
  <si>
    <t>james.walker@northfield-hr.com</t>
  </si>
  <si>
    <t>E03804</t>
  </si>
  <si>
    <t>$211,627</t>
  </si>
  <si>
    <t>aiko.white@northfield-hr.com</t>
  </si>
  <si>
    <t>E00033</t>
  </si>
  <si>
    <t>E02938</t>
  </si>
  <si>
    <t>E01158</t>
  </si>
  <si>
    <t xml:space="preserve"> Markting </t>
  </si>
  <si>
    <t>olga.anderson@northfield-hr.com</t>
  </si>
  <si>
    <t>E00745</t>
  </si>
  <si>
    <t>$92,184</t>
  </si>
  <si>
    <t>chidi.martinez@northfield-hr.com</t>
  </si>
  <si>
    <t>E01498</t>
  </si>
  <si>
    <t>$60,050</t>
  </si>
  <si>
    <t>amara.martinez@northfield-hr.com</t>
  </si>
  <si>
    <t>E03460</t>
  </si>
  <si>
    <t>$62,989</t>
  </si>
  <si>
    <t>E03756</t>
  </si>
  <si>
    <t>E00784</t>
  </si>
  <si>
    <t>E03494</t>
  </si>
  <si>
    <t>E02950</t>
  </si>
  <si>
    <t>E00230</t>
  </si>
  <si>
    <t>E00858</t>
  </si>
  <si>
    <t>E02267</t>
  </si>
  <si>
    <t>olga.nguyen@northfield-hr.com</t>
  </si>
  <si>
    <t>E04275</t>
  </si>
  <si>
    <t>$46,329.30</t>
  </si>
  <si>
    <t>emma.walker@northfield-hr.com</t>
  </si>
  <si>
    <t>E00409</t>
  </si>
  <si>
    <t>E00171</t>
  </si>
  <si>
    <t>$88,284</t>
  </si>
  <si>
    <t>mary.brown@northfield-hr.com</t>
  </si>
  <si>
    <t>E00541</t>
  </si>
  <si>
    <t xml:space="preserve"> Martin</t>
  </si>
  <si>
    <t>$64,451</t>
  </si>
  <si>
    <t>E02211</t>
  </si>
  <si>
    <t>$45,271</t>
  </si>
  <si>
    <t>linda.thomas@northfield-hr.com</t>
  </si>
  <si>
    <t>E02305</t>
  </si>
  <si>
    <t>$79,540.08</t>
  </si>
  <si>
    <t>E02568</t>
  </si>
  <si>
    <t>E00614</t>
  </si>
  <si>
    <t xml:space="preserve">lucas </t>
  </si>
  <si>
    <t xml:space="preserve">  Martinez </t>
  </si>
  <si>
    <t>$72,503.23</t>
  </si>
  <si>
    <t>lucas.martinez@northfield-hr.com</t>
  </si>
  <si>
    <t>E02102</t>
  </si>
  <si>
    <t>$45,413</t>
  </si>
  <si>
    <t>james.adams@northfield-hr.com</t>
  </si>
  <si>
    <t>E01809</t>
  </si>
  <si>
    <t>$37,582.34</t>
  </si>
  <si>
    <t>yuki.nguyen@northfield-hr.com</t>
  </si>
  <si>
    <t>E03439</t>
  </si>
  <si>
    <t>E01162</t>
  </si>
  <si>
    <t>$91,430</t>
  </si>
  <si>
    <t>E04226</t>
  </si>
  <si>
    <t>$44,869</t>
  </si>
  <si>
    <t>wei.moore@northfield-hr.com</t>
  </si>
  <si>
    <t>E03120</t>
  </si>
  <si>
    <t>E03653</t>
  </si>
  <si>
    <t>william.williams@northfield-hr.com</t>
  </si>
  <si>
    <t>E01611</t>
  </si>
  <si>
    <t>$69,065.55</t>
  </si>
  <si>
    <t>E01933</t>
  </si>
  <si>
    <t>$37,257.65</t>
  </si>
  <si>
    <t>joseph.king@northfield-hr.com</t>
  </si>
  <si>
    <t>E03028</t>
  </si>
  <si>
    <t>noah.martin@northfield-hr.com</t>
  </si>
  <si>
    <t>E00565</t>
  </si>
  <si>
    <t>E03572</t>
  </si>
  <si>
    <t>$80,971.40</t>
  </si>
  <si>
    <t>E04248</t>
  </si>
  <si>
    <t>amara.torres@northfield-hr.com</t>
  </si>
  <si>
    <t>E02389</t>
  </si>
  <si>
    <t>$77,848.79</t>
  </si>
  <si>
    <t>E01472</t>
  </si>
  <si>
    <t>susan.johnson@northfield-hr.com</t>
  </si>
  <si>
    <t>E02631</t>
  </si>
  <si>
    <t>E01836</t>
  </si>
  <si>
    <t>$53,360.18</t>
  </si>
  <si>
    <t>$68,532</t>
  </si>
  <si>
    <t>E03476</t>
  </si>
  <si>
    <t>david.young@northfield-hr.com</t>
  </si>
  <si>
    <t>E01534</t>
  </si>
  <si>
    <t xml:space="preserve">lewis </t>
  </si>
  <si>
    <t>E04328</t>
  </si>
  <si>
    <t>E02485</t>
  </si>
  <si>
    <t>amara.anderson@northfield-hr.com</t>
  </si>
  <si>
    <t>E04208</t>
  </si>
  <si>
    <t>E01173</t>
  </si>
  <si>
    <t>$43,207.64</t>
  </si>
  <si>
    <t>E01428</t>
  </si>
  <si>
    <t xml:space="preserve"> lewis </t>
  </si>
  <si>
    <t>E00326</t>
  </si>
  <si>
    <t>E01052</t>
  </si>
  <si>
    <t>linda.smith@northfield-hr.com</t>
  </si>
  <si>
    <t>E03320</t>
  </si>
  <si>
    <t>E03865</t>
  </si>
  <si>
    <t>$51,903</t>
  </si>
  <si>
    <t>mateo.walker@northfield-hr.com</t>
  </si>
  <si>
    <t>E02604</t>
  </si>
  <si>
    <t>E01739</t>
  </si>
  <si>
    <t>hiroshi.lewis@northfield-hr.com</t>
  </si>
  <si>
    <t>E01197</t>
  </si>
  <si>
    <t>$120,157.90</t>
  </si>
  <si>
    <t>E00621</t>
  </si>
  <si>
    <t xml:space="preserve"> manager </t>
  </si>
  <si>
    <t>E01375</t>
  </si>
  <si>
    <t>E02880</t>
  </si>
  <si>
    <t xml:space="preserve"> MOHAMMED </t>
  </si>
  <si>
    <t>E01190</t>
  </si>
  <si>
    <t>E00329</t>
  </si>
  <si>
    <t>olga.scott@northfield-hr.com</t>
  </si>
  <si>
    <t>E00649</t>
  </si>
  <si>
    <t>david.taylor@northfield-hr.com</t>
  </si>
  <si>
    <t>E00898</t>
  </si>
  <si>
    <t>$112,130.39</t>
  </si>
  <si>
    <t>E03883</t>
  </si>
  <si>
    <t>joseph.robinson@northfield-hr.com</t>
  </si>
  <si>
    <t>E01124</t>
  </si>
  <si>
    <t xml:space="preserve">analyst  </t>
  </si>
  <si>
    <t>E04644</t>
  </si>
  <si>
    <t>liam.anderson@northfield-hr.com</t>
  </si>
  <si>
    <t>E00484</t>
  </si>
  <si>
    <t>E04530</t>
  </si>
  <si>
    <t>$71,174.79</t>
  </si>
  <si>
    <t>mateo.johnson@northfield-hr.com</t>
  </si>
  <si>
    <t>E04235</t>
  </si>
  <si>
    <t>william.jackson@northfield-hr.com</t>
  </si>
  <si>
    <t>E01594</t>
  </si>
  <si>
    <t>$141,064</t>
  </si>
  <si>
    <t>E03313</t>
  </si>
  <si>
    <t>E02548</t>
  </si>
  <si>
    <t xml:space="preserve"> Karen</t>
  </si>
  <si>
    <t>$98,831</t>
  </si>
  <si>
    <t>karen.king@northfield-hr.com</t>
  </si>
  <si>
    <t>E01546</t>
  </si>
  <si>
    <t>liam.gonzalez@northfield-hr.com</t>
  </si>
  <si>
    <t>E04337</t>
  </si>
  <si>
    <t>E01024</t>
  </si>
  <si>
    <t>emma.martinez@northfield-hr.com</t>
  </si>
  <si>
    <t>E01972</t>
  </si>
  <si>
    <t>E02783</t>
  </si>
  <si>
    <t>E01715</t>
  </si>
  <si>
    <t xml:space="preserve"> Ava</t>
  </si>
  <si>
    <t>ava.king@northfield-hr.com</t>
  </si>
  <si>
    <t>E01718</t>
  </si>
  <si>
    <t>E01478</t>
  </si>
  <si>
    <t>E00810</t>
  </si>
  <si>
    <t>$48,680.93</t>
  </si>
  <si>
    <t>barbara.adams@northfield-hr.com</t>
  </si>
  <si>
    <t>E02851</t>
  </si>
  <si>
    <t>mohammed.anderson@northfield-hr.com</t>
  </si>
  <si>
    <t>E00979</t>
  </si>
  <si>
    <t xml:space="preserve"> noah</t>
  </si>
  <si>
    <t xml:space="preserve"> hill </t>
  </si>
  <si>
    <t>$59,906</t>
  </si>
  <si>
    <t>noah.hill@northfield-hr.com</t>
  </si>
  <si>
    <t>E04688</t>
  </si>
  <si>
    <t>E02343</t>
  </si>
  <si>
    <t>E01685</t>
  </si>
  <si>
    <t>$97,527.64</t>
  </si>
  <si>
    <t>E04661</t>
  </si>
  <si>
    <t>$41,649</t>
  </si>
  <si>
    <t>E01515</t>
  </si>
  <si>
    <t>E02405</t>
  </si>
  <si>
    <t>$100,276.60</t>
  </si>
  <si>
    <t>jennifer.johnson@northfield-hr.com</t>
  </si>
  <si>
    <t>E02022</t>
  </si>
  <si>
    <t>$72,531.73</t>
  </si>
  <si>
    <t>E04554</t>
  </si>
  <si>
    <t xml:space="preserve"> TORRES</t>
  </si>
  <si>
    <t>charles.torres@northfield-hr.com</t>
  </si>
  <si>
    <t>E01768</t>
  </si>
  <si>
    <t>E00175</t>
  </si>
  <si>
    <t xml:space="preserve"> Susan</t>
  </si>
  <si>
    <t>$79,172</t>
  </si>
  <si>
    <t>susan.ramirez@northfield-hr.com</t>
  </si>
  <si>
    <t>E01555</t>
  </si>
  <si>
    <t>$91,379</t>
  </si>
  <si>
    <t>E04216</t>
  </si>
  <si>
    <t>$119,589</t>
  </si>
  <si>
    <t>emma.anderson@northfield-hr.com</t>
  </si>
  <si>
    <t>E01483</t>
  </si>
  <si>
    <t xml:space="preserve"> Finance </t>
  </si>
  <si>
    <t>$89,913.64</t>
  </si>
  <si>
    <t>E04462</t>
  </si>
  <si>
    <t>E00218</t>
  </si>
  <si>
    <t xml:space="preserve">  Director </t>
  </si>
  <si>
    <t>E03915</t>
  </si>
  <si>
    <t>senior  analyst</t>
  </si>
  <si>
    <t>$101,275</t>
  </si>
  <si>
    <t>john.brown@northfield-hr.com</t>
  </si>
  <si>
    <t>E03721</t>
  </si>
  <si>
    <t>E00691</t>
  </si>
  <si>
    <t xml:space="preserve">Clark  </t>
  </si>
  <si>
    <t>$130,197.91</t>
  </si>
  <si>
    <t>E02578</t>
  </si>
  <si>
    <t xml:space="preserve">NGUYEN </t>
  </si>
  <si>
    <t>$47,453</t>
  </si>
  <si>
    <t>E02234</t>
  </si>
  <si>
    <t>hiroshi.perez@northfield-hr.com</t>
  </si>
  <si>
    <t>E02239</t>
  </si>
  <si>
    <t>E01107</t>
  </si>
  <si>
    <t>richard.hernandez@northfield-hr.com</t>
  </si>
  <si>
    <t>E01790</t>
  </si>
  <si>
    <t>$47,112.41</t>
  </si>
  <si>
    <t>E03189</t>
  </si>
  <si>
    <t>$97,203.92</t>
  </si>
  <si>
    <t>E02437</t>
  </si>
  <si>
    <t xml:space="preserve"> gonzalez</t>
  </si>
  <si>
    <t>mateo.gonzalez@northfield-hr.com</t>
  </si>
  <si>
    <t>E00612</t>
  </si>
  <si>
    <t xml:space="preserve">it </t>
  </si>
  <si>
    <t>$169,688</t>
  </si>
  <si>
    <t>james.scott@northfield-hr.com</t>
  </si>
  <si>
    <t>E03661</t>
  </si>
  <si>
    <t>mateo.scott@northfield-hr.com</t>
  </si>
  <si>
    <t>E03712</t>
  </si>
  <si>
    <t xml:space="preserve"> OPERATIONS</t>
  </si>
  <si>
    <t>sarah.hernandez@northfield-hr.com</t>
  </si>
  <si>
    <t>E00577</t>
  </si>
  <si>
    <t xml:space="preserve"> PATRICIA</t>
  </si>
  <si>
    <t>E02064</t>
  </si>
  <si>
    <t>$234,244.00</t>
  </si>
  <si>
    <t>richard.anderson@northfield-hr.com</t>
  </si>
  <si>
    <t>E04436</t>
  </si>
  <si>
    <t>E01181</t>
  </si>
  <si>
    <t>priya.smith@northfield-hr.com</t>
  </si>
  <si>
    <t>E00889</t>
  </si>
  <si>
    <t>sofia.walker@northfield-hr.com</t>
  </si>
  <si>
    <t>E03129</t>
  </si>
  <si>
    <t>chidi.robinson@northfield-hr.com</t>
  </si>
  <si>
    <t>E01733</t>
  </si>
  <si>
    <t>amara.hill@northfield-hr.com</t>
  </si>
  <si>
    <t>E02664</t>
  </si>
  <si>
    <t>E00818</t>
  </si>
  <si>
    <t>$82,723.53</t>
  </si>
  <si>
    <t>E03278</t>
  </si>
  <si>
    <t xml:space="preserve">Thompson </t>
  </si>
  <si>
    <t>michael.thompson@northfield-hr.com</t>
  </si>
  <si>
    <t>E01860</t>
  </si>
  <si>
    <t xml:space="preserve">DIEGO </t>
  </si>
  <si>
    <t>diego.clark@northfield-hr.com</t>
  </si>
  <si>
    <t>E00209</t>
  </si>
  <si>
    <t>hiroshi.harris@northfield-hr.com</t>
  </si>
  <si>
    <t>E00294</t>
  </si>
  <si>
    <t>E01120</t>
  </si>
  <si>
    <t>james.king@northfield-hr.com</t>
  </si>
  <si>
    <t>E01610</t>
  </si>
  <si>
    <t xml:space="preserve">Fin. </t>
  </si>
  <si>
    <t>sofia.anderson@northfield-hr.com</t>
  </si>
  <si>
    <t>E01265</t>
  </si>
  <si>
    <t>E00991</t>
  </si>
  <si>
    <t xml:space="preserve"> Information Technology</t>
  </si>
  <si>
    <t>E04198</t>
  </si>
  <si>
    <t>$46,277</t>
  </si>
  <si>
    <t>E01617</t>
  </si>
  <si>
    <t xml:space="preserve"> John </t>
  </si>
  <si>
    <t>E00354</t>
  </si>
  <si>
    <t>$43,083</t>
  </si>
  <si>
    <t>ingrid.perez@northfield-hr.com</t>
  </si>
  <si>
    <t>E04558</t>
  </si>
  <si>
    <t>$38,443.89</t>
  </si>
  <si>
    <t>E02023</t>
  </si>
  <si>
    <t>karen.wilson@northfield-hr.com</t>
  </si>
  <si>
    <t>E03691</t>
  </si>
  <si>
    <t>$125,720.39</t>
  </si>
  <si>
    <t>E02556</t>
  </si>
  <si>
    <t xml:space="preserve"> ava </t>
  </si>
  <si>
    <t>ava.brown@northfield-hr.com</t>
  </si>
  <si>
    <t>E03049</t>
  </si>
  <si>
    <t xml:space="preserve">  Noah</t>
  </si>
  <si>
    <t>E01229</t>
  </si>
  <si>
    <t>$85,108.42</t>
  </si>
  <si>
    <t>david.torres@northfield-hr.com</t>
  </si>
  <si>
    <t>E00260</t>
  </si>
  <si>
    <t>E01520</t>
  </si>
  <si>
    <t>$117,680.13</t>
  </si>
  <si>
    <t>E01778</t>
  </si>
  <si>
    <t>E02475</t>
  </si>
  <si>
    <t>$82,862</t>
  </si>
  <si>
    <t>E01771</t>
  </si>
  <si>
    <t>karen.hill@northfield-hr.com</t>
  </si>
  <si>
    <t>E04354</t>
  </si>
  <si>
    <t>E00053</t>
  </si>
  <si>
    <t>$112,529.07</t>
  </si>
  <si>
    <t>elizabeth.thomas@northfield-hr.com</t>
  </si>
  <si>
    <t>E03474</t>
  </si>
  <si>
    <t>$66,527.64</t>
  </si>
  <si>
    <t>wei.adams@northfield-hr.com</t>
  </si>
  <si>
    <t>E04684</t>
  </si>
  <si>
    <t>$51,338</t>
  </si>
  <si>
    <t>E04412</t>
  </si>
  <si>
    <t>E02410</t>
  </si>
  <si>
    <t>$88,742.62</t>
  </si>
  <si>
    <t>noah.gonzalez@northfield-hr.com</t>
  </si>
  <si>
    <t>E02788</t>
  </si>
  <si>
    <t>E02345</t>
  </si>
  <si>
    <t>$176,460</t>
  </si>
  <si>
    <t>E01034</t>
  </si>
  <si>
    <t>E01098</t>
  </si>
  <si>
    <t>$51,774</t>
  </si>
  <si>
    <t>E00544</t>
  </si>
  <si>
    <t xml:space="preserve"> robert</t>
  </si>
  <si>
    <t>robert.harris@northfield-hr.com</t>
  </si>
  <si>
    <t>E01047</t>
  </si>
  <si>
    <t>$129,647</t>
  </si>
  <si>
    <t>E01895</t>
  </si>
  <si>
    <t>E04377</t>
  </si>
  <si>
    <t>E00031</t>
  </si>
  <si>
    <t>E00726</t>
  </si>
  <si>
    <t>hiroshi.hernandez@northfield-hr.com</t>
  </si>
  <si>
    <t>E01866</t>
  </si>
  <si>
    <t>$61,981.19</t>
  </si>
  <si>
    <t>noah.moore@northfield-hr.com</t>
  </si>
  <si>
    <t>E03904</t>
  </si>
  <si>
    <t xml:space="preserve"> MARTINEZ</t>
  </si>
  <si>
    <t>$44,679.04</t>
  </si>
  <si>
    <t>yuki.martinez@northfield-hr.com</t>
  </si>
  <si>
    <t>E01427</t>
  </si>
  <si>
    <t>E02498</t>
  </si>
  <si>
    <t>E00437</t>
  </si>
  <si>
    <t>$55,514.44</t>
  </si>
  <si>
    <t>E02471</t>
  </si>
  <si>
    <t>$98,939.70</t>
  </si>
  <si>
    <t>E00913</t>
  </si>
  <si>
    <t xml:space="preserve"> William</t>
  </si>
  <si>
    <t>E04223</t>
  </si>
  <si>
    <t xml:space="preserve"> MICHAEL </t>
  </si>
  <si>
    <t>$79,174</t>
  </si>
  <si>
    <t>michael.miller@northfield-hr.com</t>
  </si>
  <si>
    <t>E04353</t>
  </si>
  <si>
    <t>E04513</t>
  </si>
  <si>
    <t xml:space="preserve"> JAMES </t>
  </si>
  <si>
    <t>E04444</t>
  </si>
  <si>
    <t>charles.wright@northfield-hr.com</t>
  </si>
  <si>
    <t>E02288</t>
  </si>
  <si>
    <t>$58,283</t>
  </si>
  <si>
    <t>hiroshi.davis@northfield-hr.com</t>
  </si>
  <si>
    <t>E04598</t>
  </si>
  <si>
    <t>E01239</t>
  </si>
  <si>
    <t>$51,236</t>
  </si>
  <si>
    <t>ava.hernandez@northfield-hr.com</t>
  </si>
  <si>
    <t>E00904</t>
  </si>
  <si>
    <t xml:space="preserve"> HERNANDEZ</t>
  </si>
  <si>
    <t>E03621</t>
  </si>
  <si>
    <t>$151,928.13</t>
  </si>
  <si>
    <t>E03232</t>
  </si>
  <si>
    <t>E02860</t>
  </si>
  <si>
    <t>$53,268.24</t>
  </si>
  <si>
    <t>E00508</t>
  </si>
  <si>
    <t>$59,222</t>
  </si>
  <si>
    <t>sarah.white@northfield-hr.com</t>
  </si>
  <si>
    <t>E03222</t>
  </si>
  <si>
    <t>E00184</t>
  </si>
  <si>
    <t>E01565</t>
  </si>
  <si>
    <t>linda.ramirez@northfield-hr.com</t>
  </si>
  <si>
    <t>E02705</t>
  </si>
  <si>
    <t>$66,883.25</t>
  </si>
  <si>
    <t>E00322</t>
  </si>
  <si>
    <t>$47,003</t>
  </si>
  <si>
    <t>patricia.thomas@northfield-hr.com</t>
  </si>
  <si>
    <t>E03564</t>
  </si>
  <si>
    <t>joseph.miller@northfield-hr.com</t>
  </si>
  <si>
    <t>E01539</t>
  </si>
  <si>
    <t>$117,087</t>
  </si>
  <si>
    <t>E01838</t>
  </si>
  <si>
    <t xml:space="preserve">ENGINEERING </t>
  </si>
  <si>
    <t>lucas.lee@northfield-hr.com</t>
  </si>
  <si>
    <t>E02381</t>
  </si>
  <si>
    <t>E01841</t>
  </si>
  <si>
    <t xml:space="preserve">Young </t>
  </si>
  <si>
    <t>E02116</t>
  </si>
  <si>
    <t>E04438</t>
  </si>
  <si>
    <t>E01147</t>
  </si>
  <si>
    <t>$38,662.10</t>
  </si>
  <si>
    <t>E02487</t>
  </si>
  <si>
    <t xml:space="preserve"> Sofia</t>
  </si>
  <si>
    <t>sofia.king@northfield-hr.com</t>
  </si>
  <si>
    <t>E00045</t>
  </si>
  <si>
    <t>$85,467.51</t>
  </si>
  <si>
    <t>hiroshi.martin@northfield-hr.com</t>
  </si>
  <si>
    <t>E02155</t>
  </si>
  <si>
    <t>$81,987.71</t>
  </si>
  <si>
    <t>E01527</t>
  </si>
  <si>
    <t xml:space="preserve"> Lee </t>
  </si>
  <si>
    <t>E04502</t>
  </si>
  <si>
    <t xml:space="preserve"> Lopez</t>
  </si>
  <si>
    <t>E01379</t>
  </si>
  <si>
    <t>$67,334.41</t>
  </si>
  <si>
    <t>E01766</t>
  </si>
  <si>
    <t>$111,700</t>
  </si>
  <si>
    <t>E03013</t>
  </si>
  <si>
    <t>E04285</t>
  </si>
  <si>
    <t>$122,001.59</t>
  </si>
  <si>
    <t>E01408</t>
  </si>
  <si>
    <t xml:space="preserve">YUKI </t>
  </si>
  <si>
    <t>E01659</t>
  </si>
  <si>
    <t>priya.moore@northfield-hr.com</t>
  </si>
  <si>
    <t>E00802</t>
  </si>
  <si>
    <t>$49,312.79</t>
  </si>
  <si>
    <t>E01289</t>
  </si>
  <si>
    <t>amara.garcia@northfield-hr.com</t>
  </si>
  <si>
    <t>E02183</t>
  </si>
  <si>
    <t>$53,136.65</t>
  </si>
  <si>
    <t>E02589</t>
  </si>
  <si>
    <t xml:space="preserve"> Mktg </t>
  </si>
  <si>
    <t>E02616</t>
  </si>
  <si>
    <t>E02319</t>
  </si>
  <si>
    <t>jessica.young@northfield-hr.com</t>
  </si>
  <si>
    <t>E00257</t>
  </si>
  <si>
    <t>$49,436.56</t>
  </si>
  <si>
    <t>E04542</t>
  </si>
  <si>
    <t>E01730</t>
  </si>
  <si>
    <t>E01152</t>
  </si>
  <si>
    <t>$56,703.01</t>
  </si>
  <si>
    <t>E00648</t>
  </si>
  <si>
    <t>E01703</t>
  </si>
  <si>
    <t>mary.king@northfield-hr.com</t>
  </si>
  <si>
    <t>E01882</t>
  </si>
  <si>
    <t xml:space="preserve">torres </t>
  </si>
  <si>
    <t>$84,146</t>
  </si>
  <si>
    <t>E03769</t>
  </si>
  <si>
    <t>E01316</t>
  </si>
  <si>
    <t>aiko.torres@northfield-hr.com</t>
  </si>
  <si>
    <t>E02270</t>
  </si>
  <si>
    <t xml:space="preserve">  robert</t>
  </si>
  <si>
    <t>robert.anderson@northfield-hr.com</t>
  </si>
  <si>
    <t>E01967</t>
  </si>
  <si>
    <t>$75,184.22</t>
  </si>
  <si>
    <t>chidi.allen@northfield-hr.com</t>
  </si>
  <si>
    <t>E02466</t>
  </si>
  <si>
    <t>$148,474</t>
  </si>
  <si>
    <t>E03856</t>
  </si>
  <si>
    <t>E01351</t>
  </si>
  <si>
    <t>diego.thomas@northfield-hr.com</t>
  </si>
  <si>
    <t>E03297</t>
  </si>
  <si>
    <t xml:space="preserve">chidi </t>
  </si>
  <si>
    <t>chidi.lee@northfield-hr.com</t>
  </si>
  <si>
    <t>E00113</t>
  </si>
  <si>
    <t>$63,796.87</t>
  </si>
  <si>
    <t>charles.jackson@northfield-hr.com</t>
  </si>
  <si>
    <t>E03134</t>
  </si>
  <si>
    <t>$72,673.89</t>
  </si>
  <si>
    <t>diego.scott@northfield-hr.com</t>
  </si>
  <si>
    <t>E00264</t>
  </si>
  <si>
    <t>E01394</t>
  </si>
  <si>
    <t>E01879</t>
  </si>
  <si>
    <t>$137,629.54</t>
  </si>
  <si>
    <t>jennifer.torres@northfield-hr.com</t>
  </si>
  <si>
    <t>E01187</t>
  </si>
  <si>
    <t xml:space="preserve"> patricia </t>
  </si>
  <si>
    <t>patricia.lewis@northfield-hr.com</t>
  </si>
  <si>
    <t>E03072</t>
  </si>
  <si>
    <t>$88,083.09</t>
  </si>
  <si>
    <t>E00057</t>
  </si>
  <si>
    <t>sarah.thompson@northfield-hr.com</t>
  </si>
  <si>
    <t>E01310</t>
  </si>
  <si>
    <t>E00696</t>
  </si>
  <si>
    <t>mary.sanchez@northfield-hr.com</t>
  </si>
  <si>
    <t>E01727</t>
  </si>
  <si>
    <t xml:space="preserve"> James</t>
  </si>
  <si>
    <t>$147,280.40</t>
  </si>
  <si>
    <t>E02092</t>
  </si>
  <si>
    <t xml:space="preserve">Sales  </t>
  </si>
  <si>
    <t>$60,598.93</t>
  </si>
  <si>
    <t>E03870</t>
  </si>
  <si>
    <t>barbara.hill@northfield-hr.com</t>
  </si>
  <si>
    <t>E00320</t>
  </si>
  <si>
    <t xml:space="preserve"> SARAH </t>
  </si>
  <si>
    <t xml:space="preserve"> Gonzalez </t>
  </si>
  <si>
    <t>$38,741.90</t>
  </si>
  <si>
    <t>E04321</t>
  </si>
  <si>
    <t xml:space="preserve"> allen</t>
  </si>
  <si>
    <t>E00683</t>
  </si>
  <si>
    <t>$197,778.49</t>
  </si>
  <si>
    <t>E03842</t>
  </si>
  <si>
    <t>E03214</t>
  </si>
  <si>
    <t xml:space="preserve">Charles  </t>
  </si>
  <si>
    <t xml:space="preserve">Jones  </t>
  </si>
  <si>
    <t>charles.jones@northfield-hr.com</t>
  </si>
  <si>
    <t>E02003</t>
  </si>
  <si>
    <t>E04151</t>
  </si>
  <si>
    <t xml:space="preserve"> martinez</t>
  </si>
  <si>
    <t xml:space="preserve">  Human Resources</t>
  </si>
  <si>
    <t>priya.martinez@northfield-hr.com</t>
  </si>
  <si>
    <t>E00287</t>
  </si>
  <si>
    <t>$55,412</t>
  </si>
  <si>
    <t>E01889</t>
  </si>
  <si>
    <t>E02338</t>
  </si>
  <si>
    <t>E02521</t>
  </si>
  <si>
    <t>E02278</t>
  </si>
  <si>
    <t>john.moore@northfield-hr.com</t>
  </si>
  <si>
    <t>E02128</t>
  </si>
  <si>
    <t>E03500</t>
  </si>
  <si>
    <t>$127,447.91</t>
  </si>
  <si>
    <t>E04212</t>
  </si>
  <si>
    <t>aiko.smith@northfield-hr.com</t>
  </si>
  <si>
    <t>E02084</t>
  </si>
  <si>
    <t>$107,578</t>
  </si>
  <si>
    <t>diego.hill@northfield-hr.com</t>
  </si>
  <si>
    <t>E00737</t>
  </si>
  <si>
    <t>$48,771</t>
  </si>
  <si>
    <t>E04650</t>
  </si>
  <si>
    <t>$102,454.55</t>
  </si>
  <si>
    <t>E00337</t>
  </si>
  <si>
    <t>$123,907</t>
  </si>
  <si>
    <t>E02597</t>
  </si>
  <si>
    <t>lucas.white@northfield-hr.com</t>
  </si>
  <si>
    <t>E02772</t>
  </si>
  <si>
    <t>E03705</t>
  </si>
  <si>
    <t>$61,412.46</t>
  </si>
  <si>
    <t>mary.allen@northfield-hr.com</t>
  </si>
  <si>
    <t>E04405</t>
  </si>
  <si>
    <t>E01072</t>
  </si>
  <si>
    <t>$59,311</t>
  </si>
  <si>
    <t>E02291</t>
  </si>
  <si>
    <t xml:space="preserve"> taylor</t>
  </si>
  <si>
    <t>E01673</t>
  </si>
  <si>
    <t>$81,393.04</t>
  </si>
  <si>
    <t>michael.anderson@northfield-hr.com</t>
  </si>
  <si>
    <t>E04084</t>
  </si>
  <si>
    <t>$145,194</t>
  </si>
  <si>
    <t>E04251</t>
  </si>
  <si>
    <t>$152,936</t>
  </si>
  <si>
    <t>ava.torres@northfield-hr.com</t>
  </si>
  <si>
    <t>E04114</t>
  </si>
  <si>
    <t xml:space="preserve">ADAMS </t>
  </si>
  <si>
    <t>lucas.adams@northfield-hr.com</t>
  </si>
  <si>
    <t>E04409</t>
  </si>
  <si>
    <t>patricia.garcia@northfield-hr.com</t>
  </si>
  <si>
    <t>E03367</t>
  </si>
  <si>
    <t>linda.thompson@northfield-hr.com</t>
  </si>
  <si>
    <t>E01489</t>
  </si>
  <si>
    <t>emma.scott@northfield-hr.com</t>
  </si>
  <si>
    <t>E00499</t>
  </si>
  <si>
    <t>E04383</t>
  </si>
  <si>
    <t>$100,878.09</t>
  </si>
  <si>
    <t>E03480</t>
  </si>
  <si>
    <t>thomas.clark@northfield-hr.com</t>
  </si>
  <si>
    <t>E02582</t>
  </si>
  <si>
    <t>yuki.hill@northfield-hr.com</t>
  </si>
  <si>
    <t>E03124</t>
  </si>
  <si>
    <t xml:space="preserve"> MARY </t>
  </si>
  <si>
    <t>$57,625.36</t>
  </si>
  <si>
    <t>mary.scott@northfield-hr.com</t>
  </si>
  <si>
    <t>E02922</t>
  </si>
  <si>
    <t>john.lopez@northfield-hr.com</t>
  </si>
  <si>
    <t>E04378</t>
  </si>
  <si>
    <t>john.smith@northfield-hr.com</t>
  </si>
  <si>
    <t>E02645</t>
  </si>
  <si>
    <t>ingrid.smith@northfield-hr.com</t>
  </si>
  <si>
    <t>E04287</t>
  </si>
  <si>
    <t>$67,237.28</t>
  </si>
  <si>
    <t>E04041</t>
  </si>
  <si>
    <t xml:space="preserve">taylor </t>
  </si>
  <si>
    <t>$79,785.82</t>
  </si>
  <si>
    <t>robert.taylor@northfield-hr.com</t>
  </si>
  <si>
    <t>E02035</t>
  </si>
  <si>
    <t>E01023</t>
  </si>
  <si>
    <t>ingrid.adams@northfield-hr.com</t>
  </si>
  <si>
    <t>E02283</t>
  </si>
  <si>
    <t>E00281</t>
  </si>
  <si>
    <t>E04220</t>
  </si>
  <si>
    <t>E03064</t>
  </si>
  <si>
    <t>E04366</t>
  </si>
  <si>
    <t xml:space="preserve"> scott </t>
  </si>
  <si>
    <t>$60,148</t>
  </si>
  <si>
    <t>E00666</t>
  </si>
  <si>
    <t>$93,500.92</t>
  </si>
  <si>
    <t>E03933</t>
  </si>
  <si>
    <t>E02639</t>
  </si>
  <si>
    <t>$68,824.15</t>
  </si>
  <si>
    <t>E03177</t>
  </si>
  <si>
    <t>ava.davis@northfield-hr.com</t>
  </si>
  <si>
    <t>E04266</t>
  </si>
  <si>
    <t>$67,152</t>
  </si>
  <si>
    <t>E03122</t>
  </si>
  <si>
    <t>william.gonzalez@northfield-hr.com</t>
  </si>
  <si>
    <t>E01018</t>
  </si>
  <si>
    <t>$95,680.84</t>
  </si>
  <si>
    <t>joseph.adams@northfield-hr.com</t>
  </si>
  <si>
    <t>E00558</t>
  </si>
  <si>
    <t>william.davis@northfield-hr.com</t>
  </si>
  <si>
    <t>E02400</t>
  </si>
  <si>
    <t xml:space="preserve"> jennifer</t>
  </si>
  <si>
    <t>$63,952</t>
  </si>
  <si>
    <t>E01208</t>
  </si>
  <si>
    <t>yuki.ramirez@northfield-hr.com</t>
  </si>
  <si>
    <t>E02006</t>
  </si>
  <si>
    <t xml:space="preserve"> Robert</t>
  </si>
  <si>
    <t>E02657</t>
  </si>
  <si>
    <t>E02136</t>
  </si>
  <si>
    <t>$52,143</t>
  </si>
  <si>
    <t>E01511</t>
  </si>
  <si>
    <t>E01737</t>
  </si>
  <si>
    <t>E00246</t>
  </si>
  <si>
    <t>$40,774</t>
  </si>
  <si>
    <t>E01164</t>
  </si>
  <si>
    <t xml:space="preserve"> karen</t>
  </si>
  <si>
    <t>E03363</t>
  </si>
  <si>
    <t>E00267</t>
  </si>
  <si>
    <t>$160,646.25</t>
  </si>
  <si>
    <t>david.white@northfield-hr.com</t>
  </si>
  <si>
    <t>E02367</t>
  </si>
  <si>
    <t xml:space="preserve">Harris </t>
  </si>
  <si>
    <t>E01115</t>
  </si>
  <si>
    <t>michael.martinez@northfield-hr.com</t>
  </si>
  <si>
    <t>E00064</t>
  </si>
  <si>
    <t>karen.sanchez@northfield-hr.com</t>
  </si>
  <si>
    <t>E02593</t>
  </si>
  <si>
    <t>E02789</t>
  </si>
  <si>
    <t>E02758</t>
  </si>
  <si>
    <t>robert.torres@northfield-hr.com</t>
  </si>
  <si>
    <t>E03012</t>
  </si>
  <si>
    <t>$99,908</t>
  </si>
  <si>
    <t>E03077</t>
  </si>
  <si>
    <t>E02999</t>
  </si>
  <si>
    <t>E02816</t>
  </si>
  <si>
    <t>E02260</t>
  </si>
  <si>
    <t>E03473</t>
  </si>
  <si>
    <t>E03205</t>
  </si>
  <si>
    <t>E01238</t>
  </si>
  <si>
    <t>E00104</t>
  </si>
  <si>
    <t xml:space="preserve">KAREN </t>
  </si>
  <si>
    <t>E02644</t>
  </si>
  <si>
    <t xml:space="preserve">TAYLOR </t>
  </si>
  <si>
    <t>lucas.taylor@northfield-hr.com</t>
  </si>
  <si>
    <t>E00273</t>
  </si>
  <si>
    <t>E00509</t>
  </si>
  <si>
    <t>sofia.miller@northfield-hr.com</t>
  </si>
  <si>
    <t>E02227</t>
  </si>
  <si>
    <t>$55,035</t>
  </si>
  <si>
    <t>lucas.williams@northfield-hr.com</t>
  </si>
  <si>
    <t xml:space="preserve">PATRICIA </t>
  </si>
  <si>
    <t>E02442</t>
  </si>
  <si>
    <t>$83,862.82</t>
  </si>
  <si>
    <t>E00866</t>
  </si>
  <si>
    <t>E03327</t>
  </si>
  <si>
    <t>liam.perez@northfield-hr.com</t>
  </si>
  <si>
    <t>E00909</t>
  </si>
  <si>
    <t>E02115</t>
  </si>
  <si>
    <t>mary.walker@northfield-hr.com</t>
  </si>
  <si>
    <t>E03897</t>
  </si>
  <si>
    <t>yuki.jones@northfield-hr.com</t>
  </si>
  <si>
    <t>E01628</t>
  </si>
  <si>
    <t>$131,249.72</t>
  </si>
  <si>
    <t>joseph.lewis@northfield-hr.com</t>
  </si>
  <si>
    <t>E02874</t>
  </si>
  <si>
    <t xml:space="preserve"> Aiko</t>
  </si>
  <si>
    <t>aiko.anderson@northfield-hr.com</t>
  </si>
  <si>
    <t>E01523</t>
  </si>
  <si>
    <t>sarah.clark@northfield-hr.com</t>
  </si>
  <si>
    <t>E00836</t>
  </si>
  <si>
    <t xml:space="preserve"> Robinson </t>
  </si>
  <si>
    <t>$40,020.13</t>
  </si>
  <si>
    <t>karen.robinson@northfield-hr.com</t>
  </si>
  <si>
    <t>E00359</t>
  </si>
  <si>
    <t>$46,824.01</t>
  </si>
  <si>
    <t>jennifer.moore@northfield-hr.com</t>
  </si>
  <si>
    <t>E00139</t>
  </si>
  <si>
    <t>E00300</t>
  </si>
  <si>
    <t>E01557</t>
  </si>
  <si>
    <t xml:space="preserve">ELIZABETH </t>
  </si>
  <si>
    <t>$87,102</t>
  </si>
  <si>
    <t>E01004</t>
  </si>
  <si>
    <t xml:space="preserve"> linda </t>
  </si>
  <si>
    <t>linda.harris@northfield-hr.com</t>
  </si>
  <si>
    <t>E00383</t>
  </si>
  <si>
    <t xml:space="preserve">  Linda</t>
  </si>
  <si>
    <t xml:space="preserve">Johnson </t>
  </si>
  <si>
    <t>linda.johnson@northfield-hr.com</t>
  </si>
  <si>
    <t>E00942</t>
  </si>
  <si>
    <t xml:space="preserve"> THOMPSON</t>
  </si>
  <si>
    <t>$141,947.20</t>
  </si>
  <si>
    <t>ava.thompson@northfield-hr.com</t>
  </si>
  <si>
    <t>E04447</t>
  </si>
  <si>
    <t>$72,160</t>
  </si>
  <si>
    <t>susan.sanchez@northfield-hr.com</t>
  </si>
  <si>
    <t>E02567</t>
  </si>
  <si>
    <t>E00762</t>
  </si>
  <si>
    <t>E01706</t>
  </si>
  <si>
    <t xml:space="preserve"> FINANCE</t>
  </si>
  <si>
    <t>$95,924.94</t>
  </si>
  <si>
    <t>john.jones@northfield-hr.com</t>
  </si>
  <si>
    <t>E01874</t>
  </si>
  <si>
    <t>E02551</t>
  </si>
  <si>
    <t>$75,977.57</t>
  </si>
  <si>
    <t>mary.nguyen@northfield-hr.com</t>
  </si>
  <si>
    <t>E02087</t>
  </si>
  <si>
    <t>E02198</t>
  </si>
  <si>
    <t xml:space="preserve"> Young </t>
  </si>
  <si>
    <t>$81,639</t>
  </si>
  <si>
    <t>E00899</t>
  </si>
  <si>
    <t>E04000</t>
  </si>
  <si>
    <t>liam.jackson@northfield-hr.com</t>
  </si>
  <si>
    <t>E03616</t>
  </si>
  <si>
    <t>E01403</t>
  </si>
  <si>
    <t>E03874</t>
  </si>
  <si>
    <t xml:space="preserve"> Johnson</t>
  </si>
  <si>
    <t>wei.johnson@northfield-hr.com</t>
  </si>
  <si>
    <t>E03786</t>
  </si>
  <si>
    <t>E04387</t>
  </si>
  <si>
    <t>$63,947.26</t>
  </si>
  <si>
    <t>E02956</t>
  </si>
  <si>
    <t>robert.jackson@northfield-hr.com</t>
  </si>
  <si>
    <t>E01513</t>
  </si>
  <si>
    <t>E01189</t>
  </si>
  <si>
    <t>E02990</t>
  </si>
  <si>
    <t xml:space="preserve"> diego</t>
  </si>
  <si>
    <t>E02081</t>
  </si>
  <si>
    <t>$62,464.04</t>
  </si>
  <si>
    <t>$55,095.97</t>
  </si>
  <si>
    <t>E03438</t>
  </si>
  <si>
    <t>amara.rodriguez@northfield-hr.com</t>
  </si>
  <si>
    <t>E00109</t>
  </si>
  <si>
    <t>$119,523</t>
  </si>
  <si>
    <t>E04699</t>
  </si>
  <si>
    <t>$88,805</t>
  </si>
  <si>
    <t>E02828</t>
  </si>
  <si>
    <t>mary.hill@northfield-hr.com</t>
  </si>
  <si>
    <t>E00059</t>
  </si>
  <si>
    <t>$66,116</t>
  </si>
  <si>
    <t>diego.ramirez@northfield-hr.com</t>
  </si>
  <si>
    <t>E00077</t>
  </si>
  <si>
    <t>susan.clark@northfield-hr.com</t>
  </si>
  <si>
    <t>E00797</t>
  </si>
  <si>
    <t>E00369</t>
  </si>
  <si>
    <t>$85,006</t>
  </si>
  <si>
    <t>E00956</t>
  </si>
  <si>
    <t>$107,597.81</t>
  </si>
  <si>
    <t>E00786</t>
  </si>
  <si>
    <t>$72,586.69</t>
  </si>
  <si>
    <t>E02089</t>
  </si>
  <si>
    <t>$102,824</t>
  </si>
  <si>
    <t>E02315</t>
  </si>
  <si>
    <t>E03385</t>
  </si>
  <si>
    <t xml:space="preserve"> david </t>
  </si>
  <si>
    <t>E03606</t>
  </si>
  <si>
    <t xml:space="preserve">  Wei </t>
  </si>
  <si>
    <t>E04112</t>
  </si>
  <si>
    <t>$115,314.48</t>
  </si>
  <si>
    <t>E01903</t>
  </si>
  <si>
    <t>E01704</t>
  </si>
  <si>
    <t>E00122</t>
  </si>
  <si>
    <t>$79,591</t>
  </si>
  <si>
    <t>E01845</t>
  </si>
  <si>
    <t>$83,754.38</t>
  </si>
  <si>
    <t>jessica.anderson@northfield-hr.com</t>
  </si>
  <si>
    <t>E02370</t>
  </si>
  <si>
    <t>patricia.davis@northfield-hr.com</t>
  </si>
  <si>
    <t>E03729</t>
  </si>
  <si>
    <t>$50,070</t>
  </si>
  <si>
    <t>E00911</t>
  </si>
  <si>
    <t>E00125</t>
  </si>
  <si>
    <t>$97,005.09</t>
  </si>
  <si>
    <t>sofia.lewis@northfield-hr.com</t>
  </si>
  <si>
    <t>E02573</t>
  </si>
  <si>
    <t xml:space="preserve">Fatima </t>
  </si>
  <si>
    <t>$146,414.95</t>
  </si>
  <si>
    <t>E01587</t>
  </si>
  <si>
    <t>$103,061.31</t>
  </si>
  <si>
    <t>E01258</t>
  </si>
  <si>
    <t xml:space="preserve"> William </t>
  </si>
  <si>
    <t>$79,791.07</t>
  </si>
  <si>
    <t>william.hernandez@northfield-hr.com</t>
  </si>
  <si>
    <t>E03442</t>
  </si>
  <si>
    <t>E03481</t>
  </si>
  <si>
    <t xml:space="preserve">SOFIA </t>
  </si>
  <si>
    <t>E04109</t>
  </si>
  <si>
    <t>E01179</t>
  </si>
  <si>
    <t>$82,003.69</t>
  </si>
  <si>
    <t>E03464</t>
  </si>
  <si>
    <t>james.jones@northfield-hr.com</t>
  </si>
  <si>
    <t>E03470</t>
  </si>
  <si>
    <t>$180,765.79</t>
  </si>
  <si>
    <t>E03468</t>
  </si>
  <si>
    <t>noah.lee@northfield-hr.com</t>
  </si>
  <si>
    <t>E02104</t>
  </si>
  <si>
    <t xml:space="preserve">CHARLES </t>
  </si>
  <si>
    <t>$72,974.66</t>
  </si>
  <si>
    <t>E00443</t>
  </si>
  <si>
    <t>hiroshi.robinson@northfield-hr.com</t>
  </si>
  <si>
    <t>E02228</t>
  </si>
  <si>
    <t>$113,335</t>
  </si>
  <si>
    <t>E04417</t>
  </si>
  <si>
    <t xml:space="preserve"> Human Resource</t>
  </si>
  <si>
    <t>$44,593</t>
  </si>
  <si>
    <t>E00926</t>
  </si>
  <si>
    <t>$55,475.66</t>
  </si>
  <si>
    <t>robert.williams@northfield-hr.com</t>
  </si>
  <si>
    <t>E04021</t>
  </si>
  <si>
    <t>yuki.wilson@northfield-hr.com</t>
  </si>
  <si>
    <t>E02146</t>
  </si>
  <si>
    <t>sofia.lopez@northfield-hr.com</t>
  </si>
  <si>
    <t>E02628</t>
  </si>
  <si>
    <t>$73,271</t>
  </si>
  <si>
    <t>E01412</t>
  </si>
  <si>
    <t>E03467</t>
  </si>
  <si>
    <t>$112,687.73</t>
  </si>
  <si>
    <t>E02073</t>
  </si>
  <si>
    <t>william.perez@northfield-hr.com</t>
  </si>
  <si>
    <t>E01510</t>
  </si>
  <si>
    <t>$47,810</t>
  </si>
  <si>
    <t>E01228</t>
  </si>
  <si>
    <t>richard.ramirez@northfield-hr.com</t>
  </si>
  <si>
    <t>E04073</t>
  </si>
  <si>
    <t>noah.lewis@northfield-hr.com</t>
  </si>
  <si>
    <t>E02586</t>
  </si>
  <si>
    <t>patricia.young@northfield-hr.com</t>
  </si>
  <si>
    <t>E04451</t>
  </si>
  <si>
    <t>$79,997</t>
  </si>
  <si>
    <t>priya.williams@northfield-hr.com</t>
  </si>
  <si>
    <t>E02952</t>
  </si>
  <si>
    <t>$49,787</t>
  </si>
  <si>
    <t>E03886</t>
  </si>
  <si>
    <t>william.ramirez@northfield-hr.com</t>
  </si>
  <si>
    <t>E00325</t>
  </si>
  <si>
    <t xml:space="preserve">Analyst  </t>
  </si>
  <si>
    <t>karen.moore@northfield-hr.com</t>
  </si>
  <si>
    <t>E03978</t>
  </si>
  <si>
    <t>$59,840.81</t>
  </si>
  <si>
    <t>E03577</t>
  </si>
  <si>
    <t>fatima.johnson@northfield-hr.com</t>
  </si>
  <si>
    <t>E02212</t>
  </si>
  <si>
    <t>E03299</t>
  </si>
  <si>
    <t>E03036</t>
  </si>
  <si>
    <t xml:space="preserve">wright </t>
  </si>
  <si>
    <t>E01499</t>
  </si>
  <si>
    <t>E01503</t>
  </si>
  <si>
    <t>E01007</t>
  </si>
  <si>
    <t>E04180</t>
  </si>
  <si>
    <t>barbara.white@northfield-hr.com</t>
  </si>
  <si>
    <t>E03014</t>
  </si>
  <si>
    <t>sarah.wright@northfield-hr.com</t>
  </si>
  <si>
    <t>E03517</t>
  </si>
  <si>
    <t>$88,406.24</t>
  </si>
  <si>
    <t>E01468</t>
  </si>
  <si>
    <t>E01226</t>
  </si>
  <si>
    <t>$114,448</t>
  </si>
  <si>
    <t>E03168</t>
  </si>
  <si>
    <t>joseph.perez@northfield-hr.com</t>
  </si>
  <si>
    <t>E02268</t>
  </si>
  <si>
    <t>$95,346</t>
  </si>
  <si>
    <t>E03809</t>
  </si>
  <si>
    <t>$48,625.14</t>
  </si>
  <si>
    <t>elizabeth.clark@northfield-hr.com</t>
  </si>
  <si>
    <t>E01217</t>
  </si>
  <si>
    <t>E03977</t>
  </si>
  <si>
    <t>$73,769.12</t>
  </si>
  <si>
    <t>patricia.clark@northfield-hr.com</t>
  </si>
  <si>
    <t>E04585</t>
  </si>
  <si>
    <t>$150,206</t>
  </si>
  <si>
    <t>david.nguyen@northfield-hr.com</t>
  </si>
  <si>
    <t>E00421</t>
  </si>
  <si>
    <t>E03423</t>
  </si>
  <si>
    <t>E00007</t>
  </si>
  <si>
    <t>E00933</t>
  </si>
  <si>
    <t>wei.brown@northfield-hr.com</t>
  </si>
  <si>
    <t>E01692</t>
  </si>
  <si>
    <t>$50,138</t>
  </si>
  <si>
    <t>charles.clark@northfield-hr.com</t>
  </si>
  <si>
    <t>E00440</t>
  </si>
  <si>
    <t>E01314</t>
  </si>
  <si>
    <t>hiroshi.ramirez@northfield-hr.com</t>
  </si>
  <si>
    <t>E00679</t>
  </si>
  <si>
    <t>$-95,391</t>
  </si>
  <si>
    <t>E01944</t>
  </si>
  <si>
    <t>$91,086</t>
  </si>
  <si>
    <t>fatima.thompson@northfield-hr.com</t>
  </si>
  <si>
    <t>E04611</t>
  </si>
  <si>
    <t>fatima.white@northfield-hr.com</t>
  </si>
  <si>
    <t>E03304</t>
  </si>
  <si>
    <t xml:space="preserve">JONES </t>
  </si>
  <si>
    <t>$79,026.26</t>
  </si>
  <si>
    <t>E02269</t>
  </si>
  <si>
    <t>$43,949</t>
  </si>
  <si>
    <t>E04634</t>
  </si>
  <si>
    <t>carlos.johnson@northfield-hr.com</t>
  </si>
  <si>
    <t>E04081</t>
  </si>
  <si>
    <t>E02519</t>
  </si>
  <si>
    <t>$50,752</t>
  </si>
  <si>
    <t>E02440</t>
  </si>
  <si>
    <t>E04038</t>
  </si>
  <si>
    <t xml:space="preserve"> I.T. </t>
  </si>
  <si>
    <t>$63,817.19</t>
  </si>
  <si>
    <t>E01894</t>
  </si>
  <si>
    <t>$57,212</t>
  </si>
  <si>
    <t>E04245</t>
  </si>
  <si>
    <t>$62,741</t>
  </si>
  <si>
    <t>E02641</t>
  </si>
  <si>
    <t>E00195</t>
  </si>
  <si>
    <t>mohammed.johnson@northfield-hr.com</t>
  </si>
  <si>
    <t>E01475</t>
  </si>
  <si>
    <t>$91,609</t>
  </si>
  <si>
    <t>E04617</t>
  </si>
  <si>
    <t>E01212</t>
  </si>
  <si>
    <t>amara.young@northfield-hr.com</t>
  </si>
  <si>
    <t>E02439</t>
  </si>
  <si>
    <t>$44,997</t>
  </si>
  <si>
    <t>E01658</t>
  </si>
  <si>
    <t>E02701</t>
  </si>
  <si>
    <t>$39,095</t>
  </si>
  <si>
    <t>E03083</t>
  </si>
  <si>
    <t>E02706</t>
  </si>
  <si>
    <t>E04227</t>
  </si>
  <si>
    <t xml:space="preserve"> harris</t>
  </si>
  <si>
    <t>$60,394.29</t>
  </si>
  <si>
    <t>E02843</t>
  </si>
  <si>
    <t xml:space="preserve"> elizabeth </t>
  </si>
  <si>
    <t>elizabeth.martinez@northfield-hr.com</t>
  </si>
  <si>
    <t>E02303</t>
  </si>
  <si>
    <t>E01131</t>
  </si>
  <si>
    <t>E01462</t>
  </si>
  <si>
    <t>E00277</t>
  </si>
  <si>
    <t>E02223</t>
  </si>
  <si>
    <t>$34,478</t>
  </si>
  <si>
    <t>E02332</t>
  </si>
  <si>
    <t>$84,209.29</t>
  </si>
  <si>
    <t>E04323</t>
  </si>
  <si>
    <t>E01303</t>
  </si>
  <si>
    <t>E02518</t>
  </si>
  <si>
    <t>$53,920.20</t>
  </si>
  <si>
    <t>E00223</t>
  </si>
  <si>
    <t xml:space="preserve"> Elizabeth </t>
  </si>
  <si>
    <t>E02037</t>
  </si>
  <si>
    <t>$-108,308.66</t>
  </si>
  <si>
    <t>E01925</t>
  </si>
  <si>
    <t>E00574</t>
  </si>
  <si>
    <t>E01237</t>
  </si>
  <si>
    <t>$83,638.06</t>
  </si>
  <si>
    <t>E03545</t>
  </si>
  <si>
    <t>E02134</t>
  </si>
  <si>
    <t xml:space="preserve">MOHAMMED </t>
  </si>
  <si>
    <t>$71,833.68</t>
  </si>
  <si>
    <t>E01335</t>
  </si>
  <si>
    <t>E02458</t>
  </si>
  <si>
    <t>amara.wright@northfield-hr.com</t>
  </si>
  <si>
    <t>E00419</t>
  </si>
  <si>
    <t xml:space="preserve"> ELIZABETH</t>
  </si>
  <si>
    <t>elizabeth.jones@northfield-hr.com</t>
  </si>
  <si>
    <t>E02869</t>
  </si>
  <si>
    <t xml:space="preserve"> liam</t>
  </si>
  <si>
    <t>$73,454</t>
  </si>
  <si>
    <t>E01105</t>
  </si>
  <si>
    <t>aiko.clark@northfield-hr.com</t>
  </si>
  <si>
    <t>E00258</t>
  </si>
  <si>
    <t>E00296</t>
  </si>
  <si>
    <t>E02362</t>
  </si>
  <si>
    <t>E00387</t>
  </si>
  <si>
    <t>$51,794</t>
  </si>
  <si>
    <t>E03309</t>
  </si>
  <si>
    <t>$60,065.75</t>
  </si>
  <si>
    <t>E04014</t>
  </si>
  <si>
    <t xml:space="preserve">ramirez </t>
  </si>
  <si>
    <t>$106,311.42</t>
  </si>
  <si>
    <t>E02232</t>
  </si>
  <si>
    <t>$62,446</t>
  </si>
  <si>
    <t>E02555</t>
  </si>
  <si>
    <t xml:space="preserve"> Wilson </t>
  </si>
  <si>
    <t>$-69,929.03</t>
  </si>
  <si>
    <t>E04336</t>
  </si>
  <si>
    <t xml:space="preserve">NOAH </t>
  </si>
  <si>
    <t>$106,243.30</t>
  </si>
  <si>
    <t>E03516</t>
  </si>
  <si>
    <t>E01840</t>
  </si>
  <si>
    <t>$61,120</t>
  </si>
  <si>
    <t>E04385</t>
  </si>
  <si>
    <t>E01564</t>
  </si>
  <si>
    <t>$64,814.74</t>
  </si>
  <si>
    <t>E02016</t>
  </si>
  <si>
    <t>E01401</t>
  </si>
  <si>
    <t>E02421</t>
  </si>
  <si>
    <t>E02620</t>
  </si>
  <si>
    <t xml:space="preserve">john </t>
  </si>
  <si>
    <t>$89,469.48</t>
  </si>
  <si>
    <t>E00210</t>
  </si>
  <si>
    <t>$139,419.40</t>
  </si>
  <si>
    <t>E00049</t>
  </si>
  <si>
    <t>$67,871</t>
  </si>
  <si>
    <t>E01290</t>
  </si>
  <si>
    <t>karen.allen@northfield-hr.com</t>
  </si>
  <si>
    <t>E00450</t>
  </si>
  <si>
    <t>chidi.brown@northfield-hr.com</t>
  </si>
  <si>
    <t>E04092</t>
  </si>
  <si>
    <t>$51,992.39</t>
  </si>
  <si>
    <t>E02570</t>
  </si>
  <si>
    <t>$52,709.35</t>
  </si>
  <si>
    <t>E01821</t>
  </si>
  <si>
    <t>E00959</t>
  </si>
  <si>
    <t>E01794</t>
  </si>
  <si>
    <t>E01926</t>
  </si>
  <si>
    <t>william.thomas@northfield-hr.com</t>
  </si>
  <si>
    <t>E00655</t>
  </si>
  <si>
    <t>$203,462.37</t>
  </si>
  <si>
    <t>E02408</t>
  </si>
  <si>
    <t>$49,180</t>
  </si>
  <si>
    <t>sofia.ramirez@northfield-hr.com</t>
  </si>
  <si>
    <t>E03853</t>
  </si>
  <si>
    <t>$54,934.96</t>
  </si>
  <si>
    <t>diego.thompson@northfield-hr.com</t>
  </si>
  <si>
    <t>E01996</t>
  </si>
  <si>
    <t>joseph.white@northfield-hr.com</t>
  </si>
  <si>
    <t>E02355</t>
  </si>
  <si>
    <t xml:space="preserve">  john</t>
  </si>
  <si>
    <t>E02742</t>
  </si>
  <si>
    <t>$48,318</t>
  </si>
  <si>
    <t>E02618</t>
  </si>
  <si>
    <t>E00412</t>
  </si>
  <si>
    <t>E01775</t>
  </si>
  <si>
    <t>E03979</t>
  </si>
  <si>
    <t>E02187</t>
  </si>
  <si>
    <t>$95,826.18</t>
  </si>
  <si>
    <t>E02380</t>
  </si>
  <si>
    <t>E03964</t>
  </si>
  <si>
    <t>$72,716</t>
  </si>
  <si>
    <t>barbara.lee@northfield-hr.com</t>
  </si>
  <si>
    <t>E04312</t>
  </si>
  <si>
    <t>E04225</t>
  </si>
  <si>
    <t>E03703</t>
  </si>
  <si>
    <t xml:space="preserve">JENNIFER </t>
  </si>
  <si>
    <t>$67,552</t>
  </si>
  <si>
    <t>E03973</t>
  </si>
  <si>
    <t>$53,918.70</t>
  </si>
  <si>
    <t>jennifer.clark@northfield-hr.com</t>
  </si>
  <si>
    <t>E01524</t>
  </si>
  <si>
    <t>E03559</t>
  </si>
  <si>
    <t xml:space="preserve"> Enginering </t>
  </si>
  <si>
    <t>$97,492</t>
  </si>
  <si>
    <t>E04111</t>
  </si>
  <si>
    <t>E03498</t>
  </si>
  <si>
    <t>$38,741</t>
  </si>
  <si>
    <t>mohammed.davis@northfield-hr.com</t>
  </si>
  <si>
    <t>E03766</t>
  </si>
  <si>
    <t>$42,273.33</t>
  </si>
  <si>
    <t>E00431</t>
  </si>
  <si>
    <t>E04485</t>
  </si>
  <si>
    <t>hiroshi.adams@northfield-hr.com</t>
  </si>
  <si>
    <t>E02322</t>
  </si>
  <si>
    <t>jessica.scott@northfield-hr.com</t>
  </si>
  <si>
    <t>E01367</t>
  </si>
  <si>
    <t>barbara.jones@northfield-hr.com</t>
  </si>
  <si>
    <t>E01993</t>
  </si>
  <si>
    <t>E02852</t>
  </si>
  <si>
    <t xml:space="preserve"> Moore</t>
  </si>
  <si>
    <t>$76,857.23</t>
  </si>
  <si>
    <t>E01177</t>
  </si>
  <si>
    <t>$88,593.59</t>
  </si>
  <si>
    <t>E03529</t>
  </si>
  <si>
    <t>mateo.garcia@northfield-hr.com</t>
  </si>
  <si>
    <t>E01477</t>
  </si>
  <si>
    <t>E03741</t>
  </si>
  <si>
    <t>E02046</t>
  </si>
  <si>
    <t>$49,254</t>
  </si>
  <si>
    <t>E00103</t>
  </si>
  <si>
    <t>$165,678.24</t>
  </si>
  <si>
    <t>E04332</t>
  </si>
  <si>
    <t>$59,355.27</t>
  </si>
  <si>
    <t>E02993</t>
  </si>
  <si>
    <t>E01264</t>
  </si>
  <si>
    <t>E02882</t>
  </si>
  <si>
    <t>$93,439.48</t>
  </si>
  <si>
    <t>thomas.johnson@northfield-hr.com</t>
  </si>
  <si>
    <t>E03139</t>
  </si>
  <si>
    <t>E03623</t>
  </si>
  <si>
    <t>olga.clark@northfield-hr.com</t>
  </si>
  <si>
    <t>E04279</t>
  </si>
  <si>
    <t>ingrid.johnson@northfield-hr.com</t>
  </si>
  <si>
    <t>E03300</t>
  </si>
  <si>
    <t>$101,163</t>
  </si>
  <si>
    <t>E03634</t>
  </si>
  <si>
    <t>E01644</t>
  </si>
  <si>
    <t>mary.lewis@northfield-hr.com</t>
  </si>
  <si>
    <t>E04506</t>
  </si>
  <si>
    <t>$80,132.54</t>
  </si>
  <si>
    <t>E00001</t>
  </si>
  <si>
    <t>E01581</t>
  </si>
  <si>
    <t>E04423</t>
  </si>
  <si>
    <t xml:space="preserve">MARKETING </t>
  </si>
  <si>
    <t>E04117</t>
  </si>
  <si>
    <t>thomas.perez@northfield-hr.com</t>
  </si>
  <si>
    <t>E01357</t>
  </si>
  <si>
    <t xml:space="preserve"> Allen</t>
  </si>
  <si>
    <t>james.allen@northfield-hr.com</t>
  </si>
  <si>
    <t>E04202</t>
  </si>
  <si>
    <t>E04575</t>
  </si>
  <si>
    <t>fatima.adams@northfield-hr.com</t>
  </si>
  <si>
    <t>E03734</t>
  </si>
  <si>
    <t>$81,147.25</t>
  </si>
  <si>
    <t>E02026</t>
  </si>
  <si>
    <t>E02219</t>
  </si>
  <si>
    <t>$95,167</t>
  </si>
  <si>
    <t>E00397</t>
  </si>
  <si>
    <t>$59,770.99</t>
  </si>
  <si>
    <t>ingrid.jackson@northfield-hr.com</t>
  </si>
  <si>
    <t>$44,535.13</t>
  </si>
  <si>
    <t>E01065</t>
  </si>
  <si>
    <t>$86,587</t>
  </si>
  <si>
    <t>liam.hernandez@northfield-hr.com</t>
  </si>
  <si>
    <t>E03081</t>
  </si>
  <si>
    <t>$95,584.30</t>
  </si>
  <si>
    <t>joseph.wilson@northfield-hr.com</t>
  </si>
  <si>
    <t>E02154</t>
  </si>
  <si>
    <t>lucas.thomas@northfield-hr.com</t>
  </si>
  <si>
    <t>E00819</t>
  </si>
  <si>
    <t>$66,729.39</t>
  </si>
  <si>
    <t>E01813</t>
  </si>
  <si>
    <t xml:space="preserve"> FATIMA</t>
  </si>
  <si>
    <t>E02553</t>
  </si>
  <si>
    <t>E01553</t>
  </si>
  <si>
    <t>E04048</t>
  </si>
  <si>
    <t>$60,201</t>
  </si>
  <si>
    <t>elizabeth.adams@northfield-hr.com</t>
  </si>
  <si>
    <t>E00817</t>
  </si>
  <si>
    <t>E01573</t>
  </si>
  <si>
    <t>$96,216</t>
  </si>
  <si>
    <t>E04553</t>
  </si>
  <si>
    <t>E01801</t>
  </si>
  <si>
    <t>$79,864</t>
  </si>
  <si>
    <t>robert.hill@northfield-hr.com</t>
  </si>
  <si>
    <t>E04288</t>
  </si>
  <si>
    <t xml:space="preserve"> HERNANDEZ </t>
  </si>
  <si>
    <t>karen.hernandez@northfield-hr.com</t>
  </si>
  <si>
    <t>E00382</t>
  </si>
  <si>
    <t xml:space="preserve">  SENIOR ANALYST</t>
  </si>
  <si>
    <t>$132,830</t>
  </si>
  <si>
    <t>E02875</t>
  </si>
  <si>
    <t>james.lopez@northfield-hr.com</t>
  </si>
  <si>
    <t>E04348</t>
  </si>
  <si>
    <t>E04627</t>
  </si>
  <si>
    <t>mary.davis@northfield-hr.com</t>
  </si>
  <si>
    <t>E03504</t>
  </si>
  <si>
    <t xml:space="preserve">  Marketing</t>
  </si>
  <si>
    <t>fatima.taylor@northfield-hr.com</t>
  </si>
  <si>
    <t>E02312</t>
  </si>
  <si>
    <t>E01781</t>
  </si>
  <si>
    <t>E02727</t>
  </si>
  <si>
    <t>joseph.taylor@northfield-hr.com</t>
  </si>
  <si>
    <t>E02438</t>
  </si>
  <si>
    <t xml:space="preserve"> CARLOS</t>
  </si>
  <si>
    <t>carlos.anderson@northfield-hr.com</t>
  </si>
  <si>
    <t>E02334</t>
  </si>
  <si>
    <t>E00865</t>
  </si>
  <si>
    <t>jennifer.rodriguez@northfield-hr.com</t>
  </si>
  <si>
    <t>E03639</t>
  </si>
  <si>
    <t xml:space="preserve"> Sanchez</t>
  </si>
  <si>
    <t>E03165</t>
  </si>
  <si>
    <t>$85,019</t>
  </si>
  <si>
    <t>E00555</t>
  </si>
  <si>
    <t xml:space="preserve">Robert </t>
  </si>
  <si>
    <t>$76,577.94</t>
  </si>
  <si>
    <t>E01160</t>
  </si>
  <si>
    <t xml:space="preserve">  associate</t>
  </si>
  <si>
    <t>E01214</t>
  </si>
  <si>
    <t>$115,295.55</t>
  </si>
  <si>
    <t>priya.white@northfield-hr.com</t>
  </si>
  <si>
    <t>E03761</t>
  </si>
  <si>
    <t>E04214</t>
  </si>
  <si>
    <t xml:space="preserve"> SCOTT</t>
  </si>
  <si>
    <t>E02368</t>
  </si>
  <si>
    <t>$41,750</t>
  </si>
  <si>
    <t>E00701</t>
  </si>
  <si>
    <t>$57,723.57</t>
  </si>
  <si>
    <t>E00653</t>
  </si>
  <si>
    <t xml:space="preserve"> carlos</t>
  </si>
  <si>
    <t>carlos.adams@northfield-hr.com</t>
  </si>
  <si>
    <t>E03934</t>
  </si>
  <si>
    <t>E04410</t>
  </si>
  <si>
    <t xml:space="preserve"> TAYLOR</t>
  </si>
  <si>
    <t>E03312</t>
  </si>
  <si>
    <t xml:space="preserve"> human resources</t>
  </si>
  <si>
    <t>$62,680.20</t>
  </si>
  <si>
    <t>wei.lee@northfield-hr.com</t>
  </si>
  <si>
    <t>E00749</t>
  </si>
  <si>
    <t xml:space="preserve">PEREZ </t>
  </si>
  <si>
    <t>$102,746</t>
  </si>
  <si>
    <t>E01456</t>
  </si>
  <si>
    <t>E04196</t>
  </si>
  <si>
    <t>mary.harris@northfield-hr.com</t>
  </si>
  <si>
    <t>E02390</t>
  </si>
  <si>
    <t xml:space="preserve"> ROBINSON</t>
  </si>
  <si>
    <t>michael.robinson@northfield-hr.com</t>
  </si>
  <si>
    <t>E03495</t>
  </si>
  <si>
    <t>$38,331.08</t>
  </si>
  <si>
    <t>chidi.hill@northfield-hr.com</t>
  </si>
  <si>
    <t>E00867</t>
  </si>
  <si>
    <t>elizabeth.lewis@northfield-hr.com</t>
  </si>
  <si>
    <t>E00753</t>
  </si>
  <si>
    <t xml:space="preserve"> Martinez </t>
  </si>
  <si>
    <t>mohammed.martinez@northfield-hr.com</t>
  </si>
  <si>
    <t>E01645</t>
  </si>
  <si>
    <t>hiroshi.wilson@northfield-hr.com</t>
  </si>
  <si>
    <t>E00093</t>
  </si>
  <si>
    <t>E03102</t>
  </si>
  <si>
    <t>$83,071</t>
  </si>
  <si>
    <t>E02433</t>
  </si>
  <si>
    <t>$49,000.76</t>
  </si>
  <si>
    <t>E02630</t>
  </si>
  <si>
    <t>E01491</t>
  </si>
  <si>
    <t>joseph.allen@northfield-hr.com</t>
  </si>
  <si>
    <t>E02896</t>
  </si>
  <si>
    <t>E02178</t>
  </si>
  <si>
    <t>mohammed.walker@northfield-hr.com</t>
  </si>
  <si>
    <t>E00730</t>
  </si>
  <si>
    <t>E02472</t>
  </si>
  <si>
    <t>E02243</t>
  </si>
  <si>
    <t>E01937</t>
  </si>
  <si>
    <t>E01746</t>
  </si>
  <si>
    <t xml:space="preserve"> ingrid</t>
  </si>
  <si>
    <t xml:space="preserve"> miller </t>
  </si>
  <si>
    <t>ingrid.miller@northfield-hr.com</t>
  </si>
  <si>
    <t>E03711</t>
  </si>
  <si>
    <t>amara.johnson@northfield-hr.com</t>
  </si>
  <si>
    <t>E04374</t>
  </si>
  <si>
    <t>E03492</t>
  </si>
  <si>
    <t>E01111</t>
  </si>
  <si>
    <t>$107,332.27</t>
  </si>
  <si>
    <t>E03338</t>
  </si>
  <si>
    <t>E04033</t>
  </si>
  <si>
    <t>E04472</t>
  </si>
  <si>
    <t>$100,220.93</t>
  </si>
  <si>
    <t>E04158</t>
  </si>
  <si>
    <t xml:space="preserve">king </t>
  </si>
  <si>
    <t>robert.king@northfield-hr.com</t>
  </si>
  <si>
    <t>E00347</t>
  </si>
  <si>
    <t>$94,001</t>
  </si>
  <si>
    <t>fatima.moore@northfield-hr.com</t>
  </si>
  <si>
    <t>E01186</t>
  </si>
  <si>
    <t xml:space="preserve"> JENNIFER</t>
  </si>
  <si>
    <t>E04007</t>
  </si>
  <si>
    <t>E01516</t>
  </si>
  <si>
    <t>$52,140.79</t>
  </si>
  <si>
    <t>E04670</t>
  </si>
  <si>
    <t>$54,142</t>
  </si>
  <si>
    <t>E00579</t>
  </si>
  <si>
    <t>$56,696.88</t>
  </si>
  <si>
    <t>diego.lee@northfield-hr.com</t>
  </si>
  <si>
    <t>E01965</t>
  </si>
  <si>
    <t>$65,433.25</t>
  </si>
  <si>
    <t>E00076</t>
  </si>
  <si>
    <t>$87,213.37</t>
  </si>
  <si>
    <t>E01430</t>
  </si>
  <si>
    <t>E03713</t>
  </si>
  <si>
    <t xml:space="preserve"> adams </t>
  </si>
  <si>
    <t>$44,707.66</t>
  </si>
  <si>
    <t>E04431</t>
  </si>
  <si>
    <t>$151,708.58</t>
  </si>
  <si>
    <t>E02752</t>
  </si>
  <si>
    <t xml:space="preserve"> CHIDI</t>
  </si>
  <si>
    <t>$47,014</t>
  </si>
  <si>
    <t>E02399</t>
  </si>
  <si>
    <t>E01847</t>
  </si>
  <si>
    <t>E00132</t>
  </si>
  <si>
    <t>E00179</t>
  </si>
  <si>
    <t xml:space="preserve"> Linda </t>
  </si>
  <si>
    <t>linda.clark@northfield-hr.com</t>
  </si>
  <si>
    <t>E02900</t>
  </si>
  <si>
    <t>E04467</t>
  </si>
  <si>
    <t xml:space="preserve"> garcia </t>
  </si>
  <si>
    <t>$88,358</t>
  </si>
  <si>
    <t>E04195</t>
  </si>
  <si>
    <t>$59,077</t>
  </si>
  <si>
    <t>E02523</t>
  </si>
  <si>
    <t>$95,962</t>
  </si>
  <si>
    <t>E01843</t>
  </si>
  <si>
    <t>$93,556</t>
  </si>
  <si>
    <t>sarah.scott@northfield-hr.com</t>
  </si>
  <si>
    <t>E02099</t>
  </si>
  <si>
    <t>$83,215</t>
  </si>
  <si>
    <t>E03950</t>
  </si>
  <si>
    <t>$91,868.09</t>
  </si>
  <si>
    <t>E02374</t>
  </si>
  <si>
    <t>E00605</t>
  </si>
  <si>
    <t>E00026</t>
  </si>
  <si>
    <t>E00659</t>
  </si>
  <si>
    <t>E01113</t>
  </si>
  <si>
    <t>$76,413</t>
  </si>
  <si>
    <t>E03318</t>
  </si>
  <si>
    <t>$45,080</t>
  </si>
  <si>
    <t>E03869</t>
  </si>
  <si>
    <t>$121,378</t>
  </si>
  <si>
    <t>mohammed.robinson@northfield-hr.com</t>
  </si>
  <si>
    <t>E00174</t>
  </si>
  <si>
    <t>E01612</t>
  </si>
  <si>
    <t>$200,291</t>
  </si>
  <si>
    <t>E00438</t>
  </si>
  <si>
    <t>$78,192.23</t>
  </si>
  <si>
    <t>linda.anderson@northfield-hr.com</t>
  </si>
  <si>
    <t>E00332</t>
  </si>
  <si>
    <t xml:space="preserve">hiroshi </t>
  </si>
  <si>
    <t>$78,194.57</t>
  </si>
  <si>
    <t>E03101</t>
  </si>
  <si>
    <t>E01455</t>
  </si>
  <si>
    <t>E00343</t>
  </si>
  <si>
    <t xml:space="preserve">WHITE  </t>
  </si>
  <si>
    <t>$49,848.20</t>
  </si>
  <si>
    <t>emma.white@northfield-hr.com</t>
  </si>
  <si>
    <t>E03210</t>
  </si>
  <si>
    <t>E04577</t>
  </si>
  <si>
    <t>$147,369.93</t>
  </si>
  <si>
    <t>E01089</t>
  </si>
  <si>
    <t>E00480</t>
  </si>
  <si>
    <t>priya.adams@northfield-hr.com</t>
  </si>
  <si>
    <t>E00728</t>
  </si>
  <si>
    <t>$67,941</t>
  </si>
  <si>
    <t>E00977</t>
  </si>
  <si>
    <t>$97,391.85</t>
  </si>
  <si>
    <t>mateo.wright@northfield-hr.com</t>
  </si>
  <si>
    <t>E03785</t>
  </si>
  <si>
    <t xml:space="preserve"> white</t>
  </si>
  <si>
    <t>$103,942</t>
  </si>
  <si>
    <t>jessica.white@northfield-hr.com</t>
  </si>
  <si>
    <t>E02978</t>
  </si>
  <si>
    <t>$42,533</t>
  </si>
  <si>
    <t>E01929</t>
  </si>
  <si>
    <t>$64,182</t>
  </si>
  <si>
    <t>E01469</t>
  </si>
  <si>
    <t>E01225</t>
  </si>
  <si>
    <t>$106,852.06</t>
  </si>
  <si>
    <t>amara.smith@northfield-hr.com</t>
  </si>
  <si>
    <t>E02857</t>
  </si>
  <si>
    <t>$62,510</t>
  </si>
  <si>
    <t>E01953</t>
  </si>
  <si>
    <t>$57,588</t>
  </si>
  <si>
    <t>E00624</t>
  </si>
  <si>
    <t>lucas.johnson@northfield-hr.com</t>
  </si>
  <si>
    <t>E04501</t>
  </si>
  <si>
    <t>E01893</t>
  </si>
  <si>
    <t>$122,176.22</t>
  </si>
  <si>
    <t>E01300</t>
  </si>
  <si>
    <t>$64,116.37</t>
  </si>
  <si>
    <t>E02991</t>
  </si>
  <si>
    <t>$53,827</t>
  </si>
  <si>
    <t>E04600</t>
  </si>
  <si>
    <t>$67,284</t>
  </si>
  <si>
    <t>E00661</t>
  </si>
  <si>
    <t>E04578</t>
  </si>
  <si>
    <t>thomas.hill@northfield-hr.com</t>
  </si>
  <si>
    <t>E04074</t>
  </si>
  <si>
    <t>$68,264</t>
  </si>
  <si>
    <t>olga.white@northfield-hr.com</t>
  </si>
  <si>
    <t>E02785</t>
  </si>
  <si>
    <t>E02552</t>
  </si>
  <si>
    <t>$69,351</t>
  </si>
  <si>
    <t>E03828</t>
  </si>
  <si>
    <t xml:space="preserve">  Jennifer</t>
  </si>
  <si>
    <t>E02715</t>
  </si>
  <si>
    <t xml:space="preserve">white </t>
  </si>
  <si>
    <t>$46,540</t>
  </si>
  <si>
    <t>E04658</t>
  </si>
  <si>
    <t>E00268</t>
  </si>
  <si>
    <t>$38,672.41</t>
  </si>
  <si>
    <t>E04443</t>
  </si>
  <si>
    <t>E02256</t>
  </si>
  <si>
    <t>$84,169</t>
  </si>
  <si>
    <t>E03373</t>
  </si>
  <si>
    <t>emma.torres@northfield-hr.com</t>
  </si>
  <si>
    <t>E03596</t>
  </si>
  <si>
    <t>$73,164</t>
  </si>
  <si>
    <t>E04317</t>
  </si>
  <si>
    <t xml:space="preserve"> aiko </t>
  </si>
  <si>
    <t>$109,881</t>
  </si>
  <si>
    <t>E03723</t>
  </si>
  <si>
    <t>$52,224.79</t>
  </si>
  <si>
    <t>sofia.garcia@northfield-hr.com</t>
  </si>
  <si>
    <t>E03407</t>
  </si>
  <si>
    <t>$48,516</t>
  </si>
  <si>
    <t>E01279</t>
  </si>
  <si>
    <t>$49,715.83</t>
  </si>
  <si>
    <t>jennifer.martin@northfield-hr.com</t>
  </si>
  <si>
    <t>E04641</t>
  </si>
  <si>
    <t>$52,391</t>
  </si>
  <si>
    <t>yuki.taylor@northfield-hr.com</t>
  </si>
  <si>
    <t>E03918</t>
  </si>
  <si>
    <t>$47,208</t>
  </si>
  <si>
    <t>john.harris@northfield-hr.com</t>
  </si>
  <si>
    <t>E02679</t>
  </si>
  <si>
    <t>$68,164</t>
  </si>
  <si>
    <t>E01622</t>
  </si>
  <si>
    <t>$51,991</t>
  </si>
  <si>
    <t>E04104</t>
  </si>
  <si>
    <t>$-88,638.94</t>
  </si>
  <si>
    <t>E02858</t>
  </si>
  <si>
    <t>$42,088</t>
  </si>
  <si>
    <t>E01897</t>
  </si>
  <si>
    <t>$77,563.77</t>
  </si>
  <si>
    <t>robert.brown@northfield-hr.com</t>
  </si>
  <si>
    <t>E03925</t>
  </si>
  <si>
    <t>E03015</t>
  </si>
  <si>
    <t>priya.scott@northfield-hr.com</t>
  </si>
  <si>
    <t>E04439</t>
  </si>
  <si>
    <t xml:space="preserve">jackson </t>
  </si>
  <si>
    <t>$51,537</t>
  </si>
  <si>
    <t>E00068</t>
  </si>
  <si>
    <t>$54,197.09</t>
  </si>
  <si>
    <t>E02043</t>
  </si>
  <si>
    <t>wei.scott@northfield-hr.com</t>
  </si>
  <si>
    <t>E02581</t>
  </si>
  <si>
    <t xml:space="preserve"> PRIYA</t>
  </si>
  <si>
    <t>E03783</t>
  </si>
  <si>
    <t>E03791</t>
  </si>
  <si>
    <t>E00821</t>
  </si>
  <si>
    <t>E01227</t>
  </si>
  <si>
    <t>E02992</t>
  </si>
  <si>
    <t>mohammed.jackson@northfield-hr.com</t>
  </si>
  <si>
    <t>E03133</t>
  </si>
  <si>
    <t>jessica.lewis@northfield-hr.com</t>
  </si>
  <si>
    <t>E02744</t>
  </si>
  <si>
    <t>$84,194</t>
  </si>
  <si>
    <t>E04458</t>
  </si>
  <si>
    <t>$54,574</t>
  </si>
  <si>
    <t>E04270</t>
  </si>
  <si>
    <t xml:space="preserve"> research &amp; development </t>
  </si>
  <si>
    <t>jennifer.jackson@northfield-hr.com</t>
  </si>
  <si>
    <t>E03350</t>
  </si>
  <si>
    <t>john.robinson@northfield-hr.com</t>
  </si>
  <si>
    <t>E01144</t>
  </si>
  <si>
    <t>$117,425</t>
  </si>
  <si>
    <t>E00398</t>
  </si>
  <si>
    <t>$43,848.74</t>
  </si>
  <si>
    <t>linda.torres@northfield-hr.com</t>
  </si>
  <si>
    <t>E02907</t>
  </si>
  <si>
    <t>joseph.gonzalez@northfield-hr.com</t>
  </si>
  <si>
    <t>E02760</t>
  </si>
  <si>
    <t>E01399</t>
  </si>
  <si>
    <t>E01660</t>
  </si>
  <si>
    <t>E00980</t>
  </si>
  <si>
    <t>E01299</t>
  </si>
  <si>
    <t xml:space="preserve"> Nguyen </t>
  </si>
  <si>
    <t>$52,568</t>
  </si>
  <si>
    <t>james.nguyen@northfield-hr.com</t>
  </si>
  <si>
    <t>E03556</t>
  </si>
  <si>
    <t>E00083</t>
  </si>
  <si>
    <t xml:space="preserve"> AIKO</t>
  </si>
  <si>
    <t>E04508</t>
  </si>
  <si>
    <t>$42,461</t>
  </si>
  <si>
    <t>E02459</t>
  </si>
  <si>
    <t>$70,634</t>
  </si>
  <si>
    <t>patricia.sanchez@northfield-hr.com</t>
  </si>
  <si>
    <t>E03740</t>
  </si>
  <si>
    <t>E03782</t>
  </si>
  <si>
    <t xml:space="preserve"> KING</t>
  </si>
  <si>
    <t>$67,901.12</t>
  </si>
  <si>
    <t>amara.king@northfield-hr.com</t>
  </si>
  <si>
    <t>E02289</t>
  </si>
  <si>
    <t>wei.davis@northfield-hr.com</t>
  </si>
  <si>
    <t>E00424</t>
  </si>
  <si>
    <t>E04340</t>
  </si>
  <si>
    <t>$57,691</t>
  </si>
  <si>
    <t>E01905</t>
  </si>
  <si>
    <t>E04539</t>
  </si>
  <si>
    <t>E03353</t>
  </si>
  <si>
    <t xml:space="preserve">  Perez</t>
  </si>
  <si>
    <t>amara.perez@northfield-hr.com</t>
  </si>
  <si>
    <t>E03103</t>
  </si>
  <si>
    <t>$123,810.24</t>
  </si>
  <si>
    <t>E01566</t>
  </si>
  <si>
    <t>E03356</t>
  </si>
  <si>
    <t>$87,678.62</t>
  </si>
  <si>
    <t>E00840</t>
  </si>
  <si>
    <t>E00501</t>
  </si>
  <si>
    <t>$56,709</t>
  </si>
  <si>
    <t>E00142</t>
  </si>
  <si>
    <t>E01378</t>
  </si>
  <si>
    <t>$47,716.04</t>
  </si>
  <si>
    <t>robert.hernandez@northfield-hr.com</t>
  </si>
  <si>
    <t>E03698</t>
  </si>
  <si>
    <t>$85,299.63</t>
  </si>
  <si>
    <t>E02145</t>
  </si>
  <si>
    <t>$69,934</t>
  </si>
  <si>
    <t>aiko.wright@northfield-hr.com</t>
  </si>
  <si>
    <t>E01139</t>
  </si>
  <si>
    <t>E02928</t>
  </si>
  <si>
    <t xml:space="preserve">thomas </t>
  </si>
  <si>
    <t>$81,120</t>
  </si>
  <si>
    <t>E01788</t>
  </si>
  <si>
    <t>$179,229.83</t>
  </si>
  <si>
    <t>E03485</t>
  </si>
  <si>
    <t>$49,070</t>
  </si>
  <si>
    <t>E03267</t>
  </si>
  <si>
    <t>lucas.sanchez@northfield-hr.com</t>
  </si>
  <si>
    <t>E02020</t>
  </si>
  <si>
    <t>$89,839</t>
  </si>
  <si>
    <t>emma.lewis@northfield-hr.com</t>
  </si>
  <si>
    <t>E00949</t>
  </si>
  <si>
    <t>E02601</t>
  </si>
  <si>
    <t>$92,486.11</t>
  </si>
  <si>
    <t>E00533</t>
  </si>
  <si>
    <t>E02918</t>
  </si>
  <si>
    <t xml:space="preserve">Noah </t>
  </si>
  <si>
    <t>E04419</t>
  </si>
  <si>
    <t>liam.allen@northfield-hr.com</t>
  </si>
  <si>
    <t>E03872</t>
  </si>
  <si>
    <t>E01603</t>
  </si>
  <si>
    <t xml:space="preserve">  harris</t>
  </si>
  <si>
    <t>$78,986.16</t>
  </si>
  <si>
    <t>noah.harris@northfield-hr.com</t>
  </si>
  <si>
    <t>E00640</t>
  </si>
  <si>
    <t>$202,565.10</t>
  </si>
  <si>
    <t>E00968</t>
  </si>
  <si>
    <t>E04238</t>
  </si>
  <si>
    <t>$60,738</t>
  </si>
  <si>
    <t>E02698</t>
  </si>
  <si>
    <t xml:space="preserve">JENNIFER  </t>
  </si>
  <si>
    <t>jennifer.scott@northfield-hr.com</t>
  </si>
  <si>
    <t>E01684</t>
  </si>
  <si>
    <t>E04471</t>
  </si>
  <si>
    <t>E00156</t>
  </si>
  <si>
    <t>carlos.miller@northfield-hr.com</t>
  </si>
  <si>
    <t>E02488</t>
  </si>
  <si>
    <t>E01090</t>
  </si>
  <si>
    <t>E02656</t>
  </si>
  <si>
    <t>E04241</t>
  </si>
  <si>
    <t>$92,067.55</t>
  </si>
  <si>
    <t>ingrid.walker@northfield-hr.com</t>
  </si>
  <si>
    <t>E00289</t>
  </si>
  <si>
    <t xml:space="preserve">Susan </t>
  </si>
  <si>
    <t>susan.young@northfield-hr.com</t>
  </si>
  <si>
    <t>E00931</t>
  </si>
  <si>
    <t>$84,087</t>
  </si>
  <si>
    <t>E02536</t>
  </si>
  <si>
    <t xml:space="preserve"> operations</t>
  </si>
  <si>
    <t>$-81,512</t>
  </si>
  <si>
    <t>E04029</t>
  </si>
  <si>
    <t>$90,569</t>
  </si>
  <si>
    <t>aiko.thomas@northfield-hr.com</t>
  </si>
  <si>
    <t>E03372</t>
  </si>
  <si>
    <t>william.clark@northfield-hr.com</t>
  </si>
  <si>
    <t>E04622</t>
  </si>
  <si>
    <t>john.hernandez@northfield-hr.com</t>
  </si>
  <si>
    <t>E03292</t>
  </si>
  <si>
    <t>E00943</t>
  </si>
  <si>
    <t xml:space="preserve"> FINANCE </t>
  </si>
  <si>
    <t>$66,160</t>
  </si>
  <si>
    <t>E03860</t>
  </si>
  <si>
    <t>$60,904.82</t>
  </si>
  <si>
    <t>carlos.martin@northfield-hr.com</t>
  </si>
  <si>
    <t>E04663</t>
  </si>
  <si>
    <t>E01699</t>
  </si>
  <si>
    <t>E03819</t>
  </si>
  <si>
    <t>E03201</t>
  </si>
  <si>
    <t>$258,655.09</t>
  </si>
  <si>
    <t>E04602</t>
  </si>
  <si>
    <t>E04609</t>
  </si>
  <si>
    <t>ava.lewis@northfield-hr.com</t>
  </si>
  <si>
    <t>E00986</t>
  </si>
  <si>
    <t>$142,982</t>
  </si>
  <si>
    <t>E03319</t>
  </si>
  <si>
    <t>$67,091.71</t>
  </si>
  <si>
    <t>E02868</t>
  </si>
  <si>
    <t>E04057</t>
  </si>
  <si>
    <t>$83,796</t>
  </si>
  <si>
    <t>E01122</t>
  </si>
  <si>
    <t>E00982</t>
  </si>
  <si>
    <t>E02493</t>
  </si>
  <si>
    <t>E03793</t>
  </si>
  <si>
    <t>E03549</t>
  </si>
  <si>
    <t>E02943</t>
  </si>
  <si>
    <t>$44,967</t>
  </si>
  <si>
    <t>E03528</t>
  </si>
  <si>
    <t>E03846</t>
  </si>
  <si>
    <t>E01458</t>
  </si>
  <si>
    <t>E01396</t>
  </si>
  <si>
    <t>karen.walker@northfield-hr.com</t>
  </si>
  <si>
    <t>E00265</t>
  </si>
  <si>
    <t>$55,122.00</t>
  </si>
  <si>
    <t>E04096</t>
  </si>
  <si>
    <t>jessica.jones@northfield-hr.com</t>
  </si>
  <si>
    <t>E00930</t>
  </si>
  <si>
    <t>E00137</t>
  </si>
  <si>
    <t>E02693</t>
  </si>
  <si>
    <t>$66,605</t>
  </si>
  <si>
    <t>E00247</t>
  </si>
  <si>
    <t>$83,816</t>
  </si>
  <si>
    <t>E03590</t>
  </si>
  <si>
    <t>E01759</t>
  </si>
  <si>
    <t>$40,450.55</t>
  </si>
  <si>
    <t>sofia.thompson@northfield-hr.com</t>
  </si>
  <si>
    <t>E01849</t>
  </si>
  <si>
    <t>$50,289.52</t>
  </si>
  <si>
    <t>E02811</t>
  </si>
  <si>
    <t>E00924</t>
  </si>
  <si>
    <t xml:space="preserve">Emma </t>
  </si>
  <si>
    <t>$113,319.31</t>
  </si>
  <si>
    <t>E02881</t>
  </si>
  <si>
    <t>$75,578</t>
  </si>
  <si>
    <t>thomas.moore@northfield-hr.com</t>
  </si>
  <si>
    <t>E00269</t>
  </si>
  <si>
    <t>E00670</t>
  </si>
  <si>
    <t xml:space="preserve"> JOSEPH</t>
  </si>
  <si>
    <t>E04476</t>
  </si>
  <si>
    <t>$63,586</t>
  </si>
  <si>
    <t>E01911</t>
  </si>
  <si>
    <t>richard.lopez@northfield-hr.com</t>
  </si>
  <si>
    <t>E02986</t>
  </si>
  <si>
    <t>$101,876.39</t>
  </si>
  <si>
    <t>yuki.torres@northfield-hr.com</t>
  </si>
  <si>
    <t>E01153</t>
  </si>
  <si>
    <t>E03456</t>
  </si>
  <si>
    <t xml:space="preserve">  WALKER</t>
  </si>
  <si>
    <t>$115,705</t>
  </si>
  <si>
    <t>ava.walker@northfield-hr.com</t>
  </si>
  <si>
    <t>E04242</t>
  </si>
  <si>
    <t>$112,995</t>
  </si>
  <si>
    <t>mateo.smith@northfield-hr.com</t>
  </si>
  <si>
    <t>E04550</t>
  </si>
  <si>
    <t>amara.white@northfield-hr.com</t>
  </si>
  <si>
    <t>E02173</t>
  </si>
  <si>
    <t>$49,469.32</t>
  </si>
  <si>
    <t>E04516</t>
  </si>
  <si>
    <t>$52,149.79</t>
  </si>
  <si>
    <t>E01916</t>
  </si>
  <si>
    <t xml:space="preserve">FINANCE </t>
  </si>
  <si>
    <t>E00613</t>
  </si>
  <si>
    <t>E02407</t>
  </si>
  <si>
    <t>E04206</t>
  </si>
  <si>
    <t>ava.martin@northfield-hr.com</t>
  </si>
  <si>
    <t>E01899</t>
  </si>
  <si>
    <t>$75,000.84</t>
  </si>
  <si>
    <t>E02608</t>
  </si>
  <si>
    <t xml:space="preserve">  Liam</t>
  </si>
  <si>
    <t xml:space="preserve">johnson </t>
  </si>
  <si>
    <t>liam.johnson@northfield-hr.com</t>
  </si>
  <si>
    <t>E00259</t>
  </si>
  <si>
    <t>E00848</t>
  </si>
  <si>
    <t>$78,789</t>
  </si>
  <si>
    <t>karen.ramirez@northfield-hr.com</t>
  </si>
  <si>
    <t>E04252</t>
  </si>
  <si>
    <t>$67,369</t>
  </si>
  <si>
    <t>E01234</t>
  </si>
  <si>
    <t>$38,308.63</t>
  </si>
  <si>
    <t>E01128</t>
  </si>
  <si>
    <t>$63,166.56</t>
  </si>
  <si>
    <t>E01968</t>
  </si>
  <si>
    <t>$88,624</t>
  </si>
  <si>
    <t>E00559</t>
  </si>
  <si>
    <t>E03906</t>
  </si>
  <si>
    <t>$42,684</t>
  </si>
  <si>
    <t>E00485</t>
  </si>
  <si>
    <t>$62,199.53</t>
  </si>
  <si>
    <t>E01321</t>
  </si>
  <si>
    <t xml:space="preserve"> WALKER </t>
  </si>
  <si>
    <t>$63,877</t>
  </si>
  <si>
    <t>E03405</t>
  </si>
  <si>
    <t>$85,550</t>
  </si>
  <si>
    <t>carlos.thomas@northfield-hr.com</t>
  </si>
  <si>
    <t>E00008</t>
  </si>
  <si>
    <t>E03280</t>
  </si>
  <si>
    <t>E03190</t>
  </si>
  <si>
    <t>E01451</t>
  </si>
  <si>
    <t>$40,651.45</t>
  </si>
  <si>
    <t>E03981</t>
  </si>
  <si>
    <t xml:space="preserve">Jennifer </t>
  </si>
  <si>
    <t>$41,021</t>
  </si>
  <si>
    <t>E01815</t>
  </si>
  <si>
    <t>$55,224.28</t>
  </si>
  <si>
    <t>E00774</t>
  </si>
  <si>
    <t xml:space="preserve"> Nguyen</t>
  </si>
  <si>
    <t>E01012</t>
  </si>
  <si>
    <t>E02819</t>
  </si>
  <si>
    <t>$110,260.43</t>
  </si>
  <si>
    <t>E03276</t>
  </si>
  <si>
    <t>E01992</t>
  </si>
  <si>
    <t>$60,103.90</t>
  </si>
  <si>
    <t>mateo.lopez@northfield-hr.com</t>
  </si>
  <si>
    <t>E01278</t>
  </si>
  <si>
    <t>E01784</t>
  </si>
  <si>
    <t xml:space="preserve">MICHAEL </t>
  </si>
  <si>
    <t>E03106</t>
  </si>
  <si>
    <t>E00447</t>
  </si>
  <si>
    <t>E00881</t>
  </si>
  <si>
    <t xml:space="preserve">barbara </t>
  </si>
  <si>
    <t>E04460</t>
  </si>
  <si>
    <t>$67,297.28</t>
  </si>
  <si>
    <t>william.king@northfield-hr.com</t>
  </si>
  <si>
    <t>E00782</t>
  </si>
  <si>
    <t>E01750</t>
  </si>
  <si>
    <t>$140,412.08</t>
  </si>
  <si>
    <t>E03389</t>
  </si>
  <si>
    <t>james.garcia@northfield-hr.com</t>
  </si>
  <si>
    <t>$80,480</t>
  </si>
  <si>
    <t>E00884</t>
  </si>
  <si>
    <t>E02945</t>
  </si>
  <si>
    <t>E01092</t>
  </si>
  <si>
    <t xml:space="preserve">adams </t>
  </si>
  <si>
    <t>E00532</t>
  </si>
  <si>
    <t>E04023</t>
  </si>
  <si>
    <t xml:space="preserve"> SUSAN</t>
  </si>
  <si>
    <t>$43,911.17</t>
  </si>
  <si>
    <t>E04422</t>
  </si>
  <si>
    <t>E04099</t>
  </si>
  <si>
    <t>$75,708</t>
  </si>
  <si>
    <t>E01728</t>
  </si>
  <si>
    <t>$84,412.26</t>
  </si>
  <si>
    <t>E00611</t>
  </si>
  <si>
    <t>E00571</t>
  </si>
  <si>
    <t xml:space="preserve"> robinson</t>
  </si>
  <si>
    <t>$107,869.54</t>
  </si>
  <si>
    <t>E02672</t>
  </si>
  <si>
    <t>diego.wright@northfield-hr.com</t>
  </si>
  <si>
    <t>E03719</t>
  </si>
  <si>
    <t>james.sanchez@northfield-hr.com</t>
  </si>
  <si>
    <t>E00344</t>
  </si>
  <si>
    <t>$144,173.77</t>
  </si>
  <si>
    <t>E03140</t>
  </si>
  <si>
    <t>$80,616.32</t>
  </si>
  <si>
    <t>E00435</t>
  </si>
  <si>
    <t>sarah.davis@northfield-hr.com</t>
  </si>
  <si>
    <t>E01904</t>
  </si>
  <si>
    <t>diego.smith@northfield-hr.com</t>
  </si>
  <si>
    <t>E03805</t>
  </si>
  <si>
    <t>$78,324.87</t>
  </si>
  <si>
    <t>E02070</t>
  </si>
  <si>
    <t>richard.young@northfield-hr.com</t>
  </si>
  <si>
    <t>E01538</t>
  </si>
  <si>
    <t xml:space="preserve">  richard</t>
  </si>
  <si>
    <t xml:space="preserve">manager  </t>
  </si>
  <si>
    <t>$58,740.70</t>
  </si>
  <si>
    <t>E02253</t>
  </si>
  <si>
    <t xml:space="preserve"> emma </t>
  </si>
  <si>
    <t>E02347</t>
  </si>
  <si>
    <t>E01518</t>
  </si>
  <si>
    <t>$85,903.45</t>
  </si>
  <si>
    <t>E00966</t>
  </si>
  <si>
    <t>E04407</t>
  </si>
  <si>
    <t>david.hill@northfield-hr.com</t>
  </si>
  <si>
    <t>E00529</t>
  </si>
  <si>
    <t>william.scott@northfield-hr.com</t>
  </si>
  <si>
    <t>E00177</t>
  </si>
  <si>
    <t>$81,214.57</t>
  </si>
  <si>
    <t>E03483</t>
  </si>
  <si>
    <t>$102,982.46</t>
  </si>
  <si>
    <t>E02544</t>
  </si>
  <si>
    <t>E01038</t>
  </si>
  <si>
    <t>jessica.taylor@northfield-hr.com</t>
  </si>
  <si>
    <t>E00573</t>
  </si>
  <si>
    <t xml:space="preserve"> CHARLES</t>
  </si>
  <si>
    <t>E02300</t>
  </si>
  <si>
    <t>michael.taylor@northfield-hr.com</t>
  </si>
  <si>
    <t>E03509</t>
  </si>
  <si>
    <t>E02460</t>
  </si>
  <si>
    <t>james.white@northfield-hr.com</t>
  </si>
  <si>
    <t>E03610</t>
  </si>
  <si>
    <t>E04555</t>
  </si>
  <si>
    <t>E02209</t>
  </si>
  <si>
    <t>$69,680.88</t>
  </si>
  <si>
    <t>E00998</t>
  </si>
  <si>
    <t xml:space="preserve"> diego </t>
  </si>
  <si>
    <t>$55,518.26</t>
  </si>
  <si>
    <t>diego.sanchez@northfield-hr.com</t>
  </si>
  <si>
    <t>E02756</t>
  </si>
  <si>
    <t>$65,806.01</t>
  </si>
  <si>
    <t>E00384</t>
  </si>
  <si>
    <t>$142,101.13</t>
  </si>
  <si>
    <t>jessica.king@northfield-hr.com</t>
  </si>
  <si>
    <t>E00853</t>
  </si>
  <si>
    <t>$114,123</t>
  </si>
  <si>
    <t>elizabeth.jackson@northfield-hr.com</t>
  </si>
  <si>
    <t>E01881</t>
  </si>
  <si>
    <t>$74,111.64</t>
  </si>
  <si>
    <t>E00371</t>
  </si>
  <si>
    <t>E02379</t>
  </si>
  <si>
    <t>$67,337</t>
  </si>
  <si>
    <t>barbara.jackson@northfield-hr.com</t>
  </si>
  <si>
    <t>E04324</t>
  </si>
  <si>
    <t>$53,627.23</t>
  </si>
  <si>
    <t>E01106</t>
  </si>
  <si>
    <t>$56,158</t>
  </si>
  <si>
    <t>E03414</t>
  </si>
  <si>
    <t>E03947</t>
  </si>
  <si>
    <t>E01337</t>
  </si>
  <si>
    <t>E02190</t>
  </si>
  <si>
    <t>E04595</t>
  </si>
  <si>
    <t>$69,699</t>
  </si>
  <si>
    <t>E02320</t>
  </si>
  <si>
    <t>$67,718</t>
  </si>
  <si>
    <t>E01342</t>
  </si>
  <si>
    <t xml:space="preserve"> Williams </t>
  </si>
  <si>
    <t>thomas.williams@northfield-hr.com</t>
  </si>
  <si>
    <t>E03180</t>
  </si>
  <si>
    <t>$43,755.03</t>
  </si>
  <si>
    <t>E01172</t>
  </si>
  <si>
    <t>$64,856</t>
  </si>
  <si>
    <t>E04326</t>
  </si>
  <si>
    <t>E02695</t>
  </si>
  <si>
    <t>carlos.robinson@northfield-hr.com</t>
  </si>
  <si>
    <t>E01423</t>
  </si>
  <si>
    <t>$71,417.41</t>
  </si>
  <si>
    <t>E02342</t>
  </si>
  <si>
    <t>E02652</t>
  </si>
  <si>
    <t>E04156</t>
  </si>
  <si>
    <t>$218,216</t>
  </si>
  <si>
    <t>E01465</t>
  </si>
  <si>
    <t>$124,169.00</t>
  </si>
  <si>
    <t>E00875</t>
  </si>
  <si>
    <t>$77,660</t>
  </si>
  <si>
    <t>E03340</t>
  </si>
  <si>
    <t>$52,364</t>
  </si>
  <si>
    <t>fatima.torres@northfield-hr.com</t>
  </si>
  <si>
    <t>E04341</t>
  </si>
  <si>
    <t>E01252</t>
  </si>
  <si>
    <t>E02349</t>
  </si>
  <si>
    <t>$83,889</t>
  </si>
  <si>
    <t>david.brown@northfield-hr.com</t>
  </si>
  <si>
    <t>E00841</t>
  </si>
  <si>
    <t>$59,873</t>
  </si>
  <si>
    <t>E04569</t>
  </si>
  <si>
    <t>E00582</t>
  </si>
  <si>
    <t>$60,440.73</t>
  </si>
  <si>
    <t>E00205</t>
  </si>
  <si>
    <t xml:space="preserve"> gonzalez </t>
  </si>
  <si>
    <t>E01642</t>
  </si>
  <si>
    <t>E02015</t>
  </si>
  <si>
    <t>E00906</t>
  </si>
  <si>
    <t xml:space="preserve">  young</t>
  </si>
  <si>
    <t>$74,985.70</t>
  </si>
  <si>
    <t>E00632</t>
  </si>
  <si>
    <t>$109,525.55</t>
  </si>
  <si>
    <t>sarah.taylor@northfield-hr.com</t>
  </si>
  <si>
    <t>E03365</t>
  </si>
  <si>
    <t>E01975</t>
  </si>
  <si>
    <t>E00163</t>
  </si>
  <si>
    <t>E03173</t>
  </si>
  <si>
    <t>$49,726</t>
  </si>
  <si>
    <t>patricia.martin@northfield-hr.com</t>
  </si>
  <si>
    <t>E03613</t>
  </si>
  <si>
    <t>E04676</t>
  </si>
  <si>
    <t>E00618</t>
  </si>
  <si>
    <t>john.gonzalez@northfield-hr.com</t>
  </si>
  <si>
    <t>E04069</t>
  </si>
  <si>
    <t>E01432</t>
  </si>
  <si>
    <t>E00548</t>
  </si>
  <si>
    <t xml:space="preserve">David </t>
  </si>
  <si>
    <t>E04547</t>
  </si>
  <si>
    <t>E04224</t>
  </si>
  <si>
    <t>$123,227.53</t>
  </si>
  <si>
    <t>E02388</t>
  </si>
  <si>
    <t>$49,595.42</t>
  </si>
  <si>
    <t>E04244</t>
  </si>
  <si>
    <t xml:space="preserve">perez </t>
  </si>
  <si>
    <t>$153,145.08</t>
  </si>
  <si>
    <t>E03996</t>
  </si>
  <si>
    <t>$72,714</t>
  </si>
  <si>
    <t>E04066</t>
  </si>
  <si>
    <t>karen.wright@northfield-hr.com</t>
  </si>
  <si>
    <t>E00641</t>
  </si>
  <si>
    <t>$149,783</t>
  </si>
  <si>
    <t>E03903</t>
  </si>
  <si>
    <t>$79,564.71</t>
  </si>
  <si>
    <t>E00638</t>
  </si>
  <si>
    <t>robert.rodriguez@northfield-hr.com</t>
  </si>
  <si>
    <t>E04263</t>
  </si>
  <si>
    <t>$73,565.84</t>
  </si>
  <si>
    <t>E03911</t>
  </si>
  <si>
    <t>E02987</t>
  </si>
  <si>
    <t>E02097</t>
  </si>
  <si>
    <t>E04612</t>
  </si>
  <si>
    <t>E03076</t>
  </si>
  <si>
    <t>jessica.perez@northfield-hr.com</t>
  </si>
  <si>
    <t>E03675</t>
  </si>
  <si>
    <t>$114,604</t>
  </si>
  <si>
    <t>barbara.lewis@northfield-hr.com</t>
  </si>
  <si>
    <t>E02842</t>
  </si>
  <si>
    <t xml:space="preserve">Noah  </t>
  </si>
  <si>
    <t>E00922</t>
  </si>
  <si>
    <t>$83,181</t>
  </si>
  <si>
    <t>E00547</t>
  </si>
  <si>
    <t xml:space="preserve"> MARTIN </t>
  </si>
  <si>
    <t>$49,101</t>
  </si>
  <si>
    <t>E03667</t>
  </si>
  <si>
    <t>E01901</t>
  </si>
  <si>
    <t>$64,224</t>
  </si>
  <si>
    <t>E02029</t>
  </si>
  <si>
    <t xml:space="preserve"> john</t>
  </si>
  <si>
    <t>E02302</t>
  </si>
  <si>
    <t>E01886</t>
  </si>
  <si>
    <t>E01643</t>
  </si>
  <si>
    <t>E03510</t>
  </si>
  <si>
    <t>$75,020.11</t>
  </si>
  <si>
    <t>E03200</t>
  </si>
  <si>
    <t>$86,435</t>
  </si>
  <si>
    <t>E02098</t>
  </si>
  <si>
    <t>E04358</t>
  </si>
  <si>
    <t>$148,596.31</t>
  </si>
  <si>
    <t>E03789</t>
  </si>
  <si>
    <t xml:space="preserve"> Perez</t>
  </si>
  <si>
    <t>$40,808.91</t>
  </si>
  <si>
    <t>E04495</t>
  </si>
  <si>
    <t>E01242</t>
  </si>
  <si>
    <t>E00837</t>
  </si>
  <si>
    <t>$85,435.75</t>
  </si>
  <si>
    <t>E00602</t>
  </si>
  <si>
    <t>$59,072.35</t>
  </si>
  <si>
    <t>richard.lee@northfield-hr.com</t>
  </si>
  <si>
    <t>E02185</t>
  </si>
  <si>
    <t>E03866</t>
  </si>
  <si>
    <t>$138,742</t>
  </si>
  <si>
    <t>E02482</t>
  </si>
  <si>
    <t>$75,250</t>
  </si>
  <si>
    <t>chidi.moore@northfield-hr.com</t>
  </si>
  <si>
    <t>E04308</t>
  </si>
  <si>
    <t>E01583</t>
  </si>
  <si>
    <t>$47,197.85</t>
  </si>
  <si>
    <t>mateo.martinez@northfield-hr.com</t>
  </si>
  <si>
    <t>E04267</t>
  </si>
  <si>
    <t>joseph.martinez@northfield-hr.com</t>
  </si>
  <si>
    <t>E02534</t>
  </si>
  <si>
    <t>$127,719.99</t>
  </si>
  <si>
    <t>emma.king@northfield-hr.com</t>
  </si>
  <si>
    <t>E02726</t>
  </si>
  <si>
    <t>E01071</t>
  </si>
  <si>
    <t>$84,398</t>
  </si>
  <si>
    <t>E01776</t>
  </si>
  <si>
    <t>$65,348</t>
  </si>
  <si>
    <t>E01284</t>
  </si>
  <si>
    <t>E03051</t>
  </si>
  <si>
    <t>E01837</t>
  </si>
  <si>
    <t>E04243</t>
  </si>
  <si>
    <t>$135,567.47</t>
  </si>
  <si>
    <t>E01020</t>
  </si>
  <si>
    <t>$52,093</t>
  </si>
  <si>
    <t>E04134</t>
  </si>
  <si>
    <t>E01327</t>
  </si>
  <si>
    <t>$132,605.99</t>
  </si>
  <si>
    <t>E00476</t>
  </si>
  <si>
    <t>$58,842</t>
  </si>
  <si>
    <t>E04272</t>
  </si>
  <si>
    <t xml:space="preserve"> KAREN</t>
  </si>
  <si>
    <t xml:space="preserve">scott  </t>
  </si>
  <si>
    <t>$110,599</t>
  </si>
  <si>
    <t>karen.scott@northfield-hr.com</t>
  </si>
  <si>
    <t>E01652</t>
  </si>
  <si>
    <t>olga.jones@northfield-hr.com</t>
  </si>
  <si>
    <t>E03999</t>
  </si>
  <si>
    <t xml:space="preserve">Ava  </t>
  </si>
  <si>
    <t>$87,223.56</t>
  </si>
  <si>
    <t>E04468</t>
  </si>
  <si>
    <t>E02611</t>
  </si>
  <si>
    <t>$227,985.01</t>
  </si>
  <si>
    <t>E02477</t>
  </si>
  <si>
    <t>$55,499</t>
  </si>
  <si>
    <t>sarah.johnson@northfield-hr.com</t>
  </si>
  <si>
    <t>E02584</t>
  </si>
  <si>
    <t>$50,577</t>
  </si>
  <si>
    <t>amara.lewis@northfield-hr.com</t>
  </si>
  <si>
    <t>E01374</t>
  </si>
  <si>
    <t>$87,150.64</t>
  </si>
  <si>
    <t>sofia.smith@northfield-hr.com</t>
  </si>
  <si>
    <t>E00740</t>
  </si>
  <si>
    <t>E03619</t>
  </si>
  <si>
    <t xml:space="preserve">SCOTT </t>
  </si>
  <si>
    <t>chidi.scott@northfield-hr.com</t>
  </si>
  <si>
    <t>E02441</t>
  </si>
  <si>
    <t>E00868</t>
  </si>
  <si>
    <t>$64,797.32</t>
  </si>
  <si>
    <t>E01141</t>
  </si>
  <si>
    <t>E01338</t>
  </si>
  <si>
    <t>$82,048.92</t>
  </si>
  <si>
    <t>E00542</t>
  </si>
  <si>
    <t>E01100</t>
  </si>
  <si>
    <t>E01133</t>
  </si>
  <si>
    <t>E04065</t>
  </si>
  <si>
    <t>E02716</t>
  </si>
  <si>
    <t>$79,862</t>
  </si>
  <si>
    <t>david.gonzalez@northfield-hr.com</t>
  </si>
  <si>
    <t>E02259</t>
  </si>
  <si>
    <t>E00445</t>
  </si>
  <si>
    <t>$48,593</t>
  </si>
  <si>
    <t>E00060</t>
  </si>
  <si>
    <t>$256,703.35</t>
  </si>
  <si>
    <t>E02884</t>
  </si>
  <si>
    <t>E01939</t>
  </si>
  <si>
    <t>$54,876.06</t>
  </si>
  <si>
    <t>E02577</t>
  </si>
  <si>
    <t>E00237</t>
  </si>
  <si>
    <t>$35,854</t>
  </si>
  <si>
    <t>E01079</t>
  </si>
  <si>
    <t>$80,800</t>
  </si>
  <si>
    <t>michael.white@northfield-hr.com</t>
  </si>
  <si>
    <t>E03250</t>
  </si>
  <si>
    <t>$61,670.41</t>
  </si>
  <si>
    <t>william.hill@northfield-hr.com</t>
  </si>
  <si>
    <t>E03128</t>
  </si>
  <si>
    <t>sofia.gonzalez@northfield-hr.com</t>
  </si>
  <si>
    <t>E02489</t>
  </si>
  <si>
    <t xml:space="preserve">LUCAS </t>
  </si>
  <si>
    <t>lucas.torres@northfield-hr.com</t>
  </si>
  <si>
    <t>E00941</t>
  </si>
  <si>
    <t xml:space="preserve">engineering </t>
  </si>
  <si>
    <t>susan.king@northfield-hr.com</t>
  </si>
  <si>
    <t>E01081</t>
  </si>
  <si>
    <t>E00188</t>
  </si>
  <si>
    <t>$97,649</t>
  </si>
  <si>
    <t>E02635</t>
  </si>
  <si>
    <t>E02086</t>
  </si>
  <si>
    <t xml:space="preserve"> susan </t>
  </si>
  <si>
    <t>E02250</t>
  </si>
  <si>
    <t>$54,792.03</t>
  </si>
  <si>
    <t>E02024</t>
  </si>
  <si>
    <t>$45,622</t>
  </si>
  <si>
    <t>yuki.clark@northfield-hr.com</t>
  </si>
  <si>
    <t>E03540</t>
  </si>
  <si>
    <t>E04049</t>
  </si>
  <si>
    <t>$83,559</t>
  </si>
  <si>
    <t>E03607</t>
  </si>
  <si>
    <t>$55,956</t>
  </si>
  <si>
    <t>michael.jackson@northfield-hr.com</t>
  </si>
  <si>
    <t>E00227</t>
  </si>
  <si>
    <t xml:space="preserve"> garcia</t>
  </si>
  <si>
    <t>$46,425.55</t>
  </si>
  <si>
    <t>E01930</t>
  </si>
  <si>
    <t>E03056</t>
  </si>
  <si>
    <t>$147,867.22</t>
  </si>
  <si>
    <t>E04490</t>
  </si>
  <si>
    <t>E01405</t>
  </si>
  <si>
    <t>sarah.rodriguez@northfield-hr.com</t>
  </si>
  <si>
    <t>E02180</t>
  </si>
  <si>
    <t>$53,413</t>
  </si>
  <si>
    <t>E00698</t>
  </si>
  <si>
    <t xml:space="preserve"> WILLIAM </t>
  </si>
  <si>
    <t>E01125</t>
  </si>
  <si>
    <t xml:space="preserve"> SANCHEZ</t>
  </si>
  <si>
    <t>$96,517</t>
  </si>
  <si>
    <t>E03362</t>
  </si>
  <si>
    <t>$97,533.61</t>
  </si>
  <si>
    <t>E04136</t>
  </si>
  <si>
    <t xml:space="preserve">MARY </t>
  </si>
  <si>
    <t>E01779</t>
  </si>
  <si>
    <t>$63,074.61</t>
  </si>
  <si>
    <t>E02859</t>
  </si>
  <si>
    <t>$93,243.57</t>
  </si>
  <si>
    <t>E04457</t>
  </si>
  <si>
    <t>aiko.miller@northfield-hr.com</t>
  </si>
  <si>
    <t>E02257</t>
  </si>
  <si>
    <t>mohammed.gonzalez@northfield-hr.com</t>
  </si>
  <si>
    <t>E00314</t>
  </si>
  <si>
    <t>E02282</t>
  </si>
  <si>
    <t>$92,597.27</t>
  </si>
  <si>
    <t>E01417</t>
  </si>
  <si>
    <t xml:space="preserve">robert </t>
  </si>
  <si>
    <t>E01037</t>
  </si>
  <si>
    <t>$86,106.42</t>
  </si>
  <si>
    <t>E02160</t>
  </si>
  <si>
    <t xml:space="preserve"> HARRIS</t>
  </si>
  <si>
    <t>$41,304.27</t>
  </si>
  <si>
    <t>E04164</t>
  </si>
  <si>
    <t>E01755</t>
  </si>
  <si>
    <t>$88,921.64</t>
  </si>
  <si>
    <t>E03113</t>
  </si>
  <si>
    <t>E02814</t>
  </si>
  <si>
    <t>thomas.wright@northfield-hr.com</t>
  </si>
  <si>
    <t>E02699</t>
  </si>
  <si>
    <t>E03208</t>
  </si>
  <si>
    <t>E04351</t>
  </si>
  <si>
    <t>E03432</t>
  </si>
  <si>
    <t>$75,053.47</t>
  </si>
  <si>
    <t>E01507</t>
  </si>
  <si>
    <t xml:space="preserve"> vp</t>
  </si>
  <si>
    <t>$182,993.49</t>
  </si>
  <si>
    <t>E01924</t>
  </si>
  <si>
    <t xml:space="preserve">  Smith</t>
  </si>
  <si>
    <t>$46,970.02</t>
  </si>
  <si>
    <t>E00449</t>
  </si>
  <si>
    <t>E04129</t>
  </si>
  <si>
    <t>$67,999</t>
  </si>
  <si>
    <t>E02529</t>
  </si>
  <si>
    <t>E02638</t>
  </si>
  <si>
    <t>E02790</t>
  </si>
  <si>
    <t>$-77,616.69</t>
  </si>
  <si>
    <t>olga.young@northfield-hr.com</t>
  </si>
  <si>
    <t>E00362</t>
  </si>
  <si>
    <t>$93,675</t>
  </si>
  <si>
    <t>E02184</t>
  </si>
  <si>
    <t>E01135</t>
  </si>
  <si>
    <t>E03881</t>
  </si>
  <si>
    <t>E02156</t>
  </si>
  <si>
    <t>$40,945</t>
  </si>
  <si>
    <t>E01831</t>
  </si>
  <si>
    <t>sofia.thomas@northfield-hr.com</t>
  </si>
  <si>
    <t>E01054</t>
  </si>
  <si>
    <t>$65,142</t>
  </si>
  <si>
    <t>E00023</t>
  </si>
  <si>
    <t>E01654</t>
  </si>
  <si>
    <t>$81,319.72</t>
  </si>
  <si>
    <t>E02588</t>
  </si>
  <si>
    <t>$102,309.52</t>
  </si>
  <si>
    <t>E03211</t>
  </si>
  <si>
    <t xml:space="preserve">allen  </t>
  </si>
  <si>
    <t>$62,041.80</t>
  </si>
  <si>
    <t>patricia.allen@northfield-hr.com</t>
  </si>
  <si>
    <t>E04303</t>
  </si>
  <si>
    <t>E04037</t>
  </si>
  <si>
    <t>$61,784.50</t>
  </si>
  <si>
    <t>E02326</t>
  </si>
  <si>
    <t>$47,045.32</t>
  </si>
  <si>
    <t>E00461</t>
  </si>
  <si>
    <t>mohammed.young@northfield-hr.com</t>
  </si>
  <si>
    <t>E01068</t>
  </si>
  <si>
    <t>$198,222</t>
  </si>
  <si>
    <t>hiroshi.young@northfield-hr.com</t>
  </si>
  <si>
    <t>E00088</t>
  </si>
  <si>
    <t>E02648</t>
  </si>
  <si>
    <t>E00283</t>
  </si>
  <si>
    <t>E00463</t>
  </si>
  <si>
    <t>charles.young@northfield-hr.com</t>
  </si>
  <si>
    <t>E00213</t>
  </si>
  <si>
    <t>$93,857.98</t>
  </si>
  <si>
    <t>E02500</t>
  </si>
  <si>
    <t>$100,608.75</t>
  </si>
  <si>
    <t>E01369</t>
  </si>
  <si>
    <t>$73,378</t>
  </si>
  <si>
    <t>linda.jackson@northfield-hr.com</t>
  </si>
  <si>
    <t>E00235</t>
  </si>
  <si>
    <t xml:space="preserve"> WEI </t>
  </si>
  <si>
    <t>E02771</t>
  </si>
  <si>
    <t>$101,311</t>
  </si>
  <si>
    <t>E00598</t>
  </si>
  <si>
    <t>$66,751</t>
  </si>
  <si>
    <t>susan.adams@northfield-hr.com</t>
  </si>
  <si>
    <t>E04421</t>
  </si>
  <si>
    <t>E02251</t>
  </si>
  <si>
    <t>E04032</t>
  </si>
  <si>
    <t>$89,207</t>
  </si>
  <si>
    <t>E02284</t>
  </si>
  <si>
    <t>E00663</t>
  </si>
  <si>
    <t>$38,906.83</t>
  </si>
  <si>
    <t>E02286</t>
  </si>
  <si>
    <t>$82,848.98</t>
  </si>
  <si>
    <t>E03194</t>
  </si>
  <si>
    <t>E02504</t>
  </si>
  <si>
    <t>$156,079</t>
  </si>
  <si>
    <t>E04044</t>
  </si>
  <si>
    <t>E00780</t>
  </si>
  <si>
    <t>E04020</t>
  </si>
  <si>
    <t>E03427</t>
  </si>
  <si>
    <t>$88,427</t>
  </si>
  <si>
    <t>E04307</t>
  </si>
  <si>
    <t>$144,993.39</t>
  </si>
  <si>
    <t>E03197</t>
  </si>
  <si>
    <t>E00686</t>
  </si>
  <si>
    <t>$69,228.73</t>
  </si>
  <si>
    <t>E03170</t>
  </si>
  <si>
    <t>E03927</t>
  </si>
  <si>
    <t>$78,705</t>
  </si>
  <si>
    <t>E03435</t>
  </si>
  <si>
    <t>E02172</t>
  </si>
  <si>
    <t>E03690</t>
  </si>
  <si>
    <t>E01851</t>
  </si>
  <si>
    <t>$53,826.60</t>
  </si>
  <si>
    <t>E00488</t>
  </si>
  <si>
    <t>E01689</t>
  </si>
  <si>
    <t>$57,190</t>
  </si>
  <si>
    <t>E02231</t>
  </si>
  <si>
    <t>chidi.taylor@northfield-hr.com</t>
  </si>
  <si>
    <t>E03265</t>
  </si>
  <si>
    <t>$62,097</t>
  </si>
  <si>
    <t>barbara.sanchez@northfield-hr.com</t>
  </si>
  <si>
    <t>E02321</t>
  </si>
  <si>
    <t>E00783</t>
  </si>
  <si>
    <t>E00522</t>
  </si>
  <si>
    <t>E00523</t>
  </si>
  <si>
    <t>$103,549.93</t>
  </si>
  <si>
    <t>E02838</t>
  </si>
  <si>
    <t>E04540</t>
  </si>
  <si>
    <t>$49,396</t>
  </si>
  <si>
    <t>$60,255.90</t>
  </si>
  <si>
    <t>E02208</t>
  </si>
  <si>
    <t>james.lee@northfield-hr.com</t>
  </si>
  <si>
    <t>E03478</t>
  </si>
  <si>
    <t>E03553</t>
  </si>
  <si>
    <t xml:space="preserve">HILL </t>
  </si>
  <si>
    <t>$68,398</t>
  </si>
  <si>
    <t>E04088</t>
  </si>
  <si>
    <t>E02823</t>
  </si>
  <si>
    <t>E01512</t>
  </si>
  <si>
    <t>E01883</t>
  </si>
  <si>
    <t>$56,247.87</t>
  </si>
  <si>
    <t>E00652</t>
  </si>
  <si>
    <t>$75,429.25</t>
  </si>
  <si>
    <t>E03043</t>
  </si>
  <si>
    <t>$-71,452</t>
  </si>
  <si>
    <t>E03090</t>
  </si>
  <si>
    <t>$124,286.15</t>
  </si>
  <si>
    <t>E00370</t>
  </si>
  <si>
    <t>E04230</t>
  </si>
  <si>
    <t>$118,589.76</t>
  </si>
  <si>
    <t>E00119</t>
  </si>
  <si>
    <t>E03321</t>
  </si>
  <si>
    <t xml:space="preserve"> it</t>
  </si>
  <si>
    <t>$65,897.55</t>
  </si>
  <si>
    <t>E03035</t>
  </si>
  <si>
    <t>$46,197</t>
  </si>
  <si>
    <t>E02217</t>
  </si>
  <si>
    <t>$41,539.90</t>
  </si>
  <si>
    <t>E03543</t>
  </si>
  <si>
    <t>E01614</t>
  </si>
  <si>
    <t>E03152</t>
  </si>
  <si>
    <t>$75,584.71</t>
  </si>
  <si>
    <t>E00963</t>
  </si>
  <si>
    <t>$68,207</t>
  </si>
  <si>
    <t>E02511</t>
  </si>
  <si>
    <t>$85,104</t>
  </si>
  <si>
    <t>E03832</t>
  </si>
  <si>
    <t>E02824</t>
  </si>
  <si>
    <t>james.davis@northfield-hr.com</t>
  </si>
  <si>
    <t>E04344</t>
  </si>
  <si>
    <t>lucas.walker@northfield-hr.com</t>
  </si>
  <si>
    <t>E03033</t>
  </si>
  <si>
    <t>$118,685</t>
  </si>
  <si>
    <t>E02416</t>
  </si>
  <si>
    <t>E04655</t>
  </si>
  <si>
    <t>$66,144.98</t>
  </si>
  <si>
    <t>mateo.jones@northfield-hr.com</t>
  </si>
  <si>
    <t>E04237</t>
  </si>
  <si>
    <t>E02186</t>
  </si>
  <si>
    <t xml:space="preserve">R&amp;D </t>
  </si>
  <si>
    <t>$84,341</t>
  </si>
  <si>
    <t>E03670</t>
  </si>
  <si>
    <t>E02038</t>
  </si>
  <si>
    <t>$91,610.83</t>
  </si>
  <si>
    <t>E04363</t>
  </si>
  <si>
    <t>E00773</t>
  </si>
  <si>
    <t>E01285</t>
  </si>
  <si>
    <t>E04604</t>
  </si>
  <si>
    <t>$63,425.92</t>
  </si>
  <si>
    <t>E01415</t>
  </si>
  <si>
    <t>E01235</t>
  </si>
  <si>
    <t>diego.young@northfield-hr.com</t>
  </si>
  <si>
    <t>E02700</t>
  </si>
  <si>
    <t>E00436</t>
  </si>
  <si>
    <t xml:space="preserve">  Chidi</t>
  </si>
  <si>
    <t>$87,986.60</t>
  </si>
  <si>
    <t>E01675</t>
  </si>
  <si>
    <t xml:space="preserve"> engineering </t>
  </si>
  <si>
    <t>$190,303.77</t>
  </si>
  <si>
    <t>robert.wilson@northfield-hr.com</t>
  </si>
  <si>
    <t>E00366</t>
  </si>
  <si>
    <t>$83,183</t>
  </si>
  <si>
    <t>E02650</t>
  </si>
  <si>
    <t>$80,761.50</t>
  </si>
  <si>
    <t>fatima.nguyen@northfield-hr.com</t>
  </si>
  <si>
    <t>E00232</t>
  </si>
  <si>
    <t>jennifer.king@northfield-hr.com</t>
  </si>
  <si>
    <t>E04268</t>
  </si>
  <si>
    <t>$85,902</t>
  </si>
  <si>
    <t>E04042</t>
  </si>
  <si>
    <t>E04400</t>
  </si>
  <si>
    <t>$79,236</t>
  </si>
  <si>
    <t>E00408</t>
  </si>
  <si>
    <t>$60,406.15</t>
  </si>
  <si>
    <t>E02091</t>
  </si>
  <si>
    <t>E00087</t>
  </si>
  <si>
    <t>E00845</t>
  </si>
  <si>
    <t>$130,287</t>
  </si>
  <si>
    <t>E01032</t>
  </si>
  <si>
    <t>$67,133.54</t>
  </si>
  <si>
    <t>E02856</t>
  </si>
  <si>
    <t>barbara.brown@northfield-hr.com</t>
  </si>
  <si>
    <t>E04110</t>
  </si>
  <si>
    <t>E04397</t>
  </si>
  <si>
    <t>E03894</t>
  </si>
  <si>
    <t>E02659</t>
  </si>
  <si>
    <t>john.hill@northfield-hr.com</t>
  </si>
  <si>
    <t>E00856</t>
  </si>
  <si>
    <t>aiko.thompson@northfield-hr.com</t>
  </si>
  <si>
    <t>E00079</t>
  </si>
  <si>
    <t>E02248</t>
  </si>
  <si>
    <t>E04571</t>
  </si>
  <si>
    <t>$70,191</t>
  </si>
  <si>
    <t>E03657</t>
  </si>
  <si>
    <t>E04152</t>
  </si>
  <si>
    <t xml:space="preserve"> NGUYEN</t>
  </si>
  <si>
    <t>E03379</t>
  </si>
  <si>
    <t>diego.garcia@northfield-hr.com</t>
  </si>
  <si>
    <t>E02599</t>
  </si>
  <si>
    <t>E04160</t>
  </si>
  <si>
    <t>$47,633</t>
  </si>
  <si>
    <t>E03871</t>
  </si>
  <si>
    <t>E03429</t>
  </si>
  <si>
    <t>aiko.king@northfield-hr.com</t>
  </si>
  <si>
    <t>E02177</t>
  </si>
  <si>
    <t>$76,446</t>
  </si>
  <si>
    <t>susan.hill@northfield-hr.com</t>
  </si>
  <si>
    <t>E00425</t>
  </si>
  <si>
    <t>E00393</t>
  </si>
  <si>
    <t>$99,254</t>
  </si>
  <si>
    <t>E03694</t>
  </si>
  <si>
    <t>E00105</t>
  </si>
  <si>
    <t>$67,678.25</t>
  </si>
  <si>
    <t>E03995</t>
  </si>
  <si>
    <t>$90,491.49</t>
  </si>
  <si>
    <t>E04413</t>
  </si>
  <si>
    <t>E01949</t>
  </si>
  <si>
    <t>E01460</t>
  </si>
  <si>
    <t>E03258</t>
  </si>
  <si>
    <t>E02804</t>
  </si>
  <si>
    <t>E02707</t>
  </si>
  <si>
    <t>E02892</t>
  </si>
  <si>
    <t>E01588</t>
  </si>
  <si>
    <t>$76,621</t>
  </si>
  <si>
    <t>E03660</t>
  </si>
  <si>
    <t>E01732</t>
  </si>
  <si>
    <t>E03682</t>
  </si>
  <si>
    <t>E01792</t>
  </si>
  <si>
    <t>$74,986</t>
  </si>
  <si>
    <t>E02356</t>
  </si>
  <si>
    <t>E01941</t>
  </si>
  <si>
    <t>E00703</t>
  </si>
  <si>
    <t>$147,377</t>
  </si>
  <si>
    <t>david.thompson@northfield-hr.com</t>
  </si>
  <si>
    <t>E02443</t>
  </si>
  <si>
    <t>E04376</t>
  </si>
  <si>
    <t>$157,361.29</t>
  </si>
  <si>
    <t>mateo.lewis@northfield-hr.com</t>
  </si>
  <si>
    <t>E00497</t>
  </si>
  <si>
    <t xml:space="preserve">Harris  </t>
  </si>
  <si>
    <t>$86,456</t>
  </si>
  <si>
    <t>E00465</t>
  </si>
  <si>
    <t>$153,596</t>
  </si>
  <si>
    <t>E04072</t>
  </si>
  <si>
    <t>E04334</t>
  </si>
  <si>
    <t>$66,344</t>
  </si>
  <si>
    <t>E00173</t>
  </si>
  <si>
    <t xml:space="preserve"> Amara </t>
  </si>
  <si>
    <t>$82,278.10</t>
  </si>
  <si>
    <t>E02002</t>
  </si>
  <si>
    <t>E00303</t>
  </si>
  <si>
    <t>mohammed.ramirez@northfield-hr.com</t>
  </si>
  <si>
    <t>E02541</t>
  </si>
  <si>
    <t xml:space="preserve"> Garcia</t>
  </si>
  <si>
    <t>$59,833</t>
  </si>
  <si>
    <t>E03263</t>
  </si>
  <si>
    <t>$83,352</t>
  </si>
  <si>
    <t>E04681</t>
  </si>
  <si>
    <t>$86,885.47</t>
  </si>
  <si>
    <t>E02261</t>
  </si>
  <si>
    <t>E02113</t>
  </si>
  <si>
    <t>$42,726.13</t>
  </si>
  <si>
    <t>E00901</t>
  </si>
  <si>
    <t>$95,969.53</t>
  </si>
  <si>
    <t>E01447</t>
  </si>
  <si>
    <t>E03574</t>
  </si>
  <si>
    <t>patricia.nguyen@northfield-hr.com</t>
  </si>
  <si>
    <t>E00742</t>
  </si>
  <si>
    <t>$88,776</t>
  </si>
  <si>
    <t>thomas.white@northfield-hr.com</t>
  </si>
  <si>
    <t>E02294</t>
  </si>
  <si>
    <t>E02453</t>
  </si>
  <si>
    <t>E02623</t>
  </si>
  <si>
    <t>E04079</t>
  </si>
  <si>
    <t>E01207</t>
  </si>
  <si>
    <t>susan.martin@northfield-hr.com</t>
  </si>
  <si>
    <t>E00510</t>
  </si>
  <si>
    <t>E02621</t>
  </si>
  <si>
    <t>$88,522</t>
  </si>
  <si>
    <t>E02803</t>
  </si>
  <si>
    <t>E03314</t>
  </si>
  <si>
    <t>$66,942</t>
  </si>
  <si>
    <t>joseph.walker@northfield-hr.com</t>
  </si>
  <si>
    <t>E01550</t>
  </si>
  <si>
    <t>sarah.young@northfield-hr.com</t>
  </si>
  <si>
    <t>E04564</t>
  </si>
  <si>
    <t>$84,281</t>
  </si>
  <si>
    <t>E02203</t>
  </si>
  <si>
    <t>$40,391.43</t>
  </si>
  <si>
    <t>E03893</t>
  </si>
  <si>
    <t xml:space="preserve"> WILLIAMS </t>
  </si>
  <si>
    <t>$159,936.92</t>
  </si>
  <si>
    <t>E02045</t>
  </si>
  <si>
    <t>$-58,923</t>
  </si>
  <si>
    <t>E00768</t>
  </si>
  <si>
    <t>$77,739</t>
  </si>
  <si>
    <t>E03739</t>
  </si>
  <si>
    <t>richard.johnson@northfield-hr.com</t>
  </si>
  <si>
    <t>E00422</t>
  </si>
  <si>
    <t>$49,150</t>
  </si>
  <si>
    <t>E00124</t>
  </si>
  <si>
    <t>$131,314</t>
  </si>
  <si>
    <t>E04163</t>
  </si>
  <si>
    <t>$94,997</t>
  </si>
  <si>
    <t>E02629</t>
  </si>
  <si>
    <t>$56,569.60</t>
  </si>
  <si>
    <t>E00820</t>
  </si>
  <si>
    <t>E01404</t>
  </si>
  <si>
    <t>$77,497.06</t>
  </si>
  <si>
    <t>E01383</t>
  </si>
  <si>
    <t>E02149</t>
  </si>
  <si>
    <t xml:space="preserve">Ops </t>
  </si>
  <si>
    <t>$46,695</t>
  </si>
  <si>
    <t>E01576</t>
  </si>
  <si>
    <t>E01639</t>
  </si>
  <si>
    <t>$110,893</t>
  </si>
  <si>
    <t>ingrid.robinson@northfield-hr.com</t>
  </si>
  <si>
    <t>E01796</t>
  </si>
  <si>
    <t>$113,974.39</t>
  </si>
  <si>
    <t>E01662</t>
  </si>
  <si>
    <t>$74,467.07</t>
  </si>
  <si>
    <t>diego.anderson@northfield-hr.com</t>
  </si>
  <si>
    <t>E00400</t>
  </si>
  <si>
    <t xml:space="preserve">Robert  </t>
  </si>
  <si>
    <t>E02311</t>
  </si>
  <si>
    <t>$56,376.98</t>
  </si>
  <si>
    <t>wei.wilson@northfield-hr.com</t>
  </si>
  <si>
    <t>E00883</t>
  </si>
  <si>
    <t>E01353</t>
  </si>
  <si>
    <t>$53,241</t>
  </si>
  <si>
    <t>E02743</t>
  </si>
  <si>
    <t>E04551</t>
  </si>
  <si>
    <t>E02131</t>
  </si>
  <si>
    <t>$60,253.43</t>
  </si>
  <si>
    <t>E00983</t>
  </si>
  <si>
    <t>E00457</t>
  </si>
  <si>
    <t>$96,385</t>
  </si>
  <si>
    <t>E04120</t>
  </si>
  <si>
    <t>$58,948</t>
  </si>
  <si>
    <t>lucas.lopez@northfield-hr.com</t>
  </si>
  <si>
    <t>E01080</t>
  </si>
  <si>
    <t>E01951</t>
  </si>
  <si>
    <t xml:space="preserve"> Ops </t>
  </si>
  <si>
    <t>E04315</t>
  </si>
  <si>
    <t>$134,098</t>
  </si>
  <si>
    <t>E00690</t>
  </si>
  <si>
    <t>$104,908.47</t>
  </si>
  <si>
    <t>E02430</t>
  </si>
  <si>
    <t>$124,791</t>
  </si>
  <si>
    <t>mateo.lee@northfield-hr.com</t>
  </si>
  <si>
    <t>E00642</t>
  </si>
  <si>
    <t>E02393</t>
  </si>
  <si>
    <t xml:space="preserve"> JESSICA</t>
  </si>
  <si>
    <t>$192,215.74</t>
  </si>
  <si>
    <t>jessica.harris@northfield-hr.com</t>
  </si>
  <si>
    <t>E01954</t>
  </si>
  <si>
    <t>$69,017</t>
  </si>
  <si>
    <t>E02749</t>
  </si>
  <si>
    <t>$54,682</t>
  </si>
  <si>
    <t>sofia.torres@northfield-hr.com</t>
  </si>
  <si>
    <t>E04314</t>
  </si>
  <si>
    <t>$49,615</t>
  </si>
  <si>
    <t>E03436</t>
  </si>
  <si>
    <t>E03337</t>
  </si>
  <si>
    <t>$70,264.83</t>
  </si>
  <si>
    <t>E03046</t>
  </si>
  <si>
    <t>E03371</t>
  </si>
  <si>
    <t>$78,719.44</t>
  </si>
  <si>
    <t>E01885</t>
  </si>
  <si>
    <t>$85,044</t>
  </si>
  <si>
    <t>E00390</t>
  </si>
  <si>
    <t>$47,714.18</t>
  </si>
  <si>
    <t>E02495</t>
  </si>
  <si>
    <t xml:space="preserve"> MILLER</t>
  </si>
  <si>
    <t>$150,483</t>
  </si>
  <si>
    <t>E03879</t>
  </si>
  <si>
    <t>E03857</t>
  </si>
  <si>
    <t>E00846</t>
  </si>
  <si>
    <t>$78,938.94</t>
  </si>
  <si>
    <t>E00543</t>
  </si>
  <si>
    <t>E00092</t>
  </si>
  <si>
    <t xml:space="preserve">  Ramirez</t>
  </si>
  <si>
    <t>E03890</t>
  </si>
  <si>
    <t>$63,913.77</t>
  </si>
  <si>
    <t>sofia.brown@northfield-hr.com</t>
  </si>
  <si>
    <t>E01980</t>
  </si>
  <si>
    <t>E02813</t>
  </si>
  <si>
    <t>$125,668.62</t>
  </si>
  <si>
    <t>E04083</t>
  </si>
  <si>
    <t>E02903</t>
  </si>
  <si>
    <t xml:space="preserve">  CARLOS</t>
  </si>
  <si>
    <t>E02530</t>
  </si>
  <si>
    <t>E01677</t>
  </si>
  <si>
    <t>E01049</t>
  </si>
  <si>
    <t>E01961</t>
  </si>
  <si>
    <t>$96,469</t>
  </si>
  <si>
    <t>ingrid.lee@northfield-hr.com</t>
  </si>
  <si>
    <t>E03993</t>
  </si>
  <si>
    <t>E00238</t>
  </si>
  <si>
    <t xml:space="preserve">INGRID </t>
  </si>
  <si>
    <t>E03098</t>
  </si>
  <si>
    <t>$50,972.71</t>
  </si>
  <si>
    <t>E03489</t>
  </si>
  <si>
    <t>$77,952</t>
  </si>
  <si>
    <t>E01134</t>
  </si>
  <si>
    <t>patricia.ramirez@northfield-hr.com</t>
  </si>
  <si>
    <t>E01806</t>
  </si>
  <si>
    <t>$40,911.07</t>
  </si>
  <si>
    <t>E04318</t>
  </si>
  <si>
    <t>E00164</t>
  </si>
  <si>
    <t xml:space="preserve">  PATRICIA</t>
  </si>
  <si>
    <t>E03493</t>
  </si>
  <si>
    <t>E04116</t>
  </si>
  <si>
    <t>E04631</t>
  </si>
  <si>
    <t>E03454</t>
  </si>
  <si>
    <t>E03635</t>
  </si>
  <si>
    <t>E03940</t>
  </si>
  <si>
    <t>joseph.sanchez@northfield-hr.com</t>
  </si>
  <si>
    <t>E01812</t>
  </si>
  <si>
    <t>$41,497.88</t>
  </si>
  <si>
    <t>E03650</t>
  </si>
  <si>
    <t>$92,390.38</t>
  </si>
  <si>
    <t>thomas.garcia@northfield-hr.com</t>
  </si>
  <si>
    <t>E04050</t>
  </si>
  <si>
    <t>$57,744.28</t>
  </si>
  <si>
    <t>E01429</t>
  </si>
  <si>
    <t>$49,673</t>
  </si>
  <si>
    <t>E03614</t>
  </si>
  <si>
    <t>E03132</t>
  </si>
  <si>
    <t>amara.allen@northfield-hr.com</t>
  </si>
  <si>
    <t>E03397</t>
  </si>
  <si>
    <t>$43,705</t>
  </si>
  <si>
    <t>karen.lopez@northfield-hr.com</t>
  </si>
  <si>
    <t>E04461</t>
  </si>
  <si>
    <t>$63,314.32</t>
  </si>
  <si>
    <t>E02821</t>
  </si>
  <si>
    <t>$-43,367</t>
  </si>
  <si>
    <t>E01453</t>
  </si>
  <si>
    <t>E00594</t>
  </si>
  <si>
    <t>$61,088.89</t>
  </si>
  <si>
    <t>E00042</t>
  </si>
  <si>
    <t>E00561</t>
  </si>
  <si>
    <t>$108,572</t>
  </si>
  <si>
    <t>E03274</t>
  </si>
  <si>
    <t>$74,697</t>
  </si>
  <si>
    <t>thomas.rodriguez@northfield-hr.com</t>
  </si>
  <si>
    <t>E03245</t>
  </si>
  <si>
    <t>E00244</t>
  </si>
  <si>
    <t>E01340</t>
  </si>
  <si>
    <t>$49,978</t>
  </si>
  <si>
    <t>E02781</t>
  </si>
  <si>
    <t>$107,214</t>
  </si>
  <si>
    <t>E03188</t>
  </si>
  <si>
    <t>E03800</t>
  </si>
  <si>
    <t xml:space="preserve"> SENIOR MANAGER</t>
  </si>
  <si>
    <t>$97,158.95</t>
  </si>
  <si>
    <t>E01443</t>
  </si>
  <si>
    <t xml:space="preserve">  Emma</t>
  </si>
  <si>
    <t>E00262</t>
  </si>
  <si>
    <t>$76,469.45</t>
  </si>
  <si>
    <t>E02765</t>
  </si>
  <si>
    <t>$87,970</t>
  </si>
  <si>
    <t>thomas.robinson@northfield-hr.com</t>
  </si>
  <si>
    <t>E01690</t>
  </si>
  <si>
    <t>$92,863</t>
  </si>
  <si>
    <t>barbara.martin@northfield-hr.com</t>
  </si>
  <si>
    <t>E01726</t>
  </si>
  <si>
    <t>$95,938</t>
  </si>
  <si>
    <t>E04380</t>
  </si>
  <si>
    <t>$54,706</t>
  </si>
  <si>
    <t>E00835</t>
  </si>
  <si>
    <t>E01867</t>
  </si>
  <si>
    <t>E02497</t>
  </si>
  <si>
    <t>$47,559.16</t>
  </si>
  <si>
    <t>diego.rodriguez@northfield-hr.com</t>
  </si>
  <si>
    <t>E02011</t>
  </si>
  <si>
    <t>E00341</t>
  </si>
  <si>
    <t>E02989</t>
  </si>
  <si>
    <t>E01602</t>
  </si>
  <si>
    <t>E03876</t>
  </si>
  <si>
    <t>sofia.adams@northfield-hr.com</t>
  </si>
  <si>
    <t>E04695</t>
  </si>
  <si>
    <t xml:space="preserve"> David </t>
  </si>
  <si>
    <t>david.martinez@northfield-hr.com</t>
  </si>
  <si>
    <t>E00481</t>
  </si>
  <si>
    <t>E02826</t>
  </si>
  <si>
    <t>$103,520.66</t>
  </si>
  <si>
    <t>E04330</t>
  </si>
  <si>
    <t xml:space="preserve">HILL  </t>
  </si>
  <si>
    <t>E03541</t>
  </si>
  <si>
    <t xml:space="preserve"> sanchez</t>
  </si>
  <si>
    <t>$185,451.86</t>
  </si>
  <si>
    <t>E04639</t>
  </si>
  <si>
    <t>$94,671</t>
  </si>
  <si>
    <t>E03047</t>
  </si>
  <si>
    <t>E03991</t>
  </si>
  <si>
    <t>E01767</t>
  </si>
  <si>
    <t>$65,751</t>
  </si>
  <si>
    <t>E04474</t>
  </si>
  <si>
    <t>E02454</t>
  </si>
  <si>
    <t>E02878</t>
  </si>
  <si>
    <t>E03816</t>
  </si>
  <si>
    <t>$76,226</t>
  </si>
  <si>
    <t>wei.taylor@northfield-hr.com</t>
  </si>
  <si>
    <t>E04017</t>
  </si>
  <si>
    <t xml:space="preserve"> Martin </t>
  </si>
  <si>
    <t>aiko.martin@northfield-hr.com</t>
  </si>
  <si>
    <t>E04678</t>
  </si>
  <si>
    <t>E03680</t>
  </si>
  <si>
    <t>diego.brown@northfield-hr.com</t>
  </si>
  <si>
    <t>E01272</t>
  </si>
  <si>
    <t>E03078</t>
  </si>
  <si>
    <t>$266,608</t>
  </si>
  <si>
    <t>E03095</t>
  </si>
  <si>
    <t>$123,272.26</t>
  </si>
  <si>
    <t>E04654</t>
  </si>
  <si>
    <t xml:space="preserve"> HIROSHI</t>
  </si>
  <si>
    <t>E00348</t>
  </si>
  <si>
    <t>E03882</t>
  </si>
  <si>
    <t>jennifer.walker@northfield-hr.com</t>
  </si>
  <si>
    <t>E04624</t>
  </si>
  <si>
    <t>$88,123</t>
  </si>
  <si>
    <t>E02563</t>
  </si>
  <si>
    <t>$80,718</t>
  </si>
  <si>
    <t>E04591</t>
  </si>
  <si>
    <t>emma.johnson@northfield-hr.com</t>
  </si>
  <si>
    <t>E01424</t>
  </si>
  <si>
    <t xml:space="preserve"> PEREZ </t>
  </si>
  <si>
    <t>E00657</t>
  </si>
  <si>
    <t>$122,789.43</t>
  </si>
  <si>
    <t>yuki.brown@northfield-hr.com</t>
  </si>
  <si>
    <t>E02103</t>
  </si>
  <si>
    <t>E00633</t>
  </si>
  <si>
    <t>$54,731.64</t>
  </si>
  <si>
    <t>E02893</t>
  </si>
  <si>
    <t>$90,192.55</t>
  </si>
  <si>
    <t>E02494</t>
  </si>
  <si>
    <t>$54,813.27</t>
  </si>
  <si>
    <t>E02666</t>
  </si>
  <si>
    <t>$65,069.14</t>
  </si>
  <si>
    <t>E04016</t>
  </si>
  <si>
    <t>$69,851.78</t>
  </si>
  <si>
    <t>E03663</t>
  </si>
  <si>
    <t>$83,660</t>
  </si>
  <si>
    <t>E03308</t>
  </si>
  <si>
    <t>E03097</t>
  </si>
  <si>
    <t>$78,810</t>
  </si>
  <si>
    <t>E03920</t>
  </si>
  <si>
    <t>E02501</t>
  </si>
  <si>
    <t>wei.allen@northfield-hr.com</t>
  </si>
  <si>
    <t>E01466</t>
  </si>
  <si>
    <t>E02834</t>
  </si>
  <si>
    <t xml:space="preserve">yuki </t>
  </si>
  <si>
    <t>$45,598</t>
  </si>
  <si>
    <t>E00116</t>
  </si>
  <si>
    <t>E01822</t>
  </si>
  <si>
    <t>$61,049</t>
  </si>
  <si>
    <t>E01495</t>
  </si>
  <si>
    <t xml:space="preserve"> R&amp;D </t>
  </si>
  <si>
    <t>$93,596.16</t>
  </si>
  <si>
    <t>E02402</t>
  </si>
  <si>
    <t>E01233</t>
  </si>
  <si>
    <t>E02662</t>
  </si>
  <si>
    <t>james.williams@northfield-hr.com</t>
  </si>
  <si>
    <t>E04101</t>
  </si>
  <si>
    <t>E04574</t>
  </si>
  <si>
    <t xml:space="preserve"> Ingrid </t>
  </si>
  <si>
    <t>$61,162.21</t>
  </si>
  <si>
    <t>E01154</t>
  </si>
  <si>
    <t>E03849</t>
  </si>
  <si>
    <t>barbara.king@northfield-hr.com</t>
  </si>
  <si>
    <t>E00058</t>
  </si>
  <si>
    <t>E04105</t>
  </si>
  <si>
    <t>thomas.allen@northfield-hr.com</t>
  </si>
  <si>
    <t>E04289</t>
  </si>
  <si>
    <t xml:space="preserve"> Information Technology </t>
  </si>
  <si>
    <t>olga.walker@northfield-hr.com</t>
  </si>
  <si>
    <t>E03459</t>
  </si>
  <si>
    <t>$37,247</t>
  </si>
  <si>
    <t>E01736</t>
  </si>
  <si>
    <t>E02197</t>
  </si>
  <si>
    <t>$90,488.54</t>
  </si>
  <si>
    <t>E03554</t>
  </si>
  <si>
    <t>$52,741</t>
  </si>
  <si>
    <t>E02476</t>
  </si>
  <si>
    <t>$-96,315.96</t>
  </si>
  <si>
    <t>E02565</t>
  </si>
  <si>
    <t>E03159</t>
  </si>
  <si>
    <t>$92,506</t>
  </si>
  <si>
    <t>E04035</t>
  </si>
  <si>
    <t>E03656</t>
  </si>
  <si>
    <t>E00708</t>
  </si>
  <si>
    <t>E04281</t>
  </si>
  <si>
    <t>fatima.walker@northfield-hr.com</t>
  </si>
  <si>
    <t>E01094</t>
  </si>
  <si>
    <t>$46,076.34</t>
  </si>
  <si>
    <t>E04147</t>
  </si>
  <si>
    <t>$53,645</t>
  </si>
  <si>
    <t>E01377</t>
  </si>
  <si>
    <t>richard.davis@northfield-hr.com</t>
  </si>
  <si>
    <t>E03645</t>
  </si>
  <si>
    <t>$62,540.89</t>
  </si>
  <si>
    <t>E00073</t>
  </si>
  <si>
    <t>E01923</t>
  </si>
  <si>
    <t>E03174</t>
  </si>
  <si>
    <t>E01765</t>
  </si>
  <si>
    <t>priya.miller@northfield-hr.com</t>
  </si>
  <si>
    <t>E00744</t>
  </si>
  <si>
    <t>E04319</t>
  </si>
  <si>
    <t>$56,200.71</t>
  </si>
  <si>
    <t>E01006</t>
  </si>
  <si>
    <t>E02669</t>
  </si>
  <si>
    <t xml:space="preserve"> KING </t>
  </si>
  <si>
    <t>E01191</t>
  </si>
  <si>
    <t>E04632</t>
  </si>
  <si>
    <t>E02602</t>
  </si>
  <si>
    <t>$60,717.39</t>
  </si>
  <si>
    <t>E01126</t>
  </si>
  <si>
    <t>$93,536</t>
  </si>
  <si>
    <t>$52,658.61</t>
  </si>
  <si>
    <t>E04131</t>
  </si>
  <si>
    <t>$72,847</t>
  </si>
  <si>
    <t>E03443</t>
  </si>
  <si>
    <t>E00999</t>
  </si>
  <si>
    <t>$40,713</t>
  </si>
  <si>
    <t>E03387</t>
  </si>
  <si>
    <t>$94,762.68</t>
  </si>
  <si>
    <t>E02685</t>
  </si>
  <si>
    <t>E01578</t>
  </si>
  <si>
    <t>$81,834.80</t>
  </si>
  <si>
    <t>olga.garcia@northfield-hr.com</t>
  </si>
  <si>
    <t>E02786</t>
  </si>
  <si>
    <t>$123,472.47</t>
  </si>
  <si>
    <t>E01827</t>
  </si>
  <si>
    <t>noah.walker@northfield-hr.com</t>
  </si>
  <si>
    <t>E03293</t>
  </si>
  <si>
    <t xml:space="preserve"> Emma </t>
  </si>
  <si>
    <t>$96,404.18</t>
  </si>
  <si>
    <t>emma.garcia@northfield-hr.com</t>
  </si>
  <si>
    <t>E02905</t>
  </si>
  <si>
    <t xml:space="preserve">KING </t>
  </si>
  <si>
    <t>E03537</t>
  </si>
  <si>
    <t>E00441</t>
  </si>
  <si>
    <t>$91,964.83</t>
  </si>
  <si>
    <t>E02279</t>
  </si>
  <si>
    <t>$59,862.83</t>
  </si>
  <si>
    <t>E01101</t>
  </si>
  <si>
    <t>E04011</t>
  </si>
  <si>
    <t>E03059</t>
  </si>
  <si>
    <t>E00650</t>
  </si>
  <si>
    <t>ingrid.clark@northfield-hr.com</t>
  </si>
  <si>
    <t>E01547</t>
  </si>
  <si>
    <t>E01945</t>
  </si>
  <si>
    <t>$90,271</t>
  </si>
  <si>
    <t>E03561</t>
  </si>
  <si>
    <t>liam.martin@northfield-hr.com</t>
  </si>
  <si>
    <t>E03887</t>
  </si>
  <si>
    <t>$49,815.00</t>
  </si>
  <si>
    <t>E03742</t>
  </si>
  <si>
    <t>$130,397.95</t>
  </si>
  <si>
    <t>E00631</t>
  </si>
  <si>
    <t>$79,917</t>
  </si>
  <si>
    <t>E00673</t>
  </si>
  <si>
    <t>$71,336</t>
  </si>
  <si>
    <t>E01250</t>
  </si>
  <si>
    <t>E00483</t>
  </si>
  <si>
    <t>E01585</t>
  </si>
  <si>
    <t>$52,293</t>
  </si>
  <si>
    <t>diego.davis@northfield-hr.com</t>
  </si>
  <si>
    <t>E03075</t>
  </si>
  <si>
    <t>$103,169.55</t>
  </si>
  <si>
    <t>E04628</t>
  </si>
  <si>
    <t>E03039</t>
  </si>
  <si>
    <t>$99,199.36</t>
  </si>
  <si>
    <t>E01463</t>
  </si>
  <si>
    <t>E03930</t>
  </si>
  <si>
    <t>$69,480</t>
  </si>
  <si>
    <t>E03622</t>
  </si>
  <si>
    <t>$58,137.72</t>
  </si>
  <si>
    <t>E02579</t>
  </si>
  <si>
    <t>$69,000</t>
  </si>
  <si>
    <t>E03802</t>
  </si>
  <si>
    <t>$81,444</t>
  </si>
  <si>
    <t>E00050</t>
  </si>
  <si>
    <t>$117,848</t>
  </si>
  <si>
    <t>E04290</t>
  </si>
  <si>
    <t>E03345</t>
  </si>
  <si>
    <t>$50,285</t>
  </si>
  <si>
    <t>E00859</t>
  </si>
  <si>
    <t>E01073</t>
  </si>
  <si>
    <t xml:space="preserve">Walker  </t>
  </si>
  <si>
    <t>E00720</t>
  </si>
  <si>
    <t xml:space="preserve">  HILL</t>
  </si>
  <si>
    <t>E03718</t>
  </si>
  <si>
    <t>$137,358.67</t>
  </si>
  <si>
    <t>fatima.thomas@northfield-hr.com</t>
  </si>
  <si>
    <t>E02632</t>
  </si>
  <si>
    <t xml:space="preserve"> SOFIA</t>
  </si>
  <si>
    <t>E00833</t>
  </si>
  <si>
    <t>E01661</t>
  </si>
  <si>
    <t>$61,856</t>
  </si>
  <si>
    <t>E01657</t>
  </si>
  <si>
    <t>$91,017</t>
  </si>
  <si>
    <t>E02426</t>
  </si>
  <si>
    <t xml:space="preserve"> ADAMS</t>
  </si>
  <si>
    <t>$112,577</t>
  </si>
  <si>
    <t>E03525</t>
  </si>
  <si>
    <t>$55,693.12</t>
  </si>
  <si>
    <t>$118,590</t>
  </si>
  <si>
    <t>E00186</t>
  </si>
  <si>
    <t>$89,425</t>
  </si>
  <si>
    <t>olga.robinson@northfield-hr.com</t>
  </si>
  <si>
    <t>E03310</t>
  </si>
  <si>
    <t xml:space="preserve">CHIDI </t>
  </si>
  <si>
    <t>$75,659.15</t>
  </si>
  <si>
    <t>E04477</t>
  </si>
  <si>
    <t>$48,743</t>
  </si>
  <si>
    <t>E03306</t>
  </si>
  <si>
    <t>E04127</t>
  </si>
  <si>
    <t>E02607</t>
  </si>
  <si>
    <t>E01386</t>
  </si>
  <si>
    <t>E01400</t>
  </si>
  <si>
    <t>E01196</t>
  </si>
  <si>
    <t xml:space="preserve">director  </t>
  </si>
  <si>
    <t>$137,647.25</t>
  </si>
  <si>
    <t>E01409</t>
  </si>
  <si>
    <t>$75,036</t>
  </si>
  <si>
    <t>E03825</t>
  </si>
  <si>
    <t>E01799</t>
  </si>
  <si>
    <t>$172,622.68</t>
  </si>
  <si>
    <t>yuki.allen@northfield-hr.com</t>
  </si>
  <si>
    <t>E01476</t>
  </si>
  <si>
    <t>E01487</t>
  </si>
  <si>
    <t>E00036</t>
  </si>
  <si>
    <t>E03542</t>
  </si>
  <si>
    <t>$49,414.15</t>
  </si>
  <si>
    <t>E02346</t>
  </si>
  <si>
    <t>E04679</t>
  </si>
  <si>
    <t>E02360</t>
  </si>
  <si>
    <t xml:space="preserve"> LUCAS</t>
  </si>
  <si>
    <t>E02207</t>
  </si>
  <si>
    <t>$81,693</t>
  </si>
  <si>
    <t>E03768</t>
  </si>
  <si>
    <t>$74,699</t>
  </si>
  <si>
    <t>E01287</t>
  </si>
  <si>
    <t>$50,753</t>
  </si>
  <si>
    <t>E00350</t>
  </si>
  <si>
    <t>E02138</t>
  </si>
  <si>
    <t>amara.williams@northfield-hr.com</t>
  </si>
  <si>
    <t>E02692</t>
  </si>
  <si>
    <t>$58,419.80</t>
  </si>
  <si>
    <t>E04561</t>
  </si>
  <si>
    <t>$59,580.36</t>
  </si>
  <si>
    <t>E03968</t>
  </si>
  <si>
    <t>E01682</t>
  </si>
  <si>
    <t>$69,033</t>
  </si>
  <si>
    <t>E02271</t>
  </si>
  <si>
    <t>$113,222.89</t>
  </si>
  <si>
    <t>E01444</t>
  </si>
  <si>
    <t>E03244</t>
  </si>
  <si>
    <t>E01672</t>
  </si>
  <si>
    <t>$89,953.27</t>
  </si>
  <si>
    <t>E03837</t>
  </si>
  <si>
    <t>mohammed.hernandez@northfield-hr.com</t>
  </si>
  <si>
    <t>E01180</t>
  </si>
  <si>
    <t>$43,238.22</t>
  </si>
  <si>
    <t>E02799</t>
  </si>
  <si>
    <t>$140,971</t>
  </si>
  <si>
    <t>E01693</t>
  </si>
  <si>
    <t>$57,362.48</t>
  </si>
  <si>
    <t>E03957</t>
  </si>
  <si>
    <t>E00373</t>
  </si>
  <si>
    <t>$105,599.25</t>
  </si>
  <si>
    <t>E03611</t>
  </si>
  <si>
    <t>$90,675.12</t>
  </si>
  <si>
    <t>E01917</t>
  </si>
  <si>
    <t>E01358</t>
  </si>
  <si>
    <t>E00787</t>
  </si>
  <si>
    <t>robert.scott@northfield-hr.com</t>
  </si>
  <si>
    <t>E00470</t>
  </si>
  <si>
    <t xml:space="preserve"> amara </t>
  </si>
  <si>
    <t>$82,324.95</t>
  </si>
  <si>
    <t>E00141</t>
  </si>
  <si>
    <t>$65,691</t>
  </si>
  <si>
    <t>E00789</t>
  </si>
  <si>
    <t>$86,861.25</t>
  </si>
  <si>
    <t>E00324</t>
  </si>
  <si>
    <t>$69,171</t>
  </si>
  <si>
    <t>E00051</t>
  </si>
  <si>
    <t>E00715</t>
  </si>
  <si>
    <t>$42,435</t>
  </si>
  <si>
    <t>E03889</t>
  </si>
  <si>
    <t>$138,000.27</t>
  </si>
  <si>
    <t>jessica.johnson@northfield-hr.com</t>
  </si>
  <si>
    <t>E02841</t>
  </si>
  <si>
    <t>$35,478</t>
  </si>
  <si>
    <t>E02447</t>
  </si>
  <si>
    <t>$51,540</t>
  </si>
  <si>
    <t>E04420</t>
  </si>
  <si>
    <t>emma.ramirez@northfield-hr.com</t>
  </si>
  <si>
    <t>E04597</t>
  </si>
  <si>
    <t>E03016</t>
  </si>
  <si>
    <t>E02667</t>
  </si>
  <si>
    <t>E00407</t>
  </si>
  <si>
    <t>E03725</t>
  </si>
  <si>
    <t>E01005</t>
  </si>
  <si>
    <t>E03788</t>
  </si>
  <si>
    <t xml:space="preserve">hill </t>
  </si>
  <si>
    <t>E00891</t>
  </si>
  <si>
    <t>fatima.perez@northfield-hr.com</t>
  </si>
  <si>
    <t>E02412</t>
  </si>
  <si>
    <t>E02546</t>
  </si>
  <si>
    <t>E02391</t>
  </si>
  <si>
    <t>E03941</t>
  </si>
  <si>
    <t>E00043</t>
  </si>
  <si>
    <t>E02831</t>
  </si>
  <si>
    <t>$67,702.01</t>
  </si>
  <si>
    <t>E03966</t>
  </si>
  <si>
    <t>robert.davis@northfield-hr.com</t>
  </si>
  <si>
    <t>E00304</t>
  </si>
  <si>
    <t>$49,437.70</t>
  </si>
  <si>
    <t>E04514</t>
  </si>
  <si>
    <t>E03748</t>
  </si>
  <si>
    <t>E00665</t>
  </si>
  <si>
    <t>$69,097</t>
  </si>
  <si>
    <t>sarah.anderson@northfield-hr.com</t>
  </si>
  <si>
    <t>E01178</t>
  </si>
  <si>
    <t>E02677</t>
  </si>
  <si>
    <t xml:space="preserve"> Joseph </t>
  </si>
  <si>
    <t>joseph.lopez@northfield-hr.com</t>
  </si>
  <si>
    <t>E01948</t>
  </si>
  <si>
    <t>E02502</t>
  </si>
  <si>
    <t>$58,231.70</t>
  </si>
  <si>
    <t>liam.white@northfield-hr.com</t>
  </si>
  <si>
    <t>E01474</t>
  </si>
  <si>
    <t>E03484</t>
  </si>
  <si>
    <t>E03521</t>
  </si>
  <si>
    <t xml:space="preserve"> JACKSON </t>
  </si>
  <si>
    <t>E02133</t>
  </si>
  <si>
    <t>E01027</t>
  </si>
  <si>
    <t>E00962</t>
  </si>
  <si>
    <t>$74,871</t>
  </si>
  <si>
    <t>E02890</t>
  </si>
  <si>
    <t>$52,823</t>
  </si>
  <si>
    <t>E03135</t>
  </si>
  <si>
    <t>E02010</t>
  </si>
  <si>
    <t>$90,586.24</t>
  </si>
  <si>
    <t>E02150</t>
  </si>
  <si>
    <t>E03324</t>
  </si>
  <si>
    <t>E02339</t>
  </si>
  <si>
    <t>E00305</t>
  </si>
  <si>
    <t>E01441</t>
  </si>
  <si>
    <t>$67,235.11</t>
  </si>
  <si>
    <t>wei.lewis@northfield-hr.com</t>
  </si>
  <si>
    <t>E01497</t>
  </si>
  <si>
    <t>$101,984</t>
  </si>
  <si>
    <t>E02653</t>
  </si>
  <si>
    <t>$64,935.28</t>
  </si>
  <si>
    <t>E02876</t>
  </si>
  <si>
    <t>E00917</t>
  </si>
  <si>
    <t>$81,149.32</t>
  </si>
  <si>
    <t>E04183</t>
  </si>
  <si>
    <t>$86,418.96</t>
  </si>
  <si>
    <t>E03722</t>
  </si>
  <si>
    <t>E02773</t>
  </si>
  <si>
    <t>$123,774.54</t>
  </si>
  <si>
    <t>ava.wright@northfield-hr.com</t>
  </si>
  <si>
    <t>E01625</t>
  </si>
  <si>
    <t>E03838</t>
  </si>
  <si>
    <t>E00822</t>
  </si>
  <si>
    <t>E03965</t>
  </si>
  <si>
    <t>olga.lopez@northfield-hr.com</t>
  </si>
  <si>
    <t>E01355</t>
  </si>
  <si>
    <t>$123,818.39</t>
  </si>
  <si>
    <t>E04498</t>
  </si>
  <si>
    <t>$80,475.44</t>
  </si>
  <si>
    <t>E00851</t>
  </si>
  <si>
    <t>$62,608.27</t>
  </si>
  <si>
    <t>E01001</t>
  </si>
  <si>
    <t>$56,759.14</t>
  </si>
  <si>
    <t>E03378</t>
  </si>
  <si>
    <t>E00019</t>
  </si>
  <si>
    <t>$83,268</t>
  </si>
  <si>
    <t>E01638</t>
  </si>
  <si>
    <t>E01668</t>
  </si>
  <si>
    <t>$60,046.25</t>
  </si>
  <si>
    <t>E00494</t>
  </si>
  <si>
    <t>$74,274.02</t>
  </si>
  <si>
    <t>ingrid.harris@northfield-hr.com</t>
  </si>
  <si>
    <t>E01348</t>
  </si>
  <si>
    <t xml:space="preserve"> SANCHEZ </t>
  </si>
  <si>
    <t>william.sanchez@northfield-hr.com</t>
  </si>
  <si>
    <t>E03728</t>
  </si>
  <si>
    <t>E03615</t>
  </si>
  <si>
    <t>$71,102.21</t>
  </si>
  <si>
    <t>olga.jackson@northfield-hr.com</t>
  </si>
  <si>
    <t>E03482</t>
  </si>
  <si>
    <t>E00688</t>
  </si>
  <si>
    <t>$95,003.96</t>
  </si>
  <si>
    <t>thomas.thompson@northfield-hr.com</t>
  </si>
  <si>
    <t>E03732</t>
  </si>
  <si>
    <t>$65,424</t>
  </si>
  <si>
    <t>ava.clark@northfield-hr.com</t>
  </si>
  <si>
    <t>E01609</t>
  </si>
  <si>
    <t>aiko.jones@northfield-hr.com</t>
  </si>
  <si>
    <t>E04085</t>
  </si>
  <si>
    <t>$83,872</t>
  </si>
  <si>
    <t>david.scott@northfield-hr.com</t>
  </si>
  <si>
    <t>E03403</t>
  </si>
  <si>
    <t>$61,717</t>
  </si>
  <si>
    <t>E01010</t>
  </si>
  <si>
    <t>E02409</t>
  </si>
  <si>
    <t>charles.williams@northfield-hr.com</t>
  </si>
  <si>
    <t>E01093</t>
  </si>
  <si>
    <t>$64,197.98</t>
  </si>
  <si>
    <t>E01328</t>
  </si>
  <si>
    <t>charles.martinez@northfield-hr.com</t>
  </si>
  <si>
    <t>E01678</t>
  </si>
  <si>
    <t>$44,196</t>
  </si>
  <si>
    <t>E02000</t>
  </si>
  <si>
    <t>noah.rodriguez@northfield-hr.com</t>
  </si>
  <si>
    <t>E01311</t>
  </si>
  <si>
    <t>$134,685.97</t>
  </si>
  <si>
    <t>E03259</t>
  </si>
  <si>
    <t xml:space="preserve">  Vp</t>
  </si>
  <si>
    <t>$286,117.71</t>
  </si>
  <si>
    <t>E01988</t>
  </si>
  <si>
    <t>$41,961</t>
  </si>
  <si>
    <t>E03649</t>
  </si>
  <si>
    <t>E00345</t>
  </si>
  <si>
    <t xml:space="preserve"> WRIGHT </t>
  </si>
  <si>
    <t>E04483</t>
  </si>
  <si>
    <t>E00987</t>
  </si>
  <si>
    <t>$134,085</t>
  </si>
  <si>
    <t>E04545</t>
  </si>
  <si>
    <t>$137,740</t>
  </si>
  <si>
    <t>E03808</t>
  </si>
  <si>
    <t>E04524</t>
  </si>
  <si>
    <t>$51,145</t>
  </si>
  <si>
    <t>E04003</t>
  </si>
  <si>
    <t>$44,970.92</t>
  </si>
  <si>
    <t>E03092</t>
  </si>
  <si>
    <t>E03962</t>
  </si>
  <si>
    <t>$89,722.61</t>
  </si>
  <si>
    <t>sarah.wilson@northfield-hr.com</t>
  </si>
  <si>
    <t>E01143</t>
  </si>
  <si>
    <t>robert.clark@northfield-hr.com</t>
  </si>
  <si>
    <t>E02359</t>
  </si>
  <si>
    <t>$86,054.79</t>
  </si>
  <si>
    <t>E01199</t>
  </si>
  <si>
    <t>E00086</t>
  </si>
  <si>
    <t>E01519</t>
  </si>
  <si>
    <t>E00517</t>
  </si>
  <si>
    <t>$64,393</t>
  </si>
  <si>
    <t>E01382</t>
  </si>
  <si>
    <t>E02717</t>
  </si>
  <si>
    <t>$60,513.88</t>
  </si>
  <si>
    <t>james.smith@northfield-hr.com</t>
  </si>
  <si>
    <t>E03085</t>
  </si>
  <si>
    <t>$96,236.75</t>
  </si>
  <si>
    <t>E01015</t>
  </si>
  <si>
    <t>$41,484.33</t>
  </si>
  <si>
    <t>susan.perez@northfield-hr.com</t>
  </si>
  <si>
    <t>E00129</t>
  </si>
  <si>
    <t>$77,314.97</t>
  </si>
  <si>
    <t>E01365</t>
  </si>
  <si>
    <t>$48,911.27</t>
  </si>
  <si>
    <t>E03624</t>
  </si>
  <si>
    <t>$71,569.95</t>
  </si>
  <si>
    <t>E04544</t>
  </si>
  <si>
    <t>E00892</t>
  </si>
  <si>
    <t>$49,082.93</t>
  </si>
  <si>
    <t>E02794</t>
  </si>
  <si>
    <t>$51,216.45</t>
  </si>
  <si>
    <t>E04239</t>
  </si>
  <si>
    <t>E01360</t>
  </si>
  <si>
    <t>E00308</t>
  </si>
  <si>
    <t>$131,761.75</t>
  </si>
  <si>
    <t>ava.martinez@northfield-hr.com</t>
  </si>
  <si>
    <t>E02432</t>
  </si>
  <si>
    <t>sarah.williams@northfield-hr.com</t>
  </si>
  <si>
    <t>E03935</t>
  </si>
  <si>
    <t>E01318</t>
  </si>
  <si>
    <t>$113,316</t>
  </si>
  <si>
    <t>E04304</t>
  </si>
  <si>
    <t xml:space="preserve">  Senior Manager</t>
  </si>
  <si>
    <t>E02543</t>
  </si>
  <si>
    <t xml:space="preserve">  Robinson</t>
  </si>
  <si>
    <t>$56,731.74</t>
  </si>
  <si>
    <t>E01247</t>
  </si>
  <si>
    <t>E01209</t>
  </si>
  <si>
    <t>$128,948.59</t>
  </si>
  <si>
    <t>E00217</t>
  </si>
  <si>
    <t>$124,654</t>
  </si>
  <si>
    <t>E04293</t>
  </si>
  <si>
    <t>E03063</t>
  </si>
  <si>
    <t>E01240</t>
  </si>
  <si>
    <t>E02290</t>
  </si>
  <si>
    <t>E02741</t>
  </si>
  <si>
    <t>$49,973</t>
  </si>
  <si>
    <t>E00276</t>
  </si>
  <si>
    <t>E00490</t>
  </si>
  <si>
    <t>E01036</t>
  </si>
  <si>
    <t>E01230</t>
  </si>
  <si>
    <t>$79,558.07</t>
  </si>
  <si>
    <t>E04586</t>
  </si>
  <si>
    <t>E01009</t>
  </si>
  <si>
    <t>E04690</t>
  </si>
  <si>
    <t>E04027</t>
  </si>
  <si>
    <t>E03183</t>
  </si>
  <si>
    <t>noah.king@northfield-hr.com</t>
  </si>
  <si>
    <t>E02533</t>
  </si>
  <si>
    <t>E04170</t>
  </si>
  <si>
    <t>E01059</t>
  </si>
  <si>
    <t>E02167</t>
  </si>
  <si>
    <t>E04579</t>
  </si>
  <si>
    <t>$52,276.31</t>
  </si>
  <si>
    <t>E00282</t>
  </si>
  <si>
    <t xml:space="preserve"> nguyen </t>
  </si>
  <si>
    <t>E03566</t>
  </si>
  <si>
    <t>$77,536</t>
  </si>
  <si>
    <t>E01317</t>
  </si>
  <si>
    <t>E00969</t>
  </si>
  <si>
    <t>linda.white@northfield-hr.com</t>
  </si>
  <si>
    <t>E03127</t>
  </si>
  <si>
    <t>E03921</t>
  </si>
  <si>
    <t>E03167</t>
  </si>
  <si>
    <t>E03520</t>
  </si>
  <si>
    <t>karen.martinez@northfield-hr.com</t>
  </si>
  <si>
    <t>E00620</t>
  </si>
  <si>
    <t>$53,321</t>
  </si>
  <si>
    <t>E03347</t>
  </si>
  <si>
    <t>elizabeth.allen@northfield-hr.com</t>
  </si>
  <si>
    <t>E01743</t>
  </si>
  <si>
    <t>$59,745</t>
  </si>
  <si>
    <t>wei.miller@northfield-hr.com</t>
  </si>
  <si>
    <t>E01391</t>
  </si>
  <si>
    <t>$77,304.71</t>
  </si>
  <si>
    <t>ava.moore@northfield-hr.com</t>
  </si>
  <si>
    <t>E04051</t>
  </si>
  <si>
    <t>$63,372</t>
  </si>
  <si>
    <t>E01848</t>
  </si>
  <si>
    <t>E01580</t>
  </si>
  <si>
    <t>james.robinson@northfield-hr.com</t>
  </si>
  <si>
    <t>E01656</t>
  </si>
  <si>
    <t>E02353</t>
  </si>
  <si>
    <t xml:space="preserve"> WEI</t>
  </si>
  <si>
    <t>$58,377</t>
  </si>
  <si>
    <t>E02213</t>
  </si>
  <si>
    <t>$55,677.17</t>
  </si>
  <si>
    <t>E02021</t>
  </si>
  <si>
    <t xml:space="preserve">Wei </t>
  </si>
  <si>
    <t>E01957</t>
  </si>
  <si>
    <t>E01308</t>
  </si>
  <si>
    <t>E02004</t>
  </si>
  <si>
    <t>$38,633.88</t>
  </si>
  <si>
    <t>robert.walker@northfield-hr.com</t>
  </si>
  <si>
    <t>E04456</t>
  </si>
  <si>
    <t>susan.smith@northfield-hr.com</t>
  </si>
  <si>
    <t>E00576</t>
  </si>
  <si>
    <t>$76,693.36</t>
  </si>
  <si>
    <t>E04090</t>
  </si>
  <si>
    <t>$82,724</t>
  </si>
  <si>
    <t>E04320</t>
  </si>
  <si>
    <t>$57,501</t>
  </si>
  <si>
    <t>E04437</t>
  </si>
  <si>
    <t>E01707</t>
  </si>
  <si>
    <t>$59,125.54</t>
  </si>
  <si>
    <t>E03743</t>
  </si>
  <si>
    <t>E03471</t>
  </si>
  <si>
    <t>E01281</t>
  </si>
  <si>
    <t>E00862</t>
  </si>
  <si>
    <t>$50,837</t>
  </si>
  <si>
    <t>E04146</t>
  </si>
  <si>
    <t>patricia.brown@northfield-hr.com</t>
  </si>
  <si>
    <t>E01802</t>
  </si>
  <si>
    <t>$68,093.12</t>
  </si>
  <si>
    <t>E01629</t>
  </si>
  <si>
    <t>$94,252.77</t>
  </si>
  <si>
    <t>E01994</t>
  </si>
  <si>
    <t>yuki.smith@northfield-hr.com</t>
  </si>
  <si>
    <t>E02640</t>
  </si>
  <si>
    <t>E00270</t>
  </si>
  <si>
    <t>william.young@northfield-hr.com</t>
  </si>
  <si>
    <t>E00630</t>
  </si>
  <si>
    <t>$46,519</t>
  </si>
  <si>
    <t>E03082</t>
  </si>
  <si>
    <t>$76,041.89</t>
  </si>
  <si>
    <t>E02335</t>
  </si>
  <si>
    <t>E02967</t>
  </si>
  <si>
    <t>E00301</t>
  </si>
  <si>
    <t>$45,816.15</t>
  </si>
  <si>
    <t>linda.perez@northfield-hr.com</t>
  </si>
  <si>
    <t>E00460</t>
  </si>
  <si>
    <t>$77,866</t>
  </si>
  <si>
    <t>E01448</t>
  </si>
  <si>
    <t>$88,456</t>
  </si>
  <si>
    <t>E01473</t>
  </si>
  <si>
    <t>E02047</t>
  </si>
  <si>
    <t>jennifer.lewis@northfield-hr.com</t>
  </si>
  <si>
    <t>E04229</t>
  </si>
  <si>
    <t>mateo.rodriguez@northfield-hr.com</t>
  </si>
  <si>
    <t>E03765</t>
  </si>
  <si>
    <t xml:space="preserve">  WILSON</t>
  </si>
  <si>
    <t>E02114</t>
  </si>
  <si>
    <t>E00028</t>
  </si>
  <si>
    <t>robert.perez@northfield-hr.com</t>
  </si>
  <si>
    <t>E03840</t>
  </si>
  <si>
    <t>hiroshi.hill@northfield-hr.com</t>
  </si>
  <si>
    <t>E04523</t>
  </si>
  <si>
    <t xml:space="preserve">lopez </t>
  </si>
  <si>
    <t>E00838</t>
  </si>
  <si>
    <t>$100,783.78</t>
  </si>
  <si>
    <t>mary.jones@northfield-hr.com</t>
  </si>
  <si>
    <t>E03827</t>
  </si>
  <si>
    <t xml:space="preserve"> Jennifer </t>
  </si>
  <si>
    <t>$42,980.92</t>
  </si>
  <si>
    <t>E02009</t>
  </si>
  <si>
    <t>E00504</t>
  </si>
  <si>
    <t>$54,652</t>
  </si>
  <si>
    <t>E03207</t>
  </si>
  <si>
    <t>E04305</t>
  </si>
  <si>
    <t>E00381</t>
  </si>
  <si>
    <t>E01852</t>
  </si>
  <si>
    <t>E01526</t>
  </si>
  <si>
    <t>E02366</t>
  </si>
  <si>
    <t>$111,753.04</t>
  </si>
  <si>
    <t>E04148</t>
  </si>
  <si>
    <t>$66,805</t>
  </si>
  <si>
    <t>E03053</t>
  </si>
  <si>
    <t>jessica.nguyen@northfield-hr.com</t>
  </si>
  <si>
    <t>E02885</t>
  </si>
  <si>
    <t>$106,723</t>
  </si>
  <si>
    <t>E02341</t>
  </si>
  <si>
    <t>E00375</t>
  </si>
  <si>
    <t>ingrid.allen@northfield-hr.com</t>
  </si>
  <si>
    <t>E03261</t>
  </si>
  <si>
    <t>$52,496</t>
  </si>
  <si>
    <t>$116,176.55</t>
  </si>
  <si>
    <t>E04310</t>
  </si>
  <si>
    <t>E00940</t>
  </si>
  <si>
    <t>$77,879.25</t>
  </si>
  <si>
    <t>E04199</t>
  </si>
  <si>
    <t>$91,292</t>
  </si>
  <si>
    <t>michael.gonzalez@northfield-hr.com</t>
  </si>
  <si>
    <t>E04166</t>
  </si>
  <si>
    <t>$66,829.33</t>
  </si>
  <si>
    <t>E02800</t>
  </si>
  <si>
    <t>E02148</t>
  </si>
  <si>
    <t>$55,265.04</t>
  </si>
  <si>
    <t>E03818</t>
  </si>
  <si>
    <t>E04541</t>
  </si>
  <si>
    <t>E04217</t>
  </si>
  <si>
    <t>E02069</t>
  </si>
  <si>
    <t>$69,886</t>
  </si>
  <si>
    <t>E00530</t>
  </si>
  <si>
    <t xml:space="preserve"> HIROSHI </t>
  </si>
  <si>
    <t>E04605</t>
  </si>
  <si>
    <t>$41,607</t>
  </si>
  <si>
    <t>E00637</t>
  </si>
  <si>
    <t>$59,411</t>
  </si>
  <si>
    <t>E01270</t>
  </si>
  <si>
    <t>E04350</t>
  </si>
  <si>
    <t>$80,079</t>
  </si>
  <si>
    <t>E03455</t>
  </si>
  <si>
    <t>E01798</t>
  </si>
  <si>
    <t>E02980</t>
  </si>
  <si>
    <t>E01442</t>
  </si>
  <si>
    <t>E03428</t>
  </si>
  <si>
    <t>$49,688.64</t>
  </si>
  <si>
    <t>E03374</t>
  </si>
  <si>
    <t xml:space="preserve">Amara </t>
  </si>
  <si>
    <t>E01536</t>
  </si>
  <si>
    <t>E03444</t>
  </si>
  <si>
    <t>$68,788.12</t>
  </si>
  <si>
    <t>E01274</t>
  </si>
  <si>
    <t>E02468</t>
  </si>
  <si>
    <t>$78,887.62</t>
  </si>
  <si>
    <t>E00608</t>
  </si>
  <si>
    <t>E03514</t>
  </si>
  <si>
    <t>$53,497</t>
  </si>
  <si>
    <t>E01713</t>
  </si>
  <si>
    <t>$37,062</t>
  </si>
  <si>
    <t>E02200</t>
  </si>
  <si>
    <t xml:space="preserve">King </t>
  </si>
  <si>
    <t>$107,598</t>
  </si>
  <si>
    <t>E02580</t>
  </si>
  <si>
    <t>E03898</t>
  </si>
  <si>
    <t>thomas.gonzalez@northfield-hr.com</t>
  </si>
  <si>
    <t>E04426</t>
  </si>
  <si>
    <t>E03381</t>
  </si>
  <si>
    <t>E03686</t>
  </si>
  <si>
    <t>E00404</t>
  </si>
  <si>
    <t xml:space="preserve"> jackson </t>
  </si>
  <si>
    <t>$164,369.97</t>
  </si>
  <si>
    <t>E02072</t>
  </si>
  <si>
    <t>$90,890.52</t>
  </si>
  <si>
    <t>E01978</t>
  </si>
  <si>
    <t>E00159</t>
  </si>
  <si>
    <t>ingrid.rodriguez@northfield-hr.com</t>
  </si>
  <si>
    <t>E01749</t>
  </si>
  <si>
    <t>$61,783.92</t>
  </si>
  <si>
    <t>E02910</t>
  </si>
  <si>
    <t>$78,301</t>
  </si>
  <si>
    <t>E03535</t>
  </si>
  <si>
    <t>$106,638</t>
  </si>
  <si>
    <t>E00903</t>
  </si>
  <si>
    <t>E00353</t>
  </si>
  <si>
    <t>E01231</t>
  </si>
  <si>
    <t>E04671</t>
  </si>
  <si>
    <t>E02141</t>
  </si>
  <si>
    <t>$76,001.37</t>
  </si>
  <si>
    <t>E00755</t>
  </si>
  <si>
    <t>$124,373.46</t>
  </si>
  <si>
    <t>ava.scott@northfield-hr.com</t>
  </si>
  <si>
    <t>E01738</t>
  </si>
  <si>
    <t>E02972</t>
  </si>
  <si>
    <t>$84,007</t>
  </si>
  <si>
    <t>E02140</t>
  </si>
  <si>
    <t>E02921</t>
  </si>
  <si>
    <t>$120,354</t>
  </si>
  <si>
    <t>E00312</t>
  </si>
  <si>
    <t>E00549</t>
  </si>
  <si>
    <t>$66,717.08</t>
  </si>
  <si>
    <t>E04053</t>
  </si>
  <si>
    <t>E04593</t>
  </si>
  <si>
    <t>E01990</t>
  </si>
  <si>
    <t>$81,963.14</t>
  </si>
  <si>
    <t>E00307</t>
  </si>
  <si>
    <t>$49,075</t>
  </si>
  <si>
    <t>E02336</t>
  </si>
  <si>
    <t>$110,479.37</t>
  </si>
  <si>
    <t>E00695</t>
  </si>
  <si>
    <t>E02357</t>
  </si>
  <si>
    <t>$87,269.14</t>
  </si>
  <si>
    <t>mary.johnson@northfield-hr.com</t>
  </si>
  <si>
    <t>E01928</t>
  </si>
  <si>
    <t>E00685</t>
  </si>
  <si>
    <t>$96,213</t>
  </si>
  <si>
    <t>E00750</t>
  </si>
  <si>
    <t>E04009</t>
  </si>
  <si>
    <t>E01267</t>
  </si>
  <si>
    <t>$81,884</t>
  </si>
  <si>
    <t>E03286</t>
  </si>
  <si>
    <t>amara.taylor@northfield-hr.com</t>
  </si>
  <si>
    <t>E03530</t>
  </si>
  <si>
    <t>E04424</t>
  </si>
  <si>
    <t>$95,304.95</t>
  </si>
  <si>
    <t>E03985</t>
  </si>
  <si>
    <t>$47,993.77</t>
  </si>
  <si>
    <t>E03084</t>
  </si>
  <si>
    <t>$60,270.89</t>
  </si>
  <si>
    <t>E03062</t>
  </si>
  <si>
    <t>$73,246</t>
  </si>
  <si>
    <t>E03026</t>
  </si>
  <si>
    <t>$137,107</t>
  </si>
  <si>
    <t>E00971</t>
  </si>
  <si>
    <t>carlos.clark@northfield-hr.com</t>
  </si>
  <si>
    <t>E00014</t>
  </si>
  <si>
    <t>$37,043.16</t>
  </si>
  <si>
    <t>E00874</t>
  </si>
  <si>
    <t>$59,560.37</t>
  </si>
  <si>
    <t>E00809</t>
  </si>
  <si>
    <t>yuki.thompson@northfield-hr.com</t>
  </si>
  <si>
    <t>E03199</t>
  </si>
  <si>
    <t>E00515</t>
  </si>
  <si>
    <t>$52,874</t>
  </si>
  <si>
    <t>E04473</t>
  </si>
  <si>
    <t>E00410</t>
  </si>
  <si>
    <t>E03409</t>
  </si>
  <si>
    <t>$48,884.55</t>
  </si>
  <si>
    <t>E04343</t>
  </si>
  <si>
    <t>E00208</t>
  </si>
  <si>
    <t>E03692</t>
  </si>
  <si>
    <t>E00459</t>
  </si>
  <si>
    <t>john.johnson@northfield-hr.com</t>
  </si>
  <si>
    <t>E03472</t>
  </si>
  <si>
    <t xml:space="preserve">lucas  </t>
  </si>
  <si>
    <t xml:space="preserve">WILLIAMS </t>
  </si>
  <si>
    <t>$61,603.14</t>
  </si>
  <si>
    <t>E02431</t>
  </si>
  <si>
    <t>$72,530</t>
  </si>
  <si>
    <t>mohammed.wright@northfield-hr.com</t>
  </si>
  <si>
    <t>E03658</t>
  </si>
  <si>
    <t>$59,277.83</t>
  </si>
  <si>
    <t>E00111</t>
  </si>
  <si>
    <t>$139,613</t>
  </si>
  <si>
    <t>E04590</t>
  </si>
  <si>
    <t>E04045</t>
  </si>
  <si>
    <t>E01884</t>
  </si>
  <si>
    <t>$82,285.89</t>
  </si>
  <si>
    <t>E01714</t>
  </si>
  <si>
    <t>E03959</t>
  </si>
  <si>
    <t>E03400</t>
  </si>
  <si>
    <t>$42,224.97</t>
  </si>
  <si>
    <t>E00553</t>
  </si>
  <si>
    <t>E01440</t>
  </si>
  <si>
    <t>E03145</t>
  </si>
  <si>
    <t>$99,594.58</t>
  </si>
  <si>
    <t>E02822</t>
  </si>
  <si>
    <t>E00635</t>
  </si>
  <si>
    <t>$93,880</t>
  </si>
  <si>
    <t>E00317</t>
  </si>
  <si>
    <t>E04218</t>
  </si>
  <si>
    <t>E04700</t>
  </si>
  <si>
    <t xml:space="preserve">  Associate </t>
  </si>
  <si>
    <t>linda.jones@northfield-hr.com</t>
  </si>
  <si>
    <t>E01329</t>
  </si>
  <si>
    <t>$53,389.75</t>
  </si>
  <si>
    <t>E04375</t>
  </si>
  <si>
    <t>E00106</t>
  </si>
  <si>
    <t>wei.lopez@northfield-hr.com</t>
  </si>
  <si>
    <t>E03042</t>
  </si>
  <si>
    <t>E00143</t>
  </si>
  <si>
    <t>E02170</t>
  </si>
  <si>
    <t>E00090</t>
  </si>
  <si>
    <t>$48,256</t>
  </si>
  <si>
    <t>E02919</t>
  </si>
  <si>
    <t>$115,701</t>
  </si>
  <si>
    <t>E03238</t>
  </si>
  <si>
    <t>E02242</t>
  </si>
  <si>
    <t>E03175</t>
  </si>
  <si>
    <t xml:space="preserve"> richard</t>
  </si>
  <si>
    <t>richard.miller@northfield-hr.com</t>
  </si>
  <si>
    <t>E03413</t>
  </si>
  <si>
    <t>E02164</t>
  </si>
  <si>
    <t>E01950</t>
  </si>
  <si>
    <t>E01769</t>
  </si>
  <si>
    <t>E04291</t>
  </si>
  <si>
    <t>E02273</t>
  </si>
  <si>
    <t>$104,403.16</t>
  </si>
  <si>
    <t>E00002</t>
  </si>
  <si>
    <t>E03283</t>
  </si>
  <si>
    <t>$135,156</t>
  </si>
  <si>
    <t>E01952</t>
  </si>
  <si>
    <t>E00936</t>
  </si>
  <si>
    <t>amara.wilson@northfield-hr.com</t>
  </si>
  <si>
    <t>E04297</t>
  </si>
  <si>
    <t>E02721</t>
  </si>
  <si>
    <t>E04448</t>
  </si>
  <si>
    <t>$69,626</t>
  </si>
  <si>
    <t>E01110</t>
  </si>
  <si>
    <t>$72,414.62</t>
  </si>
  <si>
    <t>E03961</t>
  </si>
  <si>
    <t>E00592</t>
  </si>
  <si>
    <t>$56,034.89</t>
  </si>
  <si>
    <t>E01696</t>
  </si>
  <si>
    <t>E03451</t>
  </si>
  <si>
    <t>priya.robinson@northfield-hr.com</t>
  </si>
  <si>
    <t>E02937</t>
  </si>
  <si>
    <t>E04205</t>
  </si>
  <si>
    <t xml:space="preserve">  Yuki</t>
  </si>
  <si>
    <t>$44,072.23</t>
  </si>
  <si>
    <t>E03412</t>
  </si>
  <si>
    <t>$72,956</t>
  </si>
  <si>
    <t>E01577</t>
  </si>
  <si>
    <t xml:space="preserve"> it </t>
  </si>
  <si>
    <t>E03955</t>
  </si>
  <si>
    <t>$104,059.13</t>
  </si>
  <si>
    <t>E00214</t>
  </si>
  <si>
    <t>E00779</t>
  </si>
  <si>
    <t>$105,163</t>
  </si>
  <si>
    <t>E01416</t>
  </si>
  <si>
    <t>james.hill@northfield-hr.com</t>
  </si>
  <si>
    <t>E03760</t>
  </si>
  <si>
    <t>E02044</t>
  </si>
  <si>
    <t>$89,028</t>
  </si>
  <si>
    <t>E02849</t>
  </si>
  <si>
    <t>E04538</t>
  </si>
  <si>
    <t>E03506</t>
  </si>
  <si>
    <t>$67,845.47</t>
  </si>
  <si>
    <t>E03814</t>
  </si>
  <si>
    <t>E01568</t>
  </si>
  <si>
    <t>$80,866.47</t>
  </si>
  <si>
    <t>E00166</t>
  </si>
  <si>
    <t>$110,392</t>
  </si>
  <si>
    <t>E04273</t>
  </si>
  <si>
    <t>$85,915.77</t>
  </si>
  <si>
    <t>E01344</t>
  </si>
  <si>
    <t>E02014</t>
  </si>
  <si>
    <t>E00274</t>
  </si>
  <si>
    <t>E00072</t>
  </si>
  <si>
    <t>E03888</t>
  </si>
  <si>
    <t>E01088</t>
  </si>
  <si>
    <t xml:space="preserve"> LEE</t>
  </si>
  <si>
    <t>E00395</t>
  </si>
  <si>
    <t>$109,631.14</t>
  </si>
  <si>
    <t>sofia.clark@northfield-hr.com</t>
  </si>
  <si>
    <t>E00584</t>
  </si>
  <si>
    <t>E01368</t>
  </si>
  <si>
    <t>$79,099</t>
  </si>
  <si>
    <t>E04089</t>
  </si>
  <si>
    <t xml:space="preserve">king  </t>
  </si>
  <si>
    <t>elizabeth.king@northfield-hr.com</t>
  </si>
  <si>
    <t>E02549</t>
  </si>
  <si>
    <t xml:space="preserve"> JOHNSON </t>
  </si>
  <si>
    <t>$86,493.93</t>
  </si>
  <si>
    <t>E01014</t>
  </si>
  <si>
    <t>E03004</t>
  </si>
  <si>
    <t>$64,597</t>
  </si>
  <si>
    <t>E04408</t>
  </si>
  <si>
    <t>E03533</t>
  </si>
  <si>
    <t>$145,192.95</t>
  </si>
  <si>
    <t>E01764</t>
  </si>
  <si>
    <t>E01876</t>
  </si>
  <si>
    <t>$59,475</t>
  </si>
  <si>
    <t>mateo.brown@northfield-hr.com</t>
  </si>
  <si>
    <t>E01260</t>
  </si>
  <si>
    <t>E04531</t>
  </si>
  <si>
    <t>$88,521</t>
  </si>
  <si>
    <t>E02782</t>
  </si>
  <si>
    <t>E03593</t>
  </si>
  <si>
    <t>$38,532.19</t>
  </si>
  <si>
    <t>E00527</t>
  </si>
  <si>
    <t>E04264</t>
  </si>
  <si>
    <t>E02947</t>
  </si>
  <si>
    <t>E00378</t>
  </si>
  <si>
    <t>$149,234</t>
  </si>
  <si>
    <t>E01560</t>
  </si>
  <si>
    <t>$111,532.96</t>
  </si>
  <si>
    <t>E03821</t>
  </si>
  <si>
    <t xml:space="preserve">PRIYA </t>
  </si>
  <si>
    <t>E01964</t>
  </si>
  <si>
    <t>$51,688</t>
  </si>
  <si>
    <t>E04618</t>
  </si>
  <si>
    <t>E00349</t>
  </si>
  <si>
    <t>aiko.harris@northfield-hr.com</t>
  </si>
  <si>
    <t>E02435</t>
  </si>
  <si>
    <t>$89,236.78</t>
  </si>
  <si>
    <t>E02247</t>
  </si>
  <si>
    <t>robert.nguyen@northfield-hr.com</t>
  </si>
  <si>
    <t>E04167</t>
  </si>
  <si>
    <t>E01710</t>
  </si>
  <si>
    <t>joseph.clark@northfield-hr.com</t>
  </si>
  <si>
    <t>E01051</t>
  </si>
  <si>
    <t>$60,262</t>
  </si>
  <si>
    <t>E00591</t>
  </si>
  <si>
    <t>$63,298.03</t>
  </si>
  <si>
    <t>E00520</t>
  </si>
  <si>
    <t>$59,550.43</t>
  </si>
  <si>
    <t>E04309</t>
  </si>
  <si>
    <t xml:space="preserve">mateo </t>
  </si>
  <si>
    <t>$108,707.34</t>
  </si>
  <si>
    <t>E02478</t>
  </si>
  <si>
    <t>E01084</t>
  </si>
  <si>
    <t>E03589</t>
  </si>
  <si>
    <t>$104,021.79</t>
  </si>
  <si>
    <t>E04510</t>
  </si>
  <si>
    <t>$82,004</t>
  </si>
  <si>
    <t>elizabeth.walker@northfield-hr.com</t>
  </si>
  <si>
    <t>E01295</t>
  </si>
  <si>
    <t>noah.torres@northfield-hr.com</t>
  </si>
  <si>
    <t>E01810</t>
  </si>
  <si>
    <t>E00792</t>
  </si>
  <si>
    <t>E00793</t>
  </si>
  <si>
    <t>$78,607</t>
  </si>
  <si>
    <t>E04115</t>
  </si>
  <si>
    <t>E01856</t>
  </si>
  <si>
    <t>michael.lewis@northfield-hr.com</t>
  </si>
  <si>
    <t>E01981</t>
  </si>
  <si>
    <t>william.miller@northfield-hr.com</t>
  </si>
  <si>
    <t>E03234</t>
  </si>
  <si>
    <t>E03909</t>
  </si>
  <si>
    <t>$77,009.97</t>
  </si>
  <si>
    <t>E01800</t>
  </si>
  <si>
    <t>$60,073</t>
  </si>
  <si>
    <t>ava.wilson@northfield-hr.com</t>
  </si>
  <si>
    <t>E03329</t>
  </si>
  <si>
    <t>$46,899</t>
  </si>
  <si>
    <t>william.allen@northfield-hr.com</t>
  </si>
  <si>
    <t>E01531</t>
  </si>
  <si>
    <t>E01411</t>
  </si>
  <si>
    <t>E04295</t>
  </si>
  <si>
    <t>jessica.davis@northfield-hr.com</t>
  </si>
  <si>
    <t xml:space="preserve"> wilson </t>
  </si>
  <si>
    <t>E00084</t>
  </si>
  <si>
    <t>$57,551.30</t>
  </si>
  <si>
    <t>E00869</t>
  </si>
  <si>
    <t>E02351</t>
  </si>
  <si>
    <t>E00021</t>
  </si>
  <si>
    <t>E03425</t>
  </si>
  <si>
    <t>E02796</t>
  </si>
  <si>
    <t>$47,118.27</t>
  </si>
  <si>
    <t>E04573</t>
  </si>
  <si>
    <t>E01563</t>
  </si>
  <si>
    <t>E03094</t>
  </si>
  <si>
    <t>$42,160.44</t>
  </si>
  <si>
    <t>E03156</t>
  </si>
  <si>
    <t>E00974</t>
  </si>
  <si>
    <t>E01711</t>
  </si>
  <si>
    <t>$104,893.13</t>
  </si>
  <si>
    <t>E04372</t>
  </si>
  <si>
    <t>E01099</t>
  </si>
  <si>
    <t>E04162</t>
  </si>
  <si>
    <t>E02845</t>
  </si>
  <si>
    <t>$74,849</t>
  </si>
  <si>
    <t>E00887</t>
  </si>
  <si>
    <t xml:space="preserve">Lewis  </t>
  </si>
  <si>
    <t>thomas.lewis@northfield-hr.com</t>
  </si>
  <si>
    <t>E03595</t>
  </si>
  <si>
    <t>amara.robinson@northfield-hr.com</t>
  </si>
  <si>
    <t>E03679</t>
  </si>
  <si>
    <t>E04581</t>
  </si>
  <si>
    <t>E03567</t>
  </si>
  <si>
    <t>E04402</t>
  </si>
  <si>
    <t>E00516</t>
  </si>
  <si>
    <t>E04621</t>
  </si>
  <si>
    <t>$66,303.46</t>
  </si>
  <si>
    <t>E00738</t>
  </si>
  <si>
    <t>E01454</t>
  </si>
  <si>
    <t>$123,158.15</t>
  </si>
  <si>
    <t>E03972</t>
  </si>
  <si>
    <t>E02507</t>
  </si>
  <si>
    <t>E02995</t>
  </si>
  <si>
    <t>$60,535.52</t>
  </si>
  <si>
    <t>E02127</t>
  </si>
  <si>
    <t>$144,889</t>
  </si>
  <si>
    <t>E02927</t>
  </si>
  <si>
    <t>E03664</t>
  </si>
  <si>
    <t>E03648</t>
  </si>
  <si>
    <t>E01031</t>
  </si>
  <si>
    <t>E02508</t>
  </si>
  <si>
    <t>E02429</t>
  </si>
  <si>
    <t>$52,734</t>
  </si>
  <si>
    <t>E00948</t>
  </si>
  <si>
    <t>$80,179</t>
  </si>
  <si>
    <t>E03807</t>
  </si>
  <si>
    <t>$56,965</t>
  </si>
  <si>
    <t>E00716</t>
  </si>
  <si>
    <t>E04056</t>
  </si>
  <si>
    <t>james.gonzalez@northfield-hr.com</t>
  </si>
  <si>
    <t>E00687</t>
  </si>
  <si>
    <t>E00704</t>
  </si>
  <si>
    <t>$80,826</t>
  </si>
  <si>
    <t>E03342</t>
  </si>
  <si>
    <t>$61,847.02</t>
  </si>
  <si>
    <t>E02354</t>
  </si>
  <si>
    <t>$69,423.42</t>
  </si>
  <si>
    <t>susan.rodriguez@northfield-hr.com</t>
  </si>
  <si>
    <t>E02258</t>
  </si>
  <si>
    <t>$69,200.81</t>
  </si>
  <si>
    <t>E03552</t>
  </si>
  <si>
    <t xml:space="preserve">ROBERT </t>
  </si>
  <si>
    <t>E00474</t>
  </si>
  <si>
    <t>$59,701.14</t>
  </si>
  <si>
    <t>priya.brown@northfield-hr.com</t>
  </si>
  <si>
    <t>E00022</t>
  </si>
  <si>
    <t>E02753</t>
  </si>
  <si>
    <t>$106,224.82</t>
  </si>
  <si>
    <t>E00886</t>
  </si>
  <si>
    <t>$58,202</t>
  </si>
  <si>
    <t>E02449</t>
  </si>
  <si>
    <t xml:space="preserve"> finance</t>
  </si>
  <si>
    <t>patricia.hernandez@northfield-hr.com</t>
  </si>
  <si>
    <t>E00918</t>
  </si>
  <si>
    <t>$49,642.46</t>
  </si>
  <si>
    <t>E03758</t>
  </si>
  <si>
    <t>E03752</t>
  </si>
  <si>
    <t>$93,516.11</t>
  </si>
  <si>
    <t>E02240</t>
  </si>
  <si>
    <t xml:space="preserve">  specialist</t>
  </si>
  <si>
    <t>$84,402</t>
  </si>
  <si>
    <t>E03845</t>
  </si>
  <si>
    <t>E03396</t>
  </si>
  <si>
    <t>john.nguyen@northfield-hr.com</t>
  </si>
  <si>
    <t>E01266</t>
  </si>
  <si>
    <t>$44,836.87</t>
  </si>
  <si>
    <t>E04338</t>
  </si>
  <si>
    <t>$37,348</t>
  </si>
  <si>
    <t>E02964</t>
  </si>
  <si>
    <t>james.thompson@northfield-hr.com</t>
  </si>
  <si>
    <t>E01220</t>
  </si>
  <si>
    <t>$67,747.13</t>
  </si>
  <si>
    <t>E00278</t>
  </si>
  <si>
    <t>E00989</t>
  </si>
  <si>
    <t>E02085</t>
  </si>
  <si>
    <t>$65,705.63</t>
  </si>
  <si>
    <t>E01246</t>
  </si>
  <si>
    <t>$49,545</t>
  </si>
  <si>
    <t>E02383</t>
  </si>
  <si>
    <t>$47,863.18</t>
  </si>
  <si>
    <t>E00572</t>
  </si>
  <si>
    <t>$37,939</t>
  </si>
  <si>
    <t>E01436</t>
  </si>
  <si>
    <t>$81,141</t>
  </si>
  <si>
    <t>elizabeth.scott@northfield-hr.com</t>
  </si>
  <si>
    <t>E00994</t>
  </si>
  <si>
    <t>E03931</t>
  </si>
  <si>
    <t xml:space="preserve">  wright</t>
  </si>
  <si>
    <t>$70,908.03</t>
  </si>
  <si>
    <t>E03448</t>
  </si>
  <si>
    <t>$55,188.66</t>
  </si>
  <si>
    <t>E00586</t>
  </si>
  <si>
    <t>richard.moore@northfield-hr.com</t>
  </si>
  <si>
    <t>E03659</t>
  </si>
  <si>
    <t>E02515</t>
  </si>
  <si>
    <t>E01350</t>
  </si>
  <si>
    <t>E01008</t>
  </si>
  <si>
    <t>E00675</t>
  </si>
  <si>
    <t>E02413</t>
  </si>
  <si>
    <t>E02904</t>
  </si>
  <si>
    <t xml:space="preserve">wei </t>
  </si>
  <si>
    <t>E00448</t>
  </si>
  <si>
    <t>jennifer.williams@northfield-hr.com</t>
  </si>
  <si>
    <t>E03835</t>
  </si>
  <si>
    <t>E03759</t>
  </si>
  <si>
    <t>yuki.king@northfield-hr.com</t>
  </si>
  <si>
    <t>E03704</t>
  </si>
  <si>
    <t>E00360</t>
  </si>
  <si>
    <t>E02065</t>
  </si>
  <si>
    <t>emma.lee@northfield-hr.com</t>
  </si>
  <si>
    <t>E04450</t>
  </si>
  <si>
    <t>$73,918.46</t>
  </si>
  <si>
    <t>E03811</t>
  </si>
  <si>
    <t>E01691</t>
  </si>
  <si>
    <t>$73,207.96</t>
  </si>
  <si>
    <t>mohammed.hill@northfield-hr.com</t>
  </si>
  <si>
    <t>E04327</t>
  </si>
  <si>
    <t>$54,341.47</t>
  </si>
  <si>
    <t>E01549</t>
  </si>
  <si>
    <t>$70,525.30</t>
  </si>
  <si>
    <t>E01248</t>
  </si>
  <si>
    <t>$54,778</t>
  </si>
  <si>
    <t>E01986</t>
  </si>
  <si>
    <t>E00295</t>
  </si>
  <si>
    <t xml:space="preserve">hernandez </t>
  </si>
  <si>
    <t>$86,113.97</t>
  </si>
  <si>
    <t>E01548</t>
  </si>
  <si>
    <t>E02013</t>
  </si>
  <si>
    <t>$78,778</t>
  </si>
  <si>
    <t>E00589</t>
  </si>
  <si>
    <t>$118,012.91</t>
  </si>
  <si>
    <t>charles.brown@northfield-hr.com</t>
  </si>
  <si>
    <t>E03330</t>
  </si>
  <si>
    <t>mary.lee@northfield-hr.com</t>
  </si>
  <si>
    <t>E02404</t>
  </si>
  <si>
    <t>E02130</t>
  </si>
  <si>
    <t>E04389</t>
  </si>
  <si>
    <t>$68,272</t>
  </si>
  <si>
    <t>E02411</t>
  </si>
  <si>
    <t>E02720</t>
  </si>
  <si>
    <t>E00426</t>
  </si>
  <si>
    <t>E02583</t>
  </si>
  <si>
    <t>$135,499</t>
  </si>
  <si>
    <t>E01055</t>
  </si>
  <si>
    <t>E03967</t>
  </si>
  <si>
    <t>$86,967.68</t>
  </si>
  <si>
    <t>E04563</t>
  </si>
  <si>
    <t>$52,002.68</t>
  </si>
  <si>
    <t>E00557</t>
  </si>
  <si>
    <t>E04359</t>
  </si>
  <si>
    <t>E03939</t>
  </si>
  <si>
    <t>E02470</t>
  </si>
  <si>
    <t>$118,917.27</t>
  </si>
  <si>
    <t>E04346</t>
  </si>
  <si>
    <t>E00356</t>
  </si>
  <si>
    <t>E01194</t>
  </si>
  <si>
    <t>E01717</t>
  </si>
  <si>
    <t>$60,944</t>
  </si>
  <si>
    <t>E03417</t>
  </si>
  <si>
    <t>E02605</t>
  </si>
  <si>
    <t>$96,383</t>
  </si>
  <si>
    <t>E04130</t>
  </si>
  <si>
    <t>E02829</t>
  </si>
  <si>
    <t>E01705</t>
  </si>
  <si>
    <t>E02864</t>
  </si>
  <si>
    <t>$54,587</t>
  </si>
  <si>
    <t>E02619</t>
  </si>
  <si>
    <t>$57,820.23</t>
  </si>
  <si>
    <t>E02401</t>
  </si>
  <si>
    <t>E03240</t>
  </si>
  <si>
    <t>$40,003</t>
  </si>
  <si>
    <t>E02384</t>
  </si>
  <si>
    <t>$63,556</t>
  </si>
  <si>
    <t>E03219</t>
  </si>
  <si>
    <t>E03936</t>
  </si>
  <si>
    <t>E01286</t>
  </si>
  <si>
    <t>E03797</t>
  </si>
  <si>
    <t>$67,648.33</t>
  </si>
  <si>
    <t>$99,898.34</t>
  </si>
  <si>
    <t>E04469</t>
  </si>
  <si>
    <t>E02088</t>
  </si>
  <si>
    <t>E01890</t>
  </si>
  <si>
    <t>E04623</t>
  </si>
  <si>
    <t>E01592</t>
  </si>
  <si>
    <t>$46,497</t>
  </si>
  <si>
    <t>karen.williams@northfield-hr.com</t>
  </si>
  <si>
    <t>E01347</t>
  </si>
  <si>
    <t>E04432</t>
  </si>
  <si>
    <t>E02163</t>
  </si>
  <si>
    <t xml:space="preserve"> clark</t>
  </si>
  <si>
    <t>$119,722</t>
  </si>
  <si>
    <t>E02397</t>
  </si>
  <si>
    <t>E02272</t>
  </si>
  <si>
    <t>E04491</t>
  </si>
  <si>
    <t>E03112</t>
  </si>
  <si>
    <t>$55,411</t>
  </si>
  <si>
    <t>ingrid.nguyen@northfield-hr.com</t>
  </si>
  <si>
    <t>E01138</t>
  </si>
  <si>
    <t xml:space="preserve">  MANAGER </t>
  </si>
  <si>
    <t>E03896</t>
  </si>
  <si>
    <t>$56,309</t>
  </si>
  <si>
    <t>E00973</t>
  </si>
  <si>
    <t>E00796</t>
  </si>
  <si>
    <t>E03021</t>
  </si>
  <si>
    <t>$71,360</t>
  </si>
  <si>
    <t>E01712</t>
  </si>
  <si>
    <t>noah.anderson@northfield-hr.com</t>
  </si>
  <si>
    <t>E03388</t>
  </si>
  <si>
    <t>$80,460</t>
  </si>
  <si>
    <t>E00037</t>
  </si>
  <si>
    <t>$64,813.70</t>
  </si>
  <si>
    <t>E00454</t>
  </si>
  <si>
    <t>E00914</t>
  </si>
  <si>
    <t>$49,289.48</t>
  </si>
  <si>
    <t>yuki.robinson@northfield-hr.com</t>
  </si>
  <si>
    <t>E04082</t>
  </si>
  <si>
    <t>E01200</t>
  </si>
  <si>
    <t>E01275</t>
  </si>
  <si>
    <t>$65,876</t>
  </si>
  <si>
    <t>E02376</t>
  </si>
  <si>
    <t xml:space="preserve"> RAMIREZ</t>
  </si>
  <si>
    <t>$93,051</t>
  </si>
  <si>
    <t>E00038</t>
  </si>
  <si>
    <t>mateo.hernandez@northfield-hr.com</t>
  </si>
  <si>
    <t>E00975</t>
  </si>
  <si>
    <t>$60,227.14</t>
  </si>
  <si>
    <t>E03196</t>
  </si>
  <si>
    <t>$51,179</t>
  </si>
  <si>
    <t>E03905</t>
  </si>
  <si>
    <t>E04070</t>
  </si>
  <si>
    <t>$82,274</t>
  </si>
  <si>
    <t>E01419</t>
  </si>
  <si>
    <t>$60,727.84</t>
  </si>
  <si>
    <t>E03333</t>
  </si>
  <si>
    <t>E01561</t>
  </si>
  <si>
    <t>E00040</t>
  </si>
  <si>
    <t>$83,911</t>
  </si>
  <si>
    <t>$57,885</t>
  </si>
  <si>
    <t>E03884</t>
  </si>
  <si>
    <t>$49,283</t>
  </si>
  <si>
    <t>michael.clark@northfield-hr.com</t>
  </si>
  <si>
    <t>E00170</t>
  </si>
  <si>
    <t>$92,198</t>
  </si>
  <si>
    <t>E01356</t>
  </si>
  <si>
    <t>$47,661</t>
  </si>
  <si>
    <t>E03633</t>
  </si>
  <si>
    <t>$134,893</t>
  </si>
  <si>
    <t>E04005</t>
  </si>
  <si>
    <t>E02683</t>
  </si>
  <si>
    <t>E04026</t>
  </si>
  <si>
    <t>E01641</t>
  </si>
  <si>
    <t>E01291</t>
  </si>
  <si>
    <t>$49,429</t>
  </si>
  <si>
    <t>E01381</t>
  </si>
  <si>
    <t>$84,816.76</t>
  </si>
  <si>
    <t>E01934</t>
  </si>
  <si>
    <t>E00580</t>
  </si>
  <si>
    <t>E04221</t>
  </si>
  <si>
    <t>william.walker@northfield-hr.com</t>
  </si>
  <si>
    <t>E03161</t>
  </si>
  <si>
    <t>$64,272</t>
  </si>
  <si>
    <t>E02031</t>
  </si>
  <si>
    <t>$107,483.19</t>
  </si>
  <si>
    <t>E00893</t>
  </si>
  <si>
    <t>E03952</t>
  </si>
  <si>
    <t>E00781</t>
  </si>
  <si>
    <t>E00160</t>
  </si>
  <si>
    <t>E00003</t>
  </si>
  <si>
    <t>E02264</t>
  </si>
  <si>
    <t>$43,826.25</t>
  </si>
  <si>
    <t>E03217</t>
  </si>
  <si>
    <t>E02110</t>
  </si>
  <si>
    <t>E00850</t>
  </si>
  <si>
    <t>E02738</t>
  </si>
  <si>
    <t>$71,021.65</t>
  </si>
  <si>
    <t>E02467</t>
  </si>
  <si>
    <t>$88,024</t>
  </si>
  <si>
    <t>E03651</t>
  </si>
  <si>
    <t>E01597</t>
  </si>
  <si>
    <t>$51,085.39</t>
  </si>
  <si>
    <t>E01777</t>
  </si>
  <si>
    <t>$89,413.10</t>
  </si>
  <si>
    <t>E01914</t>
  </si>
  <si>
    <t>sarah.allen@northfield-hr.com</t>
  </si>
  <si>
    <t>E01044</t>
  </si>
  <si>
    <t xml:space="preserve">  Hiroshi</t>
  </si>
  <si>
    <t>hiroshi.lee@northfield-hr.com</t>
  </si>
  <si>
    <t>E01545</t>
  </si>
  <si>
    <t>$53,166</t>
  </si>
  <si>
    <t>E02737</t>
  </si>
  <si>
    <t>$60,536</t>
  </si>
  <si>
    <t>E03707</t>
  </si>
  <si>
    <t>$61,267</t>
  </si>
  <si>
    <t>E00054</t>
  </si>
  <si>
    <t>E01797</t>
  </si>
  <si>
    <t>E01912</t>
  </si>
  <si>
    <t>E02307</t>
  </si>
  <si>
    <t>$114,770</t>
  </si>
  <si>
    <t>E02554</t>
  </si>
  <si>
    <t>E02801</t>
  </si>
  <si>
    <t>$61,066.52</t>
  </si>
  <si>
    <t>E04087</t>
  </si>
  <si>
    <t>$87,296</t>
  </si>
  <si>
    <t>richard.scott@northfield-hr.com</t>
  </si>
  <si>
    <t>E04128</t>
  </si>
  <si>
    <t>E00825</t>
  </si>
  <si>
    <t>$79,113.09</t>
  </si>
  <si>
    <t>michael.king@northfield-hr.com</t>
  </si>
  <si>
    <t>E03179</t>
  </si>
  <si>
    <t>E01390</t>
  </si>
  <si>
    <t>$67,664</t>
  </si>
  <si>
    <t>E03565</t>
  </si>
  <si>
    <t xml:space="preserve"> NOAH</t>
  </si>
  <si>
    <t>E00885</t>
  </si>
  <si>
    <t>E03806</t>
  </si>
  <si>
    <t>E01608</t>
  </si>
  <si>
    <t>E01595</t>
  </si>
  <si>
    <t>$101,251</t>
  </si>
  <si>
    <t>E00772</t>
  </si>
  <si>
    <t xml:space="preserve">harris  </t>
  </si>
  <si>
    <t>E02612</t>
  </si>
  <si>
    <t>$56,957</t>
  </si>
  <si>
    <t>E04662</t>
  </si>
  <si>
    <t>E02274</t>
  </si>
  <si>
    <t>$48,904</t>
  </si>
  <si>
    <t>liam.garcia@northfield-hr.com</t>
  </si>
  <si>
    <t>E01869</t>
  </si>
  <si>
    <t>E01086</t>
  </si>
  <si>
    <t>E00011</t>
  </si>
  <si>
    <t>E03612</t>
  </si>
  <si>
    <t>$115,876.28</t>
  </si>
  <si>
    <t>E01326</t>
  </si>
  <si>
    <t>E03391</t>
  </si>
  <si>
    <t>E01464</t>
  </si>
  <si>
    <t>$98,822</t>
  </si>
  <si>
    <t>E00807</t>
  </si>
  <si>
    <t xml:space="preserve">michael </t>
  </si>
  <si>
    <t>E04261</t>
  </si>
  <si>
    <t>$40,038</t>
  </si>
  <si>
    <t>E03986</t>
  </si>
  <si>
    <t>E03772</t>
  </si>
  <si>
    <t>E02109</t>
  </si>
  <si>
    <t>$55,129.53</t>
  </si>
  <si>
    <t>emma.sanchez@northfield-hr.com</t>
  </si>
  <si>
    <t>E04236</t>
  </si>
  <si>
    <t>E02235</t>
  </si>
  <si>
    <t>sarah.hill@northfield-hr.com</t>
  </si>
  <si>
    <t>E03212</t>
  </si>
  <si>
    <t>E00964</t>
  </si>
  <si>
    <t>E03416</t>
  </si>
  <si>
    <t>$114,151.23</t>
  </si>
  <si>
    <t>E03754</t>
  </si>
  <si>
    <t>$47,162.65</t>
  </si>
  <si>
    <t>$84,731.02</t>
  </si>
  <si>
    <t>E02633</t>
  </si>
  <si>
    <t xml:space="preserve"> analyst </t>
  </si>
  <si>
    <t>E02997</t>
  </si>
  <si>
    <t>E00705</t>
  </si>
  <si>
    <t>$85,923.17</t>
  </si>
  <si>
    <t>E00432</t>
  </si>
  <si>
    <t>$55,403</t>
  </si>
  <si>
    <t>E00293</t>
  </si>
  <si>
    <t>jessica.thomas@northfield-hr.com</t>
  </si>
  <si>
    <t>$79,410.60</t>
  </si>
  <si>
    <t>E00146</t>
  </si>
  <si>
    <t>E04394</t>
  </si>
  <si>
    <t>E02034</t>
  </si>
  <si>
    <t>E04284</t>
  </si>
  <si>
    <t>E01166</t>
  </si>
  <si>
    <t>$83,001</t>
  </si>
  <si>
    <t>E03501</t>
  </si>
  <si>
    <t>$212,031.55</t>
  </si>
  <si>
    <t>E02051</t>
  </si>
  <si>
    <t>$42,239</t>
  </si>
  <si>
    <t>E02625</t>
  </si>
  <si>
    <t>E04379</t>
  </si>
  <si>
    <t>E00340</t>
  </si>
  <si>
    <t>E03880</t>
  </si>
  <si>
    <t>$54,044</t>
  </si>
  <si>
    <t>E04633</t>
  </si>
  <si>
    <t>$81,616</t>
  </si>
  <si>
    <t>E02974</t>
  </si>
  <si>
    <t>E00266</t>
  </si>
  <si>
    <t>$54,866.76</t>
  </si>
  <si>
    <t>elizabeth.lee@northfield-hr.com</t>
  </si>
  <si>
    <t>E02425</t>
  </si>
  <si>
    <t>E01263</t>
  </si>
  <si>
    <t>$53,258</t>
  </si>
  <si>
    <t>E01772</t>
  </si>
  <si>
    <t>E03512</t>
  </si>
  <si>
    <t>$121,725.31</t>
  </si>
  <si>
    <t>E00272</t>
  </si>
  <si>
    <t>$57,592</t>
  </si>
  <si>
    <t>E00697</t>
  </si>
  <si>
    <t>$96,717.21</t>
  </si>
  <si>
    <t>E00748</t>
  </si>
  <si>
    <t>$70,098</t>
  </si>
  <si>
    <t>E00245</t>
  </si>
  <si>
    <t>E00318</t>
  </si>
  <si>
    <t>E00477</t>
  </si>
  <si>
    <t>E02033</t>
  </si>
  <si>
    <t>E00958</t>
  </si>
  <si>
    <t>E03817</t>
  </si>
  <si>
    <t>E00814</t>
  </si>
  <si>
    <t>E04533</t>
  </si>
  <si>
    <t>$-67,373.05</t>
  </si>
  <si>
    <t>E01915</t>
  </si>
  <si>
    <t>E04603</t>
  </si>
  <si>
    <t>$143,377</t>
  </si>
  <si>
    <t>E03488</t>
  </si>
  <si>
    <t>$86,419</t>
  </si>
  <si>
    <t>E01298</t>
  </si>
  <si>
    <t>$59,587</t>
  </si>
  <si>
    <t>E04031</t>
  </si>
  <si>
    <t xml:space="preserve">adams  </t>
  </si>
  <si>
    <t>$91,968</t>
  </si>
  <si>
    <t>E01805</t>
  </si>
  <si>
    <t>$75,822.88</t>
  </si>
  <si>
    <t>E00759</t>
  </si>
  <si>
    <t>$95,291.46</t>
  </si>
  <si>
    <t>E00251</t>
  </si>
  <si>
    <t>$132,650.63</t>
  </si>
  <si>
    <t>E02462</t>
  </si>
  <si>
    <t>wei.wright@northfield-hr.com</t>
  </si>
  <si>
    <t>E00546</t>
  </si>
  <si>
    <t>E03242</t>
  </si>
  <si>
    <t>$78,975</t>
  </si>
  <si>
    <t>E00311</t>
  </si>
  <si>
    <t xml:space="preserve"> Legal </t>
  </si>
  <si>
    <t>$147,540</t>
  </si>
  <si>
    <t>E03781</t>
  </si>
  <si>
    <t>$55,275</t>
  </si>
  <si>
    <t>E02942</t>
  </si>
  <si>
    <t>$92,944</t>
  </si>
  <si>
    <t>E01132</t>
  </si>
  <si>
    <t>$86,151</t>
  </si>
  <si>
    <t>E01450</t>
  </si>
  <si>
    <t>$57,154.75</t>
  </si>
  <si>
    <t>$111,883</t>
  </si>
  <si>
    <t>E00016</t>
  </si>
  <si>
    <t>E03233</t>
  </si>
  <si>
    <t>E02770</t>
  </si>
  <si>
    <t>$72,653.28</t>
  </si>
  <si>
    <t>E03469</t>
  </si>
  <si>
    <t>$58,798.71</t>
  </si>
  <si>
    <t>E00921</t>
  </si>
  <si>
    <t>E03030</t>
  </si>
  <si>
    <t>E01373</t>
  </si>
  <si>
    <t>E03588</t>
  </si>
  <si>
    <t>E02545</t>
  </si>
  <si>
    <t>$81,296</t>
  </si>
  <si>
    <t>E03599</t>
  </si>
  <si>
    <t>E00039</t>
  </si>
  <si>
    <t>E00364</t>
  </si>
  <si>
    <t xml:space="preserve">  THOMAS </t>
  </si>
  <si>
    <t>E04102</t>
  </si>
  <si>
    <t>E00183</t>
  </si>
  <si>
    <t>E03034</t>
  </si>
  <si>
    <t>E02984</t>
  </si>
  <si>
    <t>E01195</t>
  </si>
  <si>
    <t>$157,468.73</t>
  </si>
  <si>
    <t>E02853</t>
  </si>
  <si>
    <t>E04543</t>
  </si>
  <si>
    <t>chidi.white@northfield-hr.com</t>
  </si>
  <si>
    <t>E02236</t>
  </si>
  <si>
    <t>lucas.martin@northfield-hr.com</t>
  </si>
  <si>
    <t>E02668</t>
  </si>
  <si>
    <t>E03700</t>
  </si>
  <si>
    <t>E03224</t>
  </si>
  <si>
    <t>$110,580.79</t>
  </si>
  <si>
    <t>E01183</t>
  </si>
  <si>
    <t>E04185</t>
  </si>
  <si>
    <t>$-79,334.04</t>
  </si>
  <si>
    <t>E04294</t>
  </si>
  <si>
    <t>E00615</t>
  </si>
  <si>
    <t>E00596</t>
  </si>
  <si>
    <t>$90,002</t>
  </si>
  <si>
    <t>E01467</t>
  </si>
  <si>
    <t xml:space="preserve"> EMMA </t>
  </si>
  <si>
    <t>E00402</t>
  </si>
  <si>
    <t>$111,350</t>
  </si>
  <si>
    <t>$71,452</t>
  </si>
  <si>
    <t>E00935</t>
  </si>
  <si>
    <t>E02420</t>
  </si>
  <si>
    <t>$67,395</t>
  </si>
  <si>
    <t>E02642</t>
  </si>
  <si>
    <t xml:space="preserve">WALKER  </t>
  </si>
  <si>
    <t>$54,540.44</t>
  </si>
  <si>
    <t>E04018</t>
  </si>
  <si>
    <t>E00727</t>
  </si>
  <si>
    <t>$79,502</t>
  </si>
  <si>
    <t>E00827</t>
  </si>
  <si>
    <t>$129,381</t>
  </si>
  <si>
    <t>E01522</t>
  </si>
  <si>
    <t>$45,748</t>
  </si>
  <si>
    <t>liam.lee@northfield-hr.com</t>
  </si>
  <si>
    <t>E02931</t>
  </si>
  <si>
    <t>$51,015.52</t>
  </si>
  <si>
    <t>E03591</t>
  </si>
  <si>
    <t>$78,424.40</t>
  </si>
  <si>
    <t>E00629</t>
  </si>
  <si>
    <t>E00335</t>
  </si>
  <si>
    <t>$55,312</t>
  </si>
  <si>
    <t>E00391</t>
  </si>
  <si>
    <t>$56,593</t>
  </si>
  <si>
    <t>E04388</t>
  </si>
  <si>
    <t>$86,947.12</t>
  </si>
  <si>
    <t>robert.moore@northfield-hr.com</t>
  </si>
  <si>
    <t>$-53,627.23</t>
  </si>
  <si>
    <t>E03833</t>
  </si>
  <si>
    <t>E01818</t>
  </si>
  <si>
    <t xml:space="preserve"> YUKI </t>
  </si>
  <si>
    <t>E00401</t>
  </si>
  <si>
    <t xml:space="preserve">  manager</t>
  </si>
  <si>
    <t>$67,084</t>
  </si>
  <si>
    <t>E00711</t>
  </si>
  <si>
    <t>elizabeth.smith@northfield-hr.com</t>
  </si>
  <si>
    <t>E01040</t>
  </si>
  <si>
    <t>thomas.martin@northfield-hr.com</t>
  </si>
  <si>
    <t>E03990</t>
  </si>
  <si>
    <t>E03360</t>
  </si>
  <si>
    <t>E00047</t>
  </si>
  <si>
    <t>E01562</t>
  </si>
  <si>
    <t>E03052</t>
  </si>
  <si>
    <t>E03643</t>
  </si>
  <si>
    <t>$90,088</t>
  </si>
  <si>
    <t>E03727</t>
  </si>
  <si>
    <t>$92,774</t>
  </si>
  <si>
    <t>$80,749</t>
  </si>
  <si>
    <t>E02514</t>
  </si>
  <si>
    <t>$48,349.23</t>
  </si>
  <si>
    <t>E03609</t>
  </si>
  <si>
    <t>$52,636.04</t>
  </si>
  <si>
    <t>E01224</t>
  </si>
  <si>
    <t>$161,207</t>
  </si>
  <si>
    <t>E04061</t>
  </si>
  <si>
    <t>E03024</t>
  </si>
  <si>
    <t>$80,612.75</t>
  </si>
  <si>
    <t>E02422</t>
  </si>
  <si>
    <t>E01509</t>
  </si>
  <si>
    <t xml:space="preserve">CARLOS </t>
  </si>
  <si>
    <t>carlos.davis@northfield-hr.com</t>
  </si>
  <si>
    <t>E01751</t>
  </si>
  <si>
    <t>E04097</t>
  </si>
  <si>
    <t>E00339</t>
  </si>
  <si>
    <t>$43,735</t>
  </si>
  <si>
    <t>E00216</t>
  </si>
  <si>
    <t>aiko.martinez@northfield-hr.com</t>
  </si>
  <si>
    <t>E00012</t>
  </si>
  <si>
    <t>$58,816.03</t>
  </si>
  <si>
    <t>E01521</t>
  </si>
  <si>
    <t>E03641</t>
  </si>
  <si>
    <t>$81,606.26</t>
  </si>
  <si>
    <t>E03938</t>
  </si>
  <si>
    <t>$93,784</t>
  </si>
  <si>
    <t>E04428</t>
  </si>
  <si>
    <t>E03005</t>
  </si>
  <si>
    <t>$65,472</t>
  </si>
  <si>
    <t>E02865</t>
  </si>
  <si>
    <t>lucas.nguyen@northfield-hr.com</t>
  </si>
  <si>
    <t>E03116</t>
  </si>
  <si>
    <t>E02323</t>
  </si>
  <si>
    <t>E02572</t>
  </si>
  <si>
    <t>E02914</t>
  </si>
  <si>
    <t>E00102</t>
  </si>
  <si>
    <t>$56,722.82</t>
  </si>
  <si>
    <t>E03550</t>
  </si>
  <si>
    <t>$126,917.87</t>
  </si>
  <si>
    <t>E01459</t>
  </si>
  <si>
    <t>E00172</t>
  </si>
  <si>
    <t>noah.jones@northfield-hr.com</t>
  </si>
  <si>
    <t>E00108</t>
  </si>
  <si>
    <t>E04197</t>
  </si>
  <si>
    <t>E03570</t>
  </si>
  <si>
    <t>$84,474</t>
  </si>
  <si>
    <t>$40,911</t>
  </si>
  <si>
    <t>E04296</t>
  </si>
  <si>
    <t>$58,052.08</t>
  </si>
  <si>
    <t>E04064</t>
  </si>
  <si>
    <t>E03862</t>
  </si>
  <si>
    <t>$90,430</t>
  </si>
  <si>
    <t>E04123</t>
  </si>
  <si>
    <t>E00061</t>
  </si>
  <si>
    <t>E01241</t>
  </si>
  <si>
    <t>E04638</t>
  </si>
  <si>
    <t>E01041</t>
  </si>
  <si>
    <t xml:space="preserve">  William</t>
  </si>
  <si>
    <t>E04188</t>
  </si>
  <si>
    <t>$88,673</t>
  </si>
  <si>
    <t>E02761</t>
  </si>
  <si>
    <t>james.jackson@northfield-hr.com</t>
  </si>
  <si>
    <t>E02121</t>
  </si>
  <si>
    <t>$72,049</t>
  </si>
  <si>
    <t>E03522</t>
  </si>
  <si>
    <t>$167,453.50</t>
  </si>
  <si>
    <t>E00154</t>
  </si>
  <si>
    <t>E02249</t>
  </si>
  <si>
    <t>E00482</t>
  </si>
  <si>
    <t>$81,867</t>
  </si>
  <si>
    <t>E04234</t>
  </si>
  <si>
    <t>$55,245</t>
  </si>
  <si>
    <t>E04306</t>
  </si>
  <si>
    <t>$39,301.72</t>
  </si>
  <si>
    <t>E03579</t>
  </si>
  <si>
    <t xml:space="preserve"> OLGA </t>
  </si>
  <si>
    <t>E04126</t>
  </si>
  <si>
    <t>E03563</t>
  </si>
  <si>
    <t>$61,791.49</t>
  </si>
  <si>
    <t>E03316</t>
  </si>
  <si>
    <t>E01763</t>
  </si>
  <si>
    <t>$49,770.48</t>
  </si>
  <si>
    <t>emma.taylor@northfield-hr.com</t>
  </si>
  <si>
    <t>E03539</t>
  </si>
  <si>
    <t>E00751</t>
  </si>
  <si>
    <t>$62,143</t>
  </si>
  <si>
    <t>E03620</t>
  </si>
  <si>
    <t>E01786</t>
  </si>
  <si>
    <t>E04271</t>
  </si>
  <si>
    <t>E03384</t>
  </si>
  <si>
    <t>$94,546</t>
  </si>
  <si>
    <t>yuki.wright@northfield-hr.com</t>
  </si>
  <si>
    <t>E04349</t>
  </si>
  <si>
    <t xml:space="preserve">Richard  </t>
  </si>
  <si>
    <t>richard.thompson@northfield-hr.com</t>
  </si>
  <si>
    <t>E00406</t>
  </si>
  <si>
    <t>E00758</t>
  </si>
  <si>
    <t>E02712</t>
  </si>
  <si>
    <t>carlos.smith@northfield-hr.com</t>
  </si>
  <si>
    <t>E02671</t>
  </si>
  <si>
    <t xml:space="preserve"> RODRIGUEZ </t>
  </si>
  <si>
    <t>$51,096</t>
  </si>
  <si>
    <t>E03984</t>
  </si>
  <si>
    <t>$65,919</t>
  </si>
  <si>
    <t>E00098</t>
  </si>
  <si>
    <t>E01334</t>
  </si>
  <si>
    <t xml:space="preserve"> specialist </t>
  </si>
  <si>
    <t>$83,292.61</t>
  </si>
  <si>
    <t>E04452</t>
  </si>
  <si>
    <t xml:space="preserve"> RICHARD</t>
  </si>
  <si>
    <t xml:space="preserve"> moore </t>
  </si>
  <si>
    <t>$47,937.26</t>
  </si>
  <si>
    <t>E02792</t>
  </si>
  <si>
    <t xml:space="preserve">Torres  </t>
  </si>
  <si>
    <t>$101,833</t>
  </si>
  <si>
    <t>E02855</t>
  </si>
  <si>
    <t>$58,163.66</t>
  </si>
  <si>
    <t>E00187</t>
  </si>
  <si>
    <t>E02724</t>
  </si>
  <si>
    <t>$78,676.00</t>
  </si>
  <si>
    <t>E03584</t>
  </si>
  <si>
    <t>$80,858.54</t>
  </si>
  <si>
    <t>E02059</t>
  </si>
  <si>
    <t>E01320</t>
  </si>
  <si>
    <t xml:space="preserve"> HILL </t>
  </si>
  <si>
    <t>E00149</t>
  </si>
  <si>
    <t>E00029</t>
  </si>
  <si>
    <t>E04141</t>
  </si>
  <si>
    <t>E04010</t>
  </si>
  <si>
    <t>$65,268</t>
  </si>
  <si>
    <t>E03364</t>
  </si>
  <si>
    <t>E00693</t>
  </si>
  <si>
    <t>E02867</t>
  </si>
  <si>
    <t>$96,553</t>
  </si>
  <si>
    <t>E03777</t>
  </si>
  <si>
    <t>E01387</t>
  </si>
  <si>
    <t>E01846</t>
  </si>
  <si>
    <t>E01600</t>
  </si>
  <si>
    <t>$82,953</t>
  </si>
  <si>
    <t>E03630</t>
  </si>
  <si>
    <t>$72,923</t>
  </si>
  <si>
    <t>E04504</t>
  </si>
  <si>
    <t>$108,708.96</t>
  </si>
  <si>
    <t>E00702</t>
  </si>
  <si>
    <t>$71,275</t>
  </si>
  <si>
    <t>E03983</t>
  </si>
  <si>
    <t>E03029</t>
  </si>
  <si>
    <t>ava.allen@northfield-hr.com</t>
  </si>
  <si>
    <t>E02970</t>
  </si>
  <si>
    <t>E04357</t>
  </si>
  <si>
    <t>$47,322.99</t>
  </si>
  <si>
    <t>E01709</t>
  </si>
  <si>
    <t>E02954</t>
  </si>
  <si>
    <t>$101,450.07</t>
  </si>
  <si>
    <t>E00455</t>
  </si>
  <si>
    <t>$73,453.61</t>
  </si>
  <si>
    <t>E02041</t>
  </si>
  <si>
    <t xml:space="preserve">Young  </t>
  </si>
  <si>
    <t>$165,484.13</t>
  </si>
  <si>
    <t>E01773</t>
  </si>
  <si>
    <t>$137,099.78</t>
  </si>
  <si>
    <t>E02316</t>
  </si>
  <si>
    <t>E00610</t>
  </si>
  <si>
    <t>E00168</t>
  </si>
  <si>
    <t>$119,120.06</t>
  </si>
  <si>
    <t>E00731</t>
  </si>
  <si>
    <t>E04249</t>
  </si>
  <si>
    <t>$107,307.90</t>
  </si>
  <si>
    <t>E03359</t>
  </si>
  <si>
    <t>E02075</t>
  </si>
  <si>
    <t>$81,978.89</t>
  </si>
  <si>
    <t>E04040</t>
  </si>
  <si>
    <t>$77,565.82</t>
  </si>
  <si>
    <t>E03701</t>
  </si>
  <si>
    <t>E01623</t>
  </si>
  <si>
    <t>$88,016.20</t>
  </si>
  <si>
    <t>E00588</t>
  </si>
  <si>
    <t>E01402</t>
  </si>
  <si>
    <t>E03225</t>
  </si>
  <si>
    <t>E01701</t>
  </si>
  <si>
    <t>E03089</t>
  </si>
  <si>
    <t>E04391</t>
  </si>
  <si>
    <t>E02982</t>
  </si>
  <si>
    <t>E00041</t>
  </si>
  <si>
    <t>E01380</t>
  </si>
  <si>
    <t>$61,849</t>
  </si>
  <si>
    <t>E02090</t>
  </si>
  <si>
    <t>$97,331</t>
  </si>
  <si>
    <t>E02176</t>
  </si>
  <si>
    <t>E03218</t>
  </si>
  <si>
    <t>$48,519</t>
  </si>
  <si>
    <t>E02886</t>
  </si>
  <si>
    <t>E00075</t>
  </si>
  <si>
    <t>E03910</t>
  </si>
  <si>
    <t>$94,000</t>
  </si>
  <si>
    <t>karen.thompson@northfield-hr.com</t>
  </si>
  <si>
    <t>E03181</t>
  </si>
  <si>
    <t>E02077</t>
  </si>
  <si>
    <t>E00442</t>
  </si>
  <si>
    <t>$53,087</t>
  </si>
  <si>
    <t>E04052</t>
  </si>
  <si>
    <t>$36,924</t>
  </si>
  <si>
    <t>E02052</t>
  </si>
  <si>
    <t>E02542</t>
  </si>
  <si>
    <t>$187,458</t>
  </si>
  <si>
    <t>E03307</t>
  </si>
  <si>
    <t>E01302</t>
  </si>
  <si>
    <t>E01782</t>
  </si>
  <si>
    <t>E03431</t>
  </si>
  <si>
    <t>$67,476.69</t>
  </si>
  <si>
    <t>E01305</t>
  </si>
  <si>
    <t>$77,435</t>
  </si>
  <si>
    <t>carlos.williams@northfield-hr.com</t>
  </si>
  <si>
    <t>E02600</t>
  </si>
  <si>
    <t>lucas.young@northfield-hr.com</t>
  </si>
  <si>
    <t>E00521</t>
  </si>
  <si>
    <t>$88,507.71</t>
  </si>
  <si>
    <t>E02574</t>
  </si>
  <si>
    <t>E03281</t>
  </si>
  <si>
    <t>E03187</t>
  </si>
  <si>
    <t>$97,239</t>
  </si>
  <si>
    <t>E02769</t>
  </si>
  <si>
    <t>E00736</t>
  </si>
  <si>
    <t>$129,077.06</t>
  </si>
  <si>
    <t>mateo.miller@northfield-hr.com</t>
  </si>
  <si>
    <t>E02107</t>
  </si>
  <si>
    <t>E02680</t>
  </si>
  <si>
    <t xml:space="preserve"> WHITE</t>
  </si>
  <si>
    <t>$68,948</t>
  </si>
  <si>
    <t>richard.white@northfield-hr.com</t>
  </si>
  <si>
    <t>E03230</t>
  </si>
  <si>
    <t>$58,914</t>
  </si>
  <si>
    <t>E02762</t>
  </si>
  <si>
    <t>ingrid.lewis@northfield-hr.com</t>
  </si>
  <si>
    <t>E00593</t>
  </si>
  <si>
    <t>E01304</t>
  </si>
  <si>
    <t>$49,674.59</t>
  </si>
  <si>
    <t>E01388</t>
  </si>
  <si>
    <t>$51,878.22</t>
  </si>
  <si>
    <t>karen.anderson@northfield-hr.com</t>
  </si>
  <si>
    <t>E04696</t>
  </si>
  <si>
    <t>E04527</t>
  </si>
  <si>
    <t>E03948</t>
  </si>
  <si>
    <t xml:space="preserve">william </t>
  </si>
  <si>
    <t>E01891</t>
  </si>
  <si>
    <t>$88,177</t>
  </si>
  <si>
    <t>E02988</t>
  </si>
  <si>
    <t>E03298</t>
  </si>
  <si>
    <t>E00905</t>
  </si>
  <si>
    <t>$75,995</t>
  </si>
  <si>
    <t>E04610</t>
  </si>
  <si>
    <t>E01280</t>
  </si>
  <si>
    <t>E00934</t>
  </si>
  <si>
    <t>$60,409.29</t>
  </si>
  <si>
    <t>emma.adams@northfield-hr.com</t>
  </si>
  <si>
    <t>E02309</t>
  </si>
  <si>
    <t>E01556</t>
  </si>
  <si>
    <t>$47,802</t>
  </si>
  <si>
    <t>E04534</t>
  </si>
  <si>
    <t>$67,067.74</t>
  </si>
  <si>
    <t>E03191</t>
  </si>
  <si>
    <t>E04442</t>
  </si>
  <si>
    <t>$118,903.74</t>
  </si>
  <si>
    <t>E00707</t>
  </si>
  <si>
    <t>$63,121</t>
  </si>
  <si>
    <t>E04691</t>
  </si>
  <si>
    <t>E03071</t>
  </si>
  <si>
    <t>thomas.taylor@northfield-hr.com</t>
  </si>
  <si>
    <t>E00746</t>
  </si>
  <si>
    <t>E01940</t>
  </si>
  <si>
    <t>E04401</t>
  </si>
  <si>
    <t xml:space="preserve"> AVA </t>
  </si>
  <si>
    <t>E02863</t>
  </si>
  <si>
    <t>E03997</t>
  </si>
  <si>
    <t>$106,890.54</t>
  </si>
  <si>
    <t>E00514</t>
  </si>
  <si>
    <t>emma.brown@northfield-hr.com</t>
  </si>
  <si>
    <t>E00082</t>
  </si>
  <si>
    <t>$107,083.39</t>
  </si>
  <si>
    <t>mary.garcia@northfield-hr.com</t>
  </si>
  <si>
    <t>E04615</t>
  </si>
  <si>
    <t>E00915</t>
  </si>
  <si>
    <t>E03453</t>
  </si>
  <si>
    <t>E03696</t>
  </si>
  <si>
    <t>E03157</t>
  </si>
  <si>
    <t>$61,482</t>
  </si>
  <si>
    <t>E02199</t>
  </si>
  <si>
    <t>E04233</t>
  </si>
  <si>
    <t>$53,523</t>
  </si>
  <si>
    <t>E00775</t>
  </si>
  <si>
    <t>E00330</t>
  </si>
  <si>
    <t>$53,027.20</t>
  </si>
  <si>
    <t>E02055</t>
  </si>
  <si>
    <t>$125,358.01</t>
  </si>
  <si>
    <t xml:space="preserve"> DIRECTOR </t>
  </si>
  <si>
    <t>$148,413.61</t>
  </si>
  <si>
    <t>E00944</t>
  </si>
  <si>
    <t>$79,495</t>
  </si>
  <si>
    <t>E00823</t>
  </si>
  <si>
    <t>E04528</t>
  </si>
  <si>
    <t>$57,047.00</t>
  </si>
  <si>
    <t>E00910</t>
  </si>
  <si>
    <t>E02517</t>
  </si>
  <si>
    <t>E00182</t>
  </si>
  <si>
    <t>$79,899</t>
  </si>
  <si>
    <t>E00165</t>
  </si>
  <si>
    <t>$84,624.32</t>
  </si>
  <si>
    <t>E00452</t>
  </si>
  <si>
    <t>E02539</t>
  </si>
  <si>
    <t>$123,908</t>
  </si>
  <si>
    <t>E04138</t>
  </si>
  <si>
    <t>E03032</t>
  </si>
  <si>
    <t>$144,451.70</t>
  </si>
  <si>
    <t>E01312</t>
  </si>
  <si>
    <t xml:space="preserve"> ingrid </t>
  </si>
  <si>
    <t>$49,932.62</t>
  </si>
  <si>
    <t>E03150</t>
  </si>
  <si>
    <t>$49,585</t>
  </si>
  <si>
    <t>E01112</t>
  </si>
  <si>
    <t>$83,068</t>
  </si>
  <si>
    <t>E04548</t>
  </si>
  <si>
    <t>E04086</t>
  </si>
  <si>
    <t>$77,239.50</t>
  </si>
  <si>
    <t>robert.robinson@northfield-hr.com</t>
  </si>
  <si>
    <t>E03490</t>
  </si>
  <si>
    <t>E01288</t>
  </si>
  <si>
    <t>E04178</t>
  </si>
  <si>
    <t>E04646</t>
  </si>
  <si>
    <t xml:space="preserve">THOMPSON </t>
  </si>
  <si>
    <t>$55,353</t>
  </si>
  <si>
    <t>william.thompson@northfield-hr.com</t>
  </si>
  <si>
    <t>E03681</t>
  </si>
  <si>
    <t>E04512</t>
  </si>
  <si>
    <t>$96,300.93</t>
  </si>
  <si>
    <t>mary.white@northfield-hr.com</t>
  </si>
  <si>
    <t>E04169</t>
  </si>
  <si>
    <t>E03301</t>
  </si>
  <si>
    <t xml:space="preserve"> DAVIS </t>
  </si>
  <si>
    <t>$104,930</t>
  </si>
  <si>
    <t>E03311</t>
  </si>
  <si>
    <t>E04557</t>
  </si>
  <si>
    <t>E03126</t>
  </si>
  <si>
    <t>$121,593.63</t>
  </si>
  <si>
    <t>E00328</t>
  </si>
  <si>
    <t>E01791</t>
  </si>
  <si>
    <t>E02491</t>
  </si>
  <si>
    <t>E02007</t>
  </si>
  <si>
    <t>E02008</t>
  </si>
  <si>
    <t>E01859</t>
  </si>
  <si>
    <t>E04686</t>
  </si>
  <si>
    <t>E00313</t>
  </si>
  <si>
    <t>$56,292</t>
  </si>
  <si>
    <t>E03080</t>
  </si>
  <si>
    <t>$111,065</t>
  </si>
  <si>
    <t>E03463</t>
  </si>
  <si>
    <t>elizabeth.williams@northfield-hr.com</t>
  </si>
  <si>
    <t>E01202</t>
  </si>
  <si>
    <t>E04392</t>
  </si>
  <si>
    <t>$92,501</t>
  </si>
  <si>
    <t>E03548</t>
  </si>
  <si>
    <t xml:space="preserve"> brown </t>
  </si>
  <si>
    <t>$86,861</t>
  </si>
  <si>
    <t>E02135</t>
  </si>
  <si>
    <t xml:space="preserve"> MARY</t>
  </si>
  <si>
    <t>$44,878</t>
  </si>
  <si>
    <t>E03452</t>
  </si>
  <si>
    <t>$108,548.45</t>
  </si>
  <si>
    <t>E02210</t>
  </si>
  <si>
    <t>$-83,100</t>
  </si>
  <si>
    <t>E01902</t>
  </si>
  <si>
    <t>$61,603.64</t>
  </si>
  <si>
    <t>E01482</t>
  </si>
  <si>
    <t>E00778</t>
  </si>
  <si>
    <t>sarah.martinez@northfield-hr.com</t>
  </si>
  <si>
    <t>E00800</t>
  </si>
  <si>
    <t>$83,438.57</t>
  </si>
  <si>
    <t>E03715</t>
  </si>
  <si>
    <t>E03943</t>
  </si>
  <si>
    <t>E00055</t>
  </si>
  <si>
    <t>E02973</t>
  </si>
  <si>
    <t>$67,666.94</t>
  </si>
  <si>
    <t>E03336</t>
  </si>
  <si>
    <t>E01921</t>
  </si>
  <si>
    <t>$89,856</t>
  </si>
  <si>
    <t>E03716</t>
  </si>
  <si>
    <t>E04647</t>
  </si>
  <si>
    <t>$45,481.45</t>
  </si>
  <si>
    <t>charles.walker@northfield-hr.com</t>
  </si>
  <si>
    <t>E00947</t>
  </si>
  <si>
    <t>E01702</t>
  </si>
  <si>
    <t>$144,728</t>
  </si>
  <si>
    <t>E03294</t>
  </si>
  <si>
    <t>$57,953.59</t>
  </si>
  <si>
    <t>E02162</t>
  </si>
  <si>
    <t>$276,601</t>
  </si>
  <si>
    <t>E01137</t>
  </si>
  <si>
    <t>E00988</t>
  </si>
  <si>
    <t>michael.wilson@northfield-hr.com</t>
  </si>
  <si>
    <t>E02550</t>
  </si>
  <si>
    <t>$133,757.75</t>
  </si>
  <si>
    <t>E00194</t>
  </si>
  <si>
    <t>E03058</t>
  </si>
  <si>
    <t>E03247</t>
  </si>
  <si>
    <t>$62,445.09</t>
  </si>
  <si>
    <t>E01395</t>
  </si>
  <si>
    <t>$80,569</t>
  </si>
  <si>
    <t>E00769</t>
  </si>
  <si>
    <t>sofia.sanchez@northfield-hr.com</t>
  </si>
  <si>
    <t>E03091</t>
  </si>
  <si>
    <t>E03496</t>
  </si>
  <si>
    <t>$93,448.87</t>
  </si>
  <si>
    <t>E03216</t>
  </si>
  <si>
    <t>$45,585.91</t>
  </si>
  <si>
    <t>E00286</t>
  </si>
  <si>
    <t>$55,811</t>
  </si>
  <si>
    <t>E00429</t>
  </si>
  <si>
    <t>E04449</t>
  </si>
  <si>
    <t>$64,631</t>
  </si>
  <si>
    <t>E02333</t>
  </si>
  <si>
    <t>$61,333.46</t>
  </si>
  <si>
    <t>E02718</t>
  </si>
  <si>
    <t>$85,036</t>
  </si>
  <si>
    <t>E02080</t>
  </si>
  <si>
    <t>$47,779.90</t>
  </si>
  <si>
    <t>E03390</t>
  </si>
  <si>
    <t xml:space="preserve"> Clark </t>
  </si>
  <si>
    <t>E00723</t>
  </si>
  <si>
    <t>E00952</t>
  </si>
  <si>
    <t>E04384</t>
  </si>
  <si>
    <t>E04367</t>
  </si>
  <si>
    <t>$120,559.62</t>
  </si>
  <si>
    <t>E02263</t>
  </si>
  <si>
    <t>E00990</t>
  </si>
  <si>
    <t>$48,972</t>
  </si>
  <si>
    <t>E03213</t>
  </si>
  <si>
    <t>E01760</t>
  </si>
  <si>
    <t xml:space="preserve">Williams </t>
  </si>
  <si>
    <t>$121,535</t>
  </si>
  <si>
    <t>E04580</t>
  </si>
  <si>
    <t xml:space="preserve"> Lopez </t>
  </si>
  <si>
    <t>$-175,112.84</t>
  </si>
  <si>
    <t>ava.lopez@northfield-hr.com</t>
  </si>
  <si>
    <t>E00327</t>
  </si>
  <si>
    <t>E02609</t>
  </si>
  <si>
    <t>E01384</t>
  </si>
  <si>
    <t>$85,270</t>
  </si>
  <si>
    <t>E01725</t>
  </si>
  <si>
    <t>E01087</t>
  </si>
  <si>
    <t>emma.lopez@northfield-hr.com</t>
  </si>
  <si>
    <t>E02524</t>
  </si>
  <si>
    <t>hiroshi.martinez@northfield-hr.com</t>
  </si>
  <si>
    <t>E00342</t>
  </si>
  <si>
    <t>$80,954</t>
  </si>
  <si>
    <t>E03702</t>
  </si>
  <si>
    <t>E00689</t>
  </si>
  <si>
    <t>E03433</t>
  </si>
  <si>
    <t>E01108</t>
  </si>
  <si>
    <t>E00849</t>
  </si>
  <si>
    <t>E00967</t>
  </si>
  <si>
    <t>E01493</t>
  </si>
  <si>
    <t>E03954</t>
  </si>
  <si>
    <t>E02204</t>
  </si>
  <si>
    <t>$65,689</t>
  </si>
  <si>
    <t>john.anderson@northfield-hr.com</t>
  </si>
  <si>
    <t>E02714</t>
  </si>
  <si>
    <t>$89,723</t>
  </si>
  <si>
    <t>E00662</t>
  </si>
  <si>
    <t>E01003</t>
  </si>
  <si>
    <t>$42,764.95</t>
  </si>
  <si>
    <t>E00063</t>
  </si>
  <si>
    <t>$50,253.53</t>
  </si>
  <si>
    <t>E00285</t>
  </si>
  <si>
    <t>E02225</t>
  </si>
  <si>
    <t>E01880</t>
  </si>
  <si>
    <t>$82,388.41</t>
  </si>
  <si>
    <t>E03573</t>
  </si>
  <si>
    <t>$78,081</t>
  </si>
  <si>
    <t>E01204</t>
  </si>
  <si>
    <t>$51,970</t>
  </si>
  <si>
    <t>E01991</t>
  </si>
  <si>
    <t>karen.harris@northfield-hr.com</t>
  </si>
  <si>
    <t>E00025</t>
  </si>
  <si>
    <t>E04103</t>
  </si>
  <si>
    <t>E04168</t>
  </si>
  <si>
    <t xml:space="preserve">  smith</t>
  </si>
  <si>
    <t>$53,693</t>
  </si>
  <si>
    <t>E00763</t>
  </si>
  <si>
    <t xml:space="preserve">  Thomas </t>
  </si>
  <si>
    <t>E00876</t>
  </si>
  <si>
    <t>E01332</t>
  </si>
  <si>
    <t>E00939</t>
  </si>
  <si>
    <t>E02688</t>
  </si>
  <si>
    <t>$93,107.75</t>
  </si>
  <si>
    <t>E03601</t>
  </si>
  <si>
    <t>E02395</t>
  </si>
  <si>
    <t>E04568</t>
  </si>
  <si>
    <t>$86,058.33</t>
  </si>
  <si>
    <t>E01156</t>
  </si>
  <si>
    <t>E04125</t>
  </si>
  <si>
    <t>sarah.smith@northfield-hr.com</t>
  </si>
  <si>
    <t>E04565</t>
  </si>
  <si>
    <t>$98,812.87</t>
  </si>
  <si>
    <t>E00386</t>
  </si>
  <si>
    <t>$57,057.49</t>
  </si>
  <si>
    <t>E03878</t>
  </si>
  <si>
    <t>$85,869.71</t>
  </si>
  <si>
    <t>E04371</t>
  </si>
  <si>
    <t>$61,093.00</t>
  </si>
  <si>
    <t>E04570</t>
  </si>
  <si>
    <t>E00537</t>
  </si>
  <si>
    <t>E02292</t>
  </si>
  <si>
    <t>E04666</t>
  </si>
  <si>
    <t>lucas.jones@northfield-hr.com</t>
  </si>
  <si>
    <t>E03875</t>
  </si>
  <si>
    <t>E00937</t>
  </si>
  <si>
    <t>E03738</t>
  </si>
  <si>
    <t>E02361</t>
  </si>
  <si>
    <t>$102,654.39</t>
  </si>
  <si>
    <t>E00202</t>
  </si>
  <si>
    <t>$50,421.14</t>
  </si>
  <si>
    <t>E03209</t>
  </si>
  <si>
    <t>$76,714.79</t>
  </si>
  <si>
    <t>E01333</t>
  </si>
  <si>
    <t>$98,520</t>
  </si>
  <si>
    <t>E03017</t>
  </si>
  <si>
    <t>E03503</t>
  </si>
  <si>
    <t>olga.king@northfield-hr.com</t>
  </si>
  <si>
    <t>E04022</t>
  </si>
  <si>
    <t>$120,754.34</t>
  </si>
  <si>
    <t>E01855</t>
  </si>
  <si>
    <t>E04470</t>
  </si>
  <si>
    <t>$128,207.13</t>
  </si>
  <si>
    <t>E02873</t>
  </si>
  <si>
    <t xml:space="preserve">Emma  </t>
  </si>
  <si>
    <t xml:space="preserve"> Lewis </t>
  </si>
  <si>
    <t>E03031</t>
  </si>
  <si>
    <t>E01206</t>
  </si>
  <si>
    <t>E01646</t>
  </si>
  <si>
    <t>E03418</t>
  </si>
  <si>
    <t>jennifer.garcia@northfield-hr.com</t>
  </si>
  <si>
    <t>E03477</t>
  </si>
  <si>
    <t>$55,616.53</t>
  </si>
  <si>
    <t>E02862</t>
  </si>
  <si>
    <t>E01793</t>
  </si>
  <si>
    <t>E03798</t>
  </si>
  <si>
    <t>E03369</t>
  </si>
  <si>
    <t>$64,854.63</t>
  </si>
  <si>
    <t>E03368</t>
  </si>
  <si>
    <t>E03534</t>
  </si>
  <si>
    <t>E03450</t>
  </si>
  <si>
    <t>E00604</t>
  </si>
  <si>
    <t>$73,620</t>
  </si>
  <si>
    <t>E03057</t>
  </si>
  <si>
    <t>$88,787</t>
  </si>
  <si>
    <t>E04532</t>
  </si>
  <si>
    <t>E00127</t>
  </si>
  <si>
    <t>$100,016</t>
  </si>
  <si>
    <t>E03877</t>
  </si>
  <si>
    <t>E02936</t>
  </si>
  <si>
    <t>E02731</t>
  </si>
  <si>
    <t>$55,637</t>
  </si>
  <si>
    <t>E00828</t>
  </si>
  <si>
    <t>$68,095</t>
  </si>
  <si>
    <t>E01640</t>
  </si>
  <si>
    <t>E00985</t>
  </si>
  <si>
    <t>$71,123.43</t>
  </si>
  <si>
    <t>E03282</t>
  </si>
  <si>
    <t>E02189</t>
  </si>
  <si>
    <t>$43,754</t>
  </si>
  <si>
    <t>E04613</t>
  </si>
  <si>
    <t>E02444</t>
  </si>
  <si>
    <t>E00363</t>
  </si>
  <si>
    <t>E02350</t>
  </si>
  <si>
    <t>E00346</t>
  </si>
  <si>
    <t>E00815</t>
  </si>
  <si>
    <t>$84,958.70</t>
  </si>
  <si>
    <t>E03206</t>
  </si>
  <si>
    <t>E04161</t>
  </si>
  <si>
    <t>E03326</t>
  </si>
  <si>
    <t>$73,481.78</t>
  </si>
  <si>
    <t>E04107</t>
  </si>
  <si>
    <t>E02117</t>
  </si>
  <si>
    <t>$38,806.16</t>
  </si>
  <si>
    <t>E01835</t>
  </si>
  <si>
    <t>$65,546.05</t>
  </si>
  <si>
    <t>E00794</t>
  </si>
  <si>
    <t>$66,019</t>
  </si>
  <si>
    <t>E02675</t>
  </si>
  <si>
    <t>$34,276</t>
  </si>
  <si>
    <t>E00095</t>
  </si>
  <si>
    <t>E03757</t>
  </si>
  <si>
    <t xml:space="preserve">fatima </t>
  </si>
  <si>
    <t>$59,516.53</t>
  </si>
  <si>
    <t>E02372</t>
  </si>
  <si>
    <t>$95,012</t>
  </si>
  <si>
    <t>E04150</t>
  </si>
  <si>
    <t>E04433</t>
  </si>
  <si>
    <t>$67,555.01</t>
  </si>
  <si>
    <t>E03229</t>
  </si>
  <si>
    <t>E02854</t>
  </si>
  <si>
    <t>$71,464.64</t>
  </si>
  <si>
    <t>E02913</t>
  </si>
  <si>
    <t>emma.jones@northfield-hr.com</t>
  </si>
  <si>
    <t>E01858</t>
  </si>
  <si>
    <t>E02646</t>
  </si>
  <si>
    <t>E02244</t>
  </si>
  <si>
    <t>$54,474</t>
  </si>
  <si>
    <t>E02337</t>
  </si>
  <si>
    <t>E00951</t>
  </si>
  <si>
    <t>E03069</t>
  </si>
  <si>
    <t>$60,067.38</t>
  </si>
  <si>
    <t>E01121</t>
  </si>
  <si>
    <t>E02598</t>
  </si>
  <si>
    <t xml:space="preserve"> robert </t>
  </si>
  <si>
    <t>E02205</t>
  </si>
  <si>
    <t>E00420</t>
  </si>
  <si>
    <t>E00923</t>
  </si>
  <si>
    <t>E01255</t>
  </si>
  <si>
    <t>E00478</t>
  </si>
  <si>
    <t>E02036</t>
  </si>
  <si>
    <t>E01203</t>
  </si>
  <si>
    <t>E02627</t>
  </si>
  <si>
    <t>E01971</t>
  </si>
  <si>
    <t>$57,493</t>
  </si>
  <si>
    <t>E03111</t>
  </si>
  <si>
    <t>$107,402.51</t>
  </si>
  <si>
    <t>E04019</t>
  </si>
  <si>
    <t>E02152</t>
  </si>
  <si>
    <t>$145,226.06</t>
  </si>
  <si>
    <t>E03688</t>
  </si>
  <si>
    <t>$147,863.51</t>
  </si>
  <si>
    <t>E01998</t>
  </si>
  <si>
    <t>E04034</t>
  </si>
  <si>
    <t>$47,224</t>
  </si>
  <si>
    <t>thomas.martinez@northfield-hr.com</t>
  </si>
  <si>
    <t>E03055</t>
  </si>
  <si>
    <t>$75,337.72</t>
  </si>
  <si>
    <t>E01249</t>
  </si>
  <si>
    <t>$42,235.90</t>
  </si>
  <si>
    <t>E02193</t>
  </si>
  <si>
    <t>E02713</t>
  </si>
  <si>
    <t>E00993</t>
  </si>
  <si>
    <t>$54,889</t>
  </si>
  <si>
    <t>E02191</t>
  </si>
  <si>
    <t>E03763</t>
  </si>
  <si>
    <t>$109,605.19</t>
  </si>
  <si>
    <t>E03598</t>
  </si>
  <si>
    <t xml:space="preserve"> MANAGER </t>
  </si>
  <si>
    <t>lucas.brown@northfield-hr.com</t>
  </si>
  <si>
    <t>E01319</t>
  </si>
  <si>
    <t>charles.anderson@northfield-hr.com</t>
  </si>
  <si>
    <t>E01864</t>
  </si>
  <si>
    <t>$68,935</t>
  </si>
  <si>
    <t>E02344</t>
  </si>
  <si>
    <t>$43,444.74</t>
  </si>
  <si>
    <t>E02450</t>
  </si>
  <si>
    <t>E02137</t>
  </si>
  <si>
    <t>E01066</t>
  </si>
  <si>
    <t>noah.brown@northfield-hr.com</t>
  </si>
  <si>
    <t>E02622</t>
  </si>
  <si>
    <t>E00078</t>
  </si>
  <si>
    <t>E02899</t>
  </si>
  <si>
    <t>$78,615.43</t>
  </si>
  <si>
    <t>E01315</t>
  </si>
  <si>
    <t>E04373</t>
  </si>
  <si>
    <t>$128,633.02</t>
  </si>
  <si>
    <t>E00873</t>
  </si>
  <si>
    <t>E03851</t>
  </si>
  <si>
    <t>$52,817.51</t>
  </si>
  <si>
    <t>E02966</t>
  </si>
  <si>
    <t>$47,055.86</t>
  </si>
  <si>
    <t>E03392</t>
  </si>
  <si>
    <t>$43,400</t>
  </si>
  <si>
    <t>E02561</t>
  </si>
  <si>
    <t>$43,855</t>
  </si>
  <si>
    <t>E02636</t>
  </si>
  <si>
    <t>E03531</t>
  </si>
  <si>
    <t>E00376</t>
  </si>
  <si>
    <t>E01909</t>
  </si>
  <si>
    <t>mateo.king@northfield-hr.com</t>
  </si>
  <si>
    <t>E04333</t>
  </si>
  <si>
    <t>$81,817</t>
  </si>
  <si>
    <t>E04028</t>
  </si>
  <si>
    <t>$-67,179</t>
  </si>
  <si>
    <t>E01605</t>
  </si>
  <si>
    <t>$146,332</t>
  </si>
  <si>
    <t>E01119</t>
  </si>
  <si>
    <t>E03678</t>
  </si>
  <si>
    <t>E03491</t>
  </si>
  <si>
    <t>$76,502.38</t>
  </si>
  <si>
    <t>E01017</t>
  </si>
  <si>
    <t>$83,671.55</t>
  </si>
  <si>
    <t>E02959</t>
  </si>
  <si>
    <t>$104,255</t>
  </si>
  <si>
    <t>E01995</t>
  </si>
  <si>
    <t>$107,310.44</t>
  </si>
  <si>
    <t>E01839</t>
  </si>
  <si>
    <t>E04356</t>
  </si>
  <si>
    <t>E02377</t>
  </si>
  <si>
    <t>E01343</t>
  </si>
  <si>
    <t>E00321</t>
  </si>
  <si>
    <t>E01620</t>
  </si>
  <si>
    <t>$50,028.50</t>
  </si>
  <si>
    <t>E03714</t>
  </si>
  <si>
    <t>E02061</t>
  </si>
  <si>
    <t xml:space="preserve">jennifer </t>
  </si>
  <si>
    <t>$38,817</t>
  </si>
  <si>
    <t>E02220</t>
  </si>
  <si>
    <t>$59,240.60</t>
  </si>
  <si>
    <t>E01674</t>
  </si>
  <si>
    <t>$153,917</t>
  </si>
  <si>
    <t>E00261</t>
  </si>
  <si>
    <t>jennifer.allen@northfield-hr.com</t>
  </si>
  <si>
    <t>E04418</t>
  </si>
  <si>
    <t>E02040</t>
  </si>
  <si>
    <t>E00902</t>
  </si>
  <si>
    <t xml:space="preserve">Liam  </t>
  </si>
  <si>
    <t>E03745</t>
  </si>
  <si>
    <t>$53,757</t>
  </si>
  <si>
    <t>E02027</t>
  </si>
  <si>
    <t>$62,209</t>
  </si>
  <si>
    <t>E01918</t>
  </si>
  <si>
    <t>$70,563</t>
  </si>
  <si>
    <t>E01829</t>
  </si>
  <si>
    <t>E01574</t>
  </si>
  <si>
    <t>E04395</t>
  </si>
  <si>
    <t xml:space="preserve"> WILSON </t>
  </si>
  <si>
    <t>E04209</t>
  </si>
  <si>
    <t>E00225</t>
  </si>
  <si>
    <t>$53,506.10</t>
  </si>
  <si>
    <t>E00724</t>
  </si>
  <si>
    <t>robert.young@northfield-hr.com</t>
  </si>
  <si>
    <t>E04486</t>
  </si>
  <si>
    <t>E01142</t>
  </si>
  <si>
    <t>$128,176.86</t>
  </si>
  <si>
    <t>E02763</t>
  </si>
  <si>
    <t>E00847</t>
  </si>
  <si>
    <t>E02929</t>
  </si>
  <si>
    <t>E00118</t>
  </si>
  <si>
    <t>E00646</t>
  </si>
  <si>
    <t>E00004</t>
  </si>
  <si>
    <t>E04171</t>
  </si>
  <si>
    <t>E00468</t>
  </si>
  <si>
    <t>michael.thomas@northfield-hr.com</t>
  </si>
  <si>
    <t>E00006</t>
  </si>
  <si>
    <t>E00920</t>
  </si>
  <si>
    <t xml:space="preserve"> human resources </t>
  </si>
  <si>
    <t>$57,845.81</t>
  </si>
  <si>
    <t>E02596</t>
  </si>
  <si>
    <t>E01064</t>
  </si>
  <si>
    <t>E02591</t>
  </si>
  <si>
    <t>$51,892</t>
  </si>
  <si>
    <t>E00243</t>
  </si>
  <si>
    <t>$45,095.61</t>
  </si>
  <si>
    <t>E01161</t>
  </si>
  <si>
    <t>E02871</t>
  </si>
  <si>
    <t>E03736</t>
  </si>
  <si>
    <t>$54,868.42</t>
  </si>
  <si>
    <t>jessica.rodriguez@northfield-hr.com</t>
  </si>
  <si>
    <t>E02398</t>
  </si>
  <si>
    <t>E03518</t>
  </si>
  <si>
    <t>E03422</t>
  </si>
  <si>
    <t>E02564</t>
  </si>
  <si>
    <t>E01606</t>
  </si>
  <si>
    <t>$57,689.61</t>
  </si>
  <si>
    <t>E02325</t>
  </si>
  <si>
    <t>E02710</t>
  </si>
  <si>
    <t>E04399</t>
  </si>
  <si>
    <t>E01313</t>
  </si>
  <si>
    <t>$89,851.95</t>
  </si>
  <si>
    <t>E03449</t>
  </si>
  <si>
    <t>$62,480</t>
  </si>
  <si>
    <t>E03813</t>
  </si>
  <si>
    <t>$58,452.14</t>
  </si>
  <si>
    <t>E04656</t>
  </si>
  <si>
    <t>$83,367.91</t>
  </si>
  <si>
    <t>E02363</t>
  </si>
  <si>
    <t>E01976</t>
  </si>
  <si>
    <t>E03515</t>
  </si>
  <si>
    <t>fatima.harris@northfield-hr.com</t>
  </si>
  <si>
    <t>E01762</t>
  </si>
  <si>
    <t>E02740</t>
  </si>
  <si>
    <t>$155,269</t>
  </si>
  <si>
    <t>E02473</t>
  </si>
  <si>
    <t xml:space="preserve">young  </t>
  </si>
  <si>
    <t>E04008</t>
  </si>
  <si>
    <t>E01494</t>
  </si>
  <si>
    <t>$53,470</t>
  </si>
  <si>
    <t>E04207</t>
  </si>
  <si>
    <t>E02159</t>
  </si>
  <si>
    <t>$77,788</t>
  </si>
  <si>
    <t>E01170</t>
  </si>
  <si>
    <t>E04517</t>
  </si>
  <si>
    <t>olga.williams@northfield-hr.com</t>
  </si>
  <si>
    <t>E00233</t>
  </si>
  <si>
    <t>$104,056.44</t>
  </si>
  <si>
    <t>E00067</t>
  </si>
  <si>
    <t>E01604</t>
  </si>
  <si>
    <t>$48,973</t>
  </si>
  <si>
    <t>E03284</t>
  </si>
  <si>
    <t>E03597</t>
  </si>
  <si>
    <t>E00126</t>
  </si>
  <si>
    <t>E01297</t>
  </si>
  <si>
    <t>$80,324</t>
  </si>
  <si>
    <t>E01977</t>
  </si>
  <si>
    <t>E04518</t>
  </si>
  <si>
    <t>$52,077</t>
  </si>
  <si>
    <t>E04482</t>
  </si>
  <si>
    <t>$50,619</t>
  </si>
  <si>
    <t>E02076</t>
  </si>
  <si>
    <t>E03087</t>
  </si>
  <si>
    <t>E03346</t>
  </si>
  <si>
    <t>E04465</t>
  </si>
  <si>
    <t>$44,143.34</t>
  </si>
  <si>
    <t>E02798</t>
  </si>
  <si>
    <t>E00919</t>
  </si>
  <si>
    <t>$46,334</t>
  </si>
  <si>
    <t>E01647</t>
  </si>
  <si>
    <t>$77,371.44</t>
  </si>
  <si>
    <t>sofia.rodriguez@northfield-hr.com</t>
  </si>
  <si>
    <t>E00365</t>
  </si>
  <si>
    <t>$77,263.15</t>
  </si>
  <si>
    <t>E03288</t>
  </si>
  <si>
    <t>E02126</t>
  </si>
  <si>
    <t>$127,065.21</t>
  </si>
  <si>
    <t>E04124</t>
  </si>
  <si>
    <t>$98,157</t>
  </si>
  <si>
    <t>thomas.ramirez@northfield-hr.com</t>
  </si>
  <si>
    <t>E00526</t>
  </si>
  <si>
    <t>E00056</t>
  </si>
  <si>
    <t>$36,569</t>
  </si>
  <si>
    <t>E00639</t>
  </si>
  <si>
    <t>$105,810.01</t>
  </si>
  <si>
    <t>E02767</t>
  </si>
  <si>
    <t>$51,283</t>
  </si>
  <si>
    <t>E02056</t>
  </si>
  <si>
    <t>$56,985.82</t>
  </si>
  <si>
    <t>E04144</t>
  </si>
  <si>
    <t>E02879</t>
  </si>
  <si>
    <t>$71,103</t>
  </si>
  <si>
    <t>E04203</t>
  </si>
  <si>
    <t>$122,177.84</t>
  </si>
  <si>
    <t>E02287</t>
  </si>
  <si>
    <t xml:space="preserve">OLGA </t>
  </si>
  <si>
    <t>$90,501</t>
  </si>
  <si>
    <t>olga.smith@northfield-hr.com</t>
  </si>
  <si>
    <t>E02262</t>
  </si>
  <si>
    <t>E02297</t>
  </si>
  <si>
    <t>E01754</t>
  </si>
  <si>
    <t>$63,602</t>
  </si>
  <si>
    <t>E01969</t>
  </si>
  <si>
    <t>$88,657</t>
  </si>
  <si>
    <t>E04352</t>
  </si>
  <si>
    <t>E03118</t>
  </si>
  <si>
    <t xml:space="preserve">  mateo</t>
  </si>
  <si>
    <t>E02394</t>
  </si>
  <si>
    <t>$66,049</t>
  </si>
  <si>
    <t>E00524</t>
  </si>
  <si>
    <t>$214,645.91</t>
  </si>
  <si>
    <t>E03901</t>
  </si>
  <si>
    <t>$67,431.80</t>
  </si>
  <si>
    <t>E03123</t>
  </si>
  <si>
    <t>$117,524</t>
  </si>
  <si>
    <t>E04157</t>
  </si>
  <si>
    <t>$39,143.64</t>
  </si>
  <si>
    <t>E01970</t>
  </si>
  <si>
    <t>E00672</t>
  </si>
  <si>
    <t xml:space="preserve">BARBARA </t>
  </si>
  <si>
    <t>$74,775.50</t>
  </si>
  <si>
    <t>E04189</t>
  </si>
  <si>
    <t>E00667</t>
  </si>
  <si>
    <t>E04339</t>
  </si>
  <si>
    <t>$39,037</t>
  </si>
  <si>
    <t>E01888</t>
  </si>
  <si>
    <t>susan.thompson@northfield-hr.com</t>
  </si>
  <si>
    <t>$85,366</t>
  </si>
  <si>
    <t>$63,846.56</t>
  </si>
  <si>
    <t>E01720</t>
  </si>
  <si>
    <t>aiko.rodriguez@northfield-hr.com</t>
  </si>
  <si>
    <t>E02948</t>
  </si>
  <si>
    <t>E00900</t>
  </si>
  <si>
    <t>E00798</t>
  </si>
  <si>
    <t>$53,767</t>
  </si>
  <si>
    <t>E00761</t>
  </si>
  <si>
    <t>E01907</t>
  </si>
  <si>
    <t>$79,641.55</t>
  </si>
  <si>
    <t>E04043</t>
  </si>
  <si>
    <t>E03824</t>
  </si>
  <si>
    <t>E04139</t>
  </si>
  <si>
    <t>$102,325.52</t>
  </si>
  <si>
    <t>E04301</t>
  </si>
  <si>
    <t>E02594</t>
  </si>
  <si>
    <t>$114,323.11</t>
  </si>
  <si>
    <t>E04165</t>
  </si>
  <si>
    <t>E03580</t>
  </si>
  <si>
    <t>$83,848</t>
  </si>
  <si>
    <t>E02833</t>
  </si>
  <si>
    <t>E00138</t>
  </si>
  <si>
    <t>$55,289</t>
  </si>
  <si>
    <t>E02181</t>
  </si>
  <si>
    <t>E02129</t>
  </si>
  <si>
    <t>E03178</t>
  </si>
  <si>
    <t>E04368</t>
  </si>
  <si>
    <t>E04262</t>
  </si>
  <si>
    <t>E04345</t>
  </si>
  <si>
    <t>$57,334.76</t>
  </si>
  <si>
    <t>E02018</t>
  </si>
  <si>
    <t>$63,831</t>
  </si>
  <si>
    <t>E02483</t>
  </si>
  <si>
    <t>E01359</t>
  </si>
  <si>
    <t>E01330</t>
  </si>
  <si>
    <t xml:space="preserve">brown </t>
  </si>
  <si>
    <t>$48,659.86</t>
  </si>
  <si>
    <t>E02151</t>
  </si>
  <si>
    <t>E02123</t>
  </si>
  <si>
    <t>$85,672</t>
  </si>
  <si>
    <t>E03982</t>
  </si>
  <si>
    <t>E01253</t>
  </si>
  <si>
    <t>$46,573</t>
  </si>
  <si>
    <t>E03279</t>
  </si>
  <si>
    <t>E03375</t>
  </si>
  <si>
    <t>$122,241</t>
  </si>
  <si>
    <t>E02815</t>
  </si>
  <si>
    <t>E03038</t>
  </si>
  <si>
    <t>$88,653.74</t>
  </si>
  <si>
    <t>E00389</t>
  </si>
  <si>
    <t>E00236</t>
  </si>
  <si>
    <t>E01078</t>
  </si>
  <si>
    <t>E01985</t>
  </si>
  <si>
    <t>$93,594</t>
  </si>
  <si>
    <t>E04364</t>
  </si>
  <si>
    <t>chidi.davis@northfield-hr.com</t>
  </si>
  <si>
    <t>E03963</t>
  </si>
  <si>
    <t xml:space="preserve">  Miller</t>
  </si>
  <si>
    <t>E00771</t>
  </si>
  <si>
    <t>$101,176.80</t>
  </si>
  <si>
    <t>E02166</t>
  </si>
  <si>
    <t>$63,271</t>
  </si>
  <si>
    <t>E00674</t>
  </si>
  <si>
    <t>$52,754.00</t>
  </si>
  <si>
    <t>E00250</t>
  </si>
  <si>
    <t>E01575</t>
  </si>
  <si>
    <t>E03420</t>
  </si>
  <si>
    <t>$55,794.43</t>
  </si>
  <si>
    <t>mohammed.thomas@northfield-hr.com</t>
  </si>
  <si>
    <t>E02082</t>
  </si>
  <si>
    <t xml:space="preserve"> yuki </t>
  </si>
  <si>
    <t>$74,855.89</t>
  </si>
  <si>
    <t>E01824</t>
  </si>
  <si>
    <t>E00717</t>
  </si>
  <si>
    <t>$117,839.38</t>
  </si>
  <si>
    <t>thomas.walker@northfield-hr.com</t>
  </si>
  <si>
    <t>E04669</t>
  </si>
  <si>
    <t>E02049</t>
  </si>
  <si>
    <t>E04179</t>
  </si>
  <si>
    <t>$69,881</t>
  </si>
  <si>
    <t>E02725</t>
  </si>
  <si>
    <t xml:space="preserve">  thomas</t>
  </si>
  <si>
    <t>E04522</t>
  </si>
  <si>
    <t>E01461</t>
  </si>
  <si>
    <t>E01669</t>
  </si>
  <si>
    <t>E02757</t>
  </si>
  <si>
    <t>$82,399</t>
  </si>
  <si>
    <t>E02001</t>
  </si>
  <si>
    <t>E00405</t>
  </si>
  <si>
    <t>E00385</t>
  </si>
  <si>
    <t>$108,282.06</t>
  </si>
  <si>
    <t>E04536</t>
  </si>
  <si>
    <t>E02153</t>
  </si>
  <si>
    <t>E01634</t>
  </si>
  <si>
    <t>$94,275.04</t>
  </si>
  <si>
    <t>E04587</t>
  </si>
  <si>
    <t xml:space="preserve"> wilson</t>
  </si>
  <si>
    <t>$156,314.09</t>
  </si>
  <si>
    <t>E03926</t>
  </si>
  <si>
    <t>$81,445.63</t>
  </si>
  <si>
    <t>E04159</t>
  </si>
  <si>
    <t xml:space="preserve">MOHAMMED  </t>
  </si>
  <si>
    <t>E00224</t>
  </si>
  <si>
    <t>E02194</t>
  </si>
  <si>
    <t>E03137</t>
  </si>
  <si>
    <t>E01825</t>
  </si>
  <si>
    <t>E04601</t>
  </si>
  <si>
    <t>$95,183</t>
  </si>
  <si>
    <t>E02872</t>
  </si>
  <si>
    <t>$60,999.47</t>
  </si>
  <si>
    <t>E00010</t>
  </si>
  <si>
    <t>E00256</t>
  </si>
  <si>
    <t>olga.torres@northfield-hr.com</t>
  </si>
  <si>
    <t>E04509</t>
  </si>
  <si>
    <t>$87,605</t>
  </si>
  <si>
    <t>E01582</t>
  </si>
  <si>
    <t>$36,989.67</t>
  </si>
  <si>
    <t>E02957</t>
  </si>
  <si>
    <t>E00925</t>
  </si>
  <si>
    <t>$56,248</t>
  </si>
  <si>
    <t>E04430</t>
  </si>
  <si>
    <t>E02509</t>
  </si>
  <si>
    <t>$44,907.48</t>
  </si>
  <si>
    <t>E03776</t>
  </si>
  <si>
    <t>E04137</t>
  </si>
  <si>
    <t>$75,062.39</t>
  </si>
  <si>
    <t>michael.hill@northfield-hr.com</t>
  </si>
  <si>
    <t>E02780</t>
  </si>
  <si>
    <t>$75,822</t>
  </si>
  <si>
    <t>E00540</t>
  </si>
  <si>
    <t>E02746</t>
  </si>
  <si>
    <t>E04499</t>
  </si>
  <si>
    <t>$57,074.30</t>
  </si>
  <si>
    <t>E04572</t>
  </si>
  <si>
    <t>E01146</t>
  </si>
  <si>
    <t>E00668</t>
  </si>
  <si>
    <t>E03020</t>
  </si>
  <si>
    <t>E00358</t>
  </si>
  <si>
    <t>E02832</t>
  </si>
  <si>
    <t>E02784</t>
  </si>
  <si>
    <t>E01354</t>
  </si>
  <si>
    <t>$53,311</t>
  </si>
  <si>
    <t>karen.nguyen@northfield-hr.com</t>
  </si>
  <si>
    <t>E00471</t>
  </si>
  <si>
    <t xml:space="preserve"> Torres </t>
  </si>
  <si>
    <t>E02704</t>
  </si>
  <si>
    <t>$57,124</t>
  </si>
  <si>
    <t>E03331</t>
  </si>
  <si>
    <t>$83,198.90</t>
  </si>
  <si>
    <t>E03638</t>
  </si>
  <si>
    <t>E01397</t>
  </si>
  <si>
    <t>E03585</t>
  </si>
  <si>
    <t>E04487</t>
  </si>
  <si>
    <t>E03377</t>
  </si>
  <si>
    <t>E01257</t>
  </si>
  <si>
    <t>E03513</t>
  </si>
  <si>
    <t>E01251</t>
  </si>
  <si>
    <t>$48,518</t>
  </si>
  <si>
    <t>E04299</t>
  </si>
  <si>
    <t>E03285</t>
  </si>
  <si>
    <t>E02934</t>
  </si>
  <si>
    <t>$80,057.77</t>
  </si>
  <si>
    <t>E04176</t>
  </si>
  <si>
    <t>E01853</t>
  </si>
  <si>
    <t>$44,001</t>
  </si>
  <si>
    <t>E02106</t>
  </si>
  <si>
    <t>$48,288.99</t>
  </si>
  <si>
    <t>E00134</t>
  </si>
  <si>
    <t>$65,574</t>
  </si>
  <si>
    <t>E00929</t>
  </si>
  <si>
    <t>E00824</t>
  </si>
  <si>
    <t xml:space="preserve"> wei</t>
  </si>
  <si>
    <t>$103,784</t>
  </si>
  <si>
    <t>E01532</t>
  </si>
  <si>
    <t>E01215</t>
  </si>
  <si>
    <t>E00505</t>
  </si>
  <si>
    <t>$138,097.04</t>
  </si>
  <si>
    <t>E04286</t>
  </si>
  <si>
    <t>E01997</t>
  </si>
  <si>
    <t>E03073</t>
  </si>
  <si>
    <t>E01959</t>
  </si>
  <si>
    <t>E01385</t>
  </si>
  <si>
    <t>$58,383.95</t>
  </si>
  <si>
    <t>E00895</t>
  </si>
  <si>
    <t xml:space="preserve">  JOHNSON</t>
  </si>
  <si>
    <t>E00456</t>
  </si>
  <si>
    <t>$98,903</t>
  </si>
  <si>
    <t>E03710</t>
  </si>
  <si>
    <t xml:space="preserve"> Hill </t>
  </si>
  <si>
    <t>$110,024.40</t>
  </si>
  <si>
    <t>E04619</t>
  </si>
  <si>
    <t xml:space="preserve">  Sanchez</t>
  </si>
  <si>
    <t>E04269</t>
  </si>
  <si>
    <t>carlos.lee@northfield-hr.com</t>
  </si>
  <si>
    <t>E03523</t>
  </si>
  <si>
    <t>$89,362</t>
  </si>
  <si>
    <t>richard.smith@northfield-hr.com</t>
  </si>
  <si>
    <t>E04135</t>
  </si>
  <si>
    <t>E03603</t>
  </si>
  <si>
    <t>E00714</t>
  </si>
  <si>
    <t>E04187</t>
  </si>
  <si>
    <t>E02215</t>
  </si>
  <si>
    <t>E02924</t>
  </si>
  <si>
    <t>$116,630</t>
  </si>
  <si>
    <t>E01811</t>
  </si>
  <si>
    <t>$80,115</t>
  </si>
  <si>
    <t>E03487</t>
  </si>
  <si>
    <t>$121,060.85</t>
  </si>
  <si>
    <t>E03142</t>
  </si>
  <si>
    <t>E01828</t>
  </si>
  <si>
    <t>$59,199</t>
  </si>
  <si>
    <t>E01325</t>
  </si>
  <si>
    <t>$68,084.96</t>
  </si>
  <si>
    <t>E04313</t>
  </si>
  <si>
    <t>E00511</t>
  </si>
  <si>
    <t>$63,447</t>
  </si>
  <si>
    <t>E01681</t>
  </si>
  <si>
    <t>E00500</t>
  </si>
  <si>
    <t>$38,936</t>
  </si>
  <si>
    <t>E04537</t>
  </si>
  <si>
    <t>E01857</t>
  </si>
  <si>
    <t xml:space="preserve">anderson </t>
  </si>
  <si>
    <t>E01389</t>
  </si>
  <si>
    <t>$107,990</t>
  </si>
  <si>
    <t>E03720</t>
  </si>
  <si>
    <t>$108,543.35</t>
  </si>
  <si>
    <t>E02387</t>
  </si>
  <si>
    <t>$65,202</t>
  </si>
  <si>
    <t>diego.gonzalez@northfield-hr.com</t>
  </si>
  <si>
    <t>E03237</t>
  </si>
  <si>
    <t>E01541</t>
  </si>
  <si>
    <t>E01218</t>
  </si>
  <si>
    <t>$83,376.22</t>
  </si>
  <si>
    <t>E02682</t>
  </si>
  <si>
    <t>$103,409.42</t>
  </si>
  <si>
    <t>E02994</t>
  </si>
  <si>
    <t>E01192</t>
  </si>
  <si>
    <t>$63,705.19</t>
  </si>
  <si>
    <t>E01543</t>
  </si>
  <si>
    <t>E03302</t>
  </si>
  <si>
    <t>$51,504.46</t>
  </si>
  <si>
    <t>E03325</t>
  </si>
  <si>
    <t>E02540</t>
  </si>
  <si>
    <t>$44,356</t>
  </si>
  <si>
    <t>lucas.gonzalez@northfield-hr.com</t>
  </si>
  <si>
    <t>E00954</t>
  </si>
  <si>
    <t>E04331</t>
  </si>
  <si>
    <t>$83,150</t>
  </si>
  <si>
    <t>E00733</t>
  </si>
  <si>
    <t>E01157</t>
  </si>
  <si>
    <t>linda.moore@northfield-hr.com</t>
  </si>
  <si>
    <t>E03295</t>
  </si>
  <si>
    <t>E02983</t>
  </si>
  <si>
    <t>$86,536.82</t>
  </si>
  <si>
    <t>E02157</t>
  </si>
  <si>
    <t>E01063</t>
  </si>
  <si>
    <t>E02617</t>
  </si>
  <si>
    <t>$77,819</t>
  </si>
  <si>
    <t>E01168</t>
  </si>
  <si>
    <t>$110,230</t>
  </si>
  <si>
    <t>E03223</t>
  </si>
  <si>
    <t>E03637</t>
  </si>
  <si>
    <t>E02939</t>
  </si>
  <si>
    <t>E04492</t>
  </si>
  <si>
    <t>E03141</t>
  </si>
  <si>
    <t xml:space="preserve">  DIRECTOR</t>
  </si>
  <si>
    <t>$149,545.13</t>
  </si>
  <si>
    <t>E00144</t>
  </si>
  <si>
    <t>$82,289</t>
  </si>
  <si>
    <t>E03578</t>
  </si>
  <si>
    <t>$100,001</t>
  </si>
  <si>
    <t>E00718</t>
  </si>
  <si>
    <t>E01820</t>
  </si>
  <si>
    <t>E02503</t>
  </si>
  <si>
    <t>E04361</t>
  </si>
  <si>
    <t>E04172</t>
  </si>
  <si>
    <t>E00396</t>
  </si>
  <si>
    <t>$52,132.22</t>
  </si>
  <si>
    <t>E04493</t>
  </si>
  <si>
    <t>$87,640.99</t>
  </si>
  <si>
    <t>E01366</t>
  </si>
  <si>
    <t>E04559</t>
  </si>
  <si>
    <t>E03953</t>
  </si>
  <si>
    <t>$55,540</t>
  </si>
  <si>
    <t>E02915</t>
  </si>
  <si>
    <t>$73,178</t>
  </si>
  <si>
    <t>E02327</t>
  </si>
  <si>
    <t>$83,603.64</t>
  </si>
  <si>
    <t>E03767</t>
  </si>
  <si>
    <t>$63,443</t>
  </si>
  <si>
    <t>E03441</t>
  </si>
  <si>
    <t>E03852</t>
  </si>
  <si>
    <t>$89,533</t>
  </si>
  <si>
    <t>E04133</t>
  </si>
  <si>
    <t>$47,719</t>
  </si>
  <si>
    <t>E04592</t>
  </si>
  <si>
    <t>$87,707.75</t>
  </si>
  <si>
    <t>E02144</t>
  </si>
  <si>
    <t xml:space="preserve"> Mary </t>
  </si>
  <si>
    <t>$91,521.99</t>
  </si>
  <si>
    <t>E01572</t>
  </si>
  <si>
    <t>E04080</t>
  </si>
  <si>
    <t>$108,662</t>
  </si>
  <si>
    <t>E01123</t>
  </si>
  <si>
    <t>$70,473.13</t>
  </si>
  <si>
    <t>E02787</t>
  </si>
  <si>
    <t>$63,308.11</t>
  </si>
  <si>
    <t>E02968</t>
  </si>
  <si>
    <t>$55,900</t>
  </si>
  <si>
    <t>E02505</t>
  </si>
  <si>
    <t xml:space="preserve">  SPECIALIST</t>
  </si>
  <si>
    <t>E00676</t>
  </si>
  <si>
    <t>E02809</t>
  </si>
  <si>
    <t>E03349</t>
  </si>
  <si>
    <t>$71,588</t>
  </si>
  <si>
    <t>patricia.wilson@northfield-hr.com</t>
  </si>
  <si>
    <t>E00729</t>
  </si>
  <si>
    <t>$144,726</t>
  </si>
  <si>
    <t>E00413</t>
  </si>
  <si>
    <t>E03147</t>
  </si>
  <si>
    <t>$57,484.57</t>
  </si>
  <si>
    <t>E01517</t>
  </si>
  <si>
    <t>E00826</t>
  </si>
  <si>
    <t>E03268</t>
  </si>
  <si>
    <t>$71,831</t>
  </si>
  <si>
    <t>E03975</t>
  </si>
  <si>
    <t>$87,054</t>
  </si>
  <si>
    <t>E00617</t>
  </si>
  <si>
    <t>E00115</t>
  </si>
  <si>
    <t>E00418</t>
  </si>
  <si>
    <t>E03070</t>
  </si>
  <si>
    <t>E01626</t>
  </si>
  <si>
    <t>E04186</t>
  </si>
  <si>
    <t>$47,778</t>
  </si>
  <si>
    <t>E02897</t>
  </si>
  <si>
    <t>$86,510.84</t>
  </si>
  <si>
    <t>E04672</t>
  </si>
  <si>
    <t>$86,160</t>
  </si>
  <si>
    <t>E00754</t>
  </si>
  <si>
    <t>$68,621.21</t>
  </si>
  <si>
    <t>E02547</t>
  </si>
  <si>
    <t>E03970</t>
  </si>
  <si>
    <t>$93,265.73</t>
  </si>
  <si>
    <t>E04108</t>
  </si>
  <si>
    <t>E02445</t>
  </si>
  <si>
    <t>E04381</t>
  </si>
  <si>
    <t>$82,445.04</t>
  </si>
  <si>
    <t>E01067</t>
  </si>
  <si>
    <t>william.robinson@northfield-hr.com</t>
  </si>
  <si>
    <t>E03914</t>
  </si>
  <si>
    <t>E03499</t>
  </si>
  <si>
    <t>E02739</t>
  </si>
  <si>
    <t>$54,439.81</t>
  </si>
  <si>
    <t>E04001</t>
  </si>
  <si>
    <t>E01569</t>
  </si>
  <si>
    <t>$56,712</t>
  </si>
  <si>
    <t>E02428</t>
  </si>
  <si>
    <t>E03747</t>
  </si>
  <si>
    <t>E04640</t>
  </si>
  <si>
    <t>E01688</t>
  </si>
  <si>
    <t>$42,664</t>
  </si>
  <si>
    <t>E00852</t>
  </si>
  <si>
    <t>E03547</t>
  </si>
  <si>
    <t>$83,900</t>
  </si>
  <si>
    <t>E00896</t>
  </si>
  <si>
    <t>E00336</t>
  </si>
  <si>
    <t>E02840</t>
  </si>
  <si>
    <t>hiroshi.scott@northfield-hr.com</t>
  </si>
  <si>
    <t>E03088</t>
  </si>
  <si>
    <t>$87,808</t>
  </si>
  <si>
    <t>E01349</t>
  </si>
  <si>
    <t>E01016</t>
  </si>
  <si>
    <t>E02817</t>
  </si>
  <si>
    <t>E01632</t>
  </si>
  <si>
    <t>$63,079</t>
  </si>
  <si>
    <t>E02490</t>
  </si>
  <si>
    <t>E03731</t>
  </si>
  <si>
    <t>E03252</t>
  </si>
  <si>
    <t>E04635</t>
  </si>
  <si>
    <t>$58,292</t>
  </si>
  <si>
    <t>E02071</t>
  </si>
  <si>
    <t>$104,688.71</t>
  </si>
  <si>
    <t>E04453</t>
  </si>
  <si>
    <t>E03885</t>
  </si>
  <si>
    <t>$53,831</t>
  </si>
  <si>
    <t>david.garcia@northfield-hr.com</t>
  </si>
  <si>
    <t>E01636</t>
  </si>
  <si>
    <t>E02480</t>
  </si>
  <si>
    <t>$66,027</t>
  </si>
  <si>
    <t>E02266</t>
  </si>
  <si>
    <t>E02960</t>
  </si>
  <si>
    <t xml:space="preserve">DAVIS  </t>
  </si>
  <si>
    <t>E03445</t>
  </si>
  <si>
    <t>E03060</t>
  </si>
  <si>
    <t>$86,978.29</t>
  </si>
  <si>
    <t>E02142</t>
  </si>
  <si>
    <t>E03119</t>
  </si>
  <si>
    <t>E04046</t>
  </si>
  <si>
    <t>E02745</t>
  </si>
  <si>
    <t>$66,204</t>
  </si>
  <si>
    <t>E03507</t>
  </si>
  <si>
    <t>E01680</t>
  </si>
  <si>
    <t>$60,644.23</t>
  </si>
  <si>
    <t>E04250</t>
  </si>
  <si>
    <t>william.martin@northfield-hr.com</t>
  </si>
  <si>
    <t>E03148</t>
  </si>
  <si>
    <t>$49,986</t>
  </si>
  <si>
    <t>E02295</t>
  </si>
  <si>
    <t>$122,812</t>
  </si>
  <si>
    <t>E00581</t>
  </si>
  <si>
    <t>$64,604</t>
  </si>
  <si>
    <t>E01471</t>
  </si>
  <si>
    <t>E04071</t>
  </si>
  <si>
    <t>jessica.garcia@northfield-hr.com</t>
  </si>
  <si>
    <t>E03344</t>
  </si>
  <si>
    <t>E04584</t>
  </si>
  <si>
    <t>E03673</t>
  </si>
  <si>
    <t>E00560</t>
  </si>
  <si>
    <t>$79,255</t>
  </si>
  <si>
    <t>yuki.johnson@northfield-hr.com</t>
  </si>
  <si>
    <t>E02850</t>
  </si>
  <si>
    <t>$96,681</t>
  </si>
  <si>
    <t>E00513</t>
  </si>
  <si>
    <t>mary.lopez@northfield-hr.com</t>
  </si>
  <si>
    <t>E01082</t>
  </si>
  <si>
    <t>E01665</t>
  </si>
  <si>
    <t>E01013</t>
  </si>
  <si>
    <t>$54,797</t>
  </si>
  <si>
    <t>E01932</t>
  </si>
  <si>
    <t>E01151</t>
  </si>
  <si>
    <t>$111,560</t>
  </si>
  <si>
    <t>E02839</t>
  </si>
  <si>
    <t>$53,457.29</t>
  </si>
  <si>
    <t>E00117</t>
  </si>
  <si>
    <t>E00741</t>
  </si>
  <si>
    <t>E03676</t>
  </si>
  <si>
    <t>$50,045</t>
  </si>
  <si>
    <t>E00831</t>
  </si>
  <si>
    <t>$84,560.74</t>
  </si>
  <si>
    <t>$59,038</t>
  </si>
  <si>
    <t>E00636</t>
  </si>
  <si>
    <t>E04466</t>
  </si>
  <si>
    <t>E04365</t>
  </si>
  <si>
    <t>E04143</t>
  </si>
  <si>
    <t>E00992</t>
  </si>
  <si>
    <t>$77,793.75</t>
  </si>
  <si>
    <t>E00877</t>
  </si>
  <si>
    <t>$81,026</t>
  </si>
  <si>
    <t>E00005</t>
  </si>
  <si>
    <t>$69,536</t>
  </si>
  <si>
    <t>E03125</t>
  </si>
  <si>
    <t>E02661</t>
  </si>
  <si>
    <t>E02492</t>
  </si>
  <si>
    <t>$78,255</t>
  </si>
  <si>
    <t>E03855</t>
  </si>
  <si>
    <t>$52,037.66</t>
  </si>
  <si>
    <t>E01716</t>
  </si>
  <si>
    <t xml:space="preserve"> Thomas </t>
  </si>
  <si>
    <t>$87,654</t>
  </si>
  <si>
    <t>E01149</t>
  </si>
  <si>
    <t>$127,634</t>
  </si>
  <si>
    <t>E03262</t>
  </si>
  <si>
    <t>E00575</t>
  </si>
  <si>
    <t>E03770</t>
  </si>
  <si>
    <t>E03737</t>
  </si>
  <si>
    <t>$85,152.22</t>
  </si>
  <si>
    <t>E00854</t>
  </si>
  <si>
    <t>E01983</t>
  </si>
  <si>
    <t>E02775</t>
  </si>
  <si>
    <t>karen.brown@northfield-hr.com</t>
  </si>
  <si>
    <t>E01167</t>
  </si>
  <si>
    <t>E00972</t>
  </si>
  <si>
    <t>john.allen@northfield-hr.com</t>
  </si>
  <si>
    <t>E02702</t>
  </si>
  <si>
    <t>E04496</t>
  </si>
  <si>
    <t>E03848</t>
  </si>
  <si>
    <t>E02369</t>
  </si>
  <si>
    <t>$44,963</t>
  </si>
  <si>
    <t>E04132</t>
  </si>
  <si>
    <t>$121,630.80</t>
  </si>
  <si>
    <t>E02951</t>
  </si>
  <si>
    <t>E00525</t>
  </si>
  <si>
    <t>$74,132</t>
  </si>
  <si>
    <t>E02456</t>
  </si>
  <si>
    <t>E01842</t>
  </si>
  <si>
    <t>E00538</t>
  </si>
  <si>
    <t xml:space="preserve">  ava</t>
  </si>
  <si>
    <t>$68,021</t>
  </si>
  <si>
    <t>E02807</t>
  </si>
  <si>
    <t>E04342</t>
  </si>
  <si>
    <t>E03176</t>
  </si>
  <si>
    <t>E00785</t>
  </si>
  <si>
    <t>E04058</t>
  </si>
  <si>
    <t>E01410</t>
  </si>
  <si>
    <t>E02538</t>
  </si>
  <si>
    <t xml:space="preserve">  Garcia </t>
  </si>
  <si>
    <t>E00155</t>
  </si>
  <si>
    <t>$98,636.06</t>
  </si>
  <si>
    <t>mohammed.smith@northfield-hr.com</t>
  </si>
  <si>
    <t>E03010</t>
  </si>
  <si>
    <t>E01687</t>
  </si>
  <si>
    <t>E02902</t>
  </si>
  <si>
    <t>E03864</t>
  </si>
  <si>
    <t>E02734</t>
  </si>
  <si>
    <t>E01896</t>
  </si>
  <si>
    <t>E00570</t>
  </si>
  <si>
    <t xml:space="preserve">WILSON </t>
  </si>
  <si>
    <t>$122,592</t>
  </si>
  <si>
    <t>E01817</t>
  </si>
  <si>
    <t xml:space="preserve">clark </t>
  </si>
  <si>
    <t>E02066</t>
  </si>
  <si>
    <t>$40,007</t>
  </si>
  <si>
    <t>E00128</t>
  </si>
  <si>
    <t>E03395</t>
  </si>
  <si>
    <t>E03328</t>
  </si>
  <si>
    <t>E02976</t>
  </si>
  <si>
    <t>$92,196.61</t>
  </si>
  <si>
    <t>E00981</t>
  </si>
  <si>
    <t>$51,970.76</t>
  </si>
  <si>
    <t>E02301</t>
  </si>
  <si>
    <t xml:space="preserve">  LOPEZ</t>
  </si>
  <si>
    <t>E00191</t>
  </si>
  <si>
    <t>E01140</t>
  </si>
  <si>
    <t>$69,834.12</t>
  </si>
  <si>
    <t>elizabeth.davis@northfield-hr.com</t>
  </si>
  <si>
    <t>E00700</t>
  </si>
  <si>
    <t>E00607</t>
  </si>
  <si>
    <t>$66,165</t>
  </si>
  <si>
    <t>E04277</t>
  </si>
  <si>
    <t>$99,005</t>
  </si>
  <si>
    <t>E00302</t>
  </si>
  <si>
    <t>E03421</t>
  </si>
  <si>
    <t>E01061</t>
  </si>
  <si>
    <t>$215,338</t>
  </si>
  <si>
    <t>E02566</t>
  </si>
  <si>
    <t>$62,092.83</t>
  </si>
  <si>
    <t>E01070</t>
  </si>
  <si>
    <t>E02525</t>
  </si>
  <si>
    <t>E02206</t>
  </si>
  <si>
    <t>$54,898.88</t>
  </si>
  <si>
    <t>E01244</t>
  </si>
  <si>
    <t>$41,862.08</t>
  </si>
  <si>
    <t>E00017</t>
  </si>
  <si>
    <t>$83,210</t>
  </si>
  <si>
    <t>E03121</t>
  </si>
  <si>
    <t>$92,863.08</t>
  </si>
  <si>
    <t>E04643</t>
  </si>
  <si>
    <t xml:space="preserve">Jennifer  </t>
  </si>
  <si>
    <t>$77,201.87</t>
  </si>
  <si>
    <t>E00816</t>
  </si>
  <si>
    <t>E03068</t>
  </si>
  <si>
    <t>E00960</t>
  </si>
  <si>
    <t>E00226</t>
  </si>
  <si>
    <t>$80,345.09</t>
  </si>
  <si>
    <t>E03355</t>
  </si>
  <si>
    <t>E02486</t>
  </si>
  <si>
    <t>E00563</t>
  </si>
  <si>
    <t>$100,913</t>
  </si>
  <si>
    <t>E03437</t>
  </si>
  <si>
    <t>$45,492</t>
  </si>
  <si>
    <t>E01694</t>
  </si>
  <si>
    <t>$58,325.44</t>
  </si>
  <si>
    <t>E01046</t>
  </si>
  <si>
    <t>E03447</t>
  </si>
  <si>
    <t>$58,618.71</t>
  </si>
  <si>
    <t>E04566</t>
  </si>
  <si>
    <t>$91,433.75</t>
  </si>
  <si>
    <t>E00955</t>
  </si>
  <si>
    <t>$55,083.20</t>
  </si>
  <si>
    <t>$65,523</t>
  </si>
  <si>
    <t>E02736</t>
  </si>
  <si>
    <t>$65,592</t>
  </si>
  <si>
    <t>E02048</t>
  </si>
  <si>
    <t>$121,415.21</t>
  </si>
  <si>
    <t>E01219</t>
  </si>
  <si>
    <t>$88,311</t>
  </si>
  <si>
    <t>E01528</t>
  </si>
  <si>
    <t>$101,637</t>
  </si>
  <si>
    <t>E03988</t>
  </si>
  <si>
    <t>E01301</t>
  </si>
  <si>
    <t>$44,034.46</t>
  </si>
  <si>
    <t>E00161</t>
  </si>
  <si>
    <t>$90,698.37</t>
  </si>
  <si>
    <t>E04068</t>
  </si>
  <si>
    <t>E00957</t>
  </si>
  <si>
    <t>$123,813</t>
  </si>
  <si>
    <t>E03235</t>
  </si>
  <si>
    <t>$69,114.74</t>
  </si>
  <si>
    <t>E02870</t>
  </si>
  <si>
    <t>$68,382</t>
  </si>
  <si>
    <t>E03778</t>
  </si>
  <si>
    <t>E04434</t>
  </si>
  <si>
    <t>$100,179</t>
  </si>
  <si>
    <t>E02962</t>
  </si>
  <si>
    <t>E02201</t>
  </si>
  <si>
    <t>$128,314.58</t>
  </si>
  <si>
    <t>E00099</t>
  </si>
  <si>
    <t>$46,836.29</t>
  </si>
  <si>
    <t>E02558</t>
  </si>
  <si>
    <t>$37,987.80</t>
  </si>
  <si>
    <t>E03184</t>
  </si>
  <si>
    <t>$47,054.07</t>
  </si>
  <si>
    <t>E00254</t>
  </si>
  <si>
    <t>hiroshi.torres@northfield-hr.com</t>
  </si>
  <si>
    <t>E03924</t>
  </si>
  <si>
    <t>E04200</t>
  </si>
  <si>
    <t>E01446</t>
  </si>
  <si>
    <t>E01649</t>
  </si>
  <si>
    <t>E04683</t>
  </si>
  <si>
    <t>E03992</t>
  </si>
  <si>
    <t>$65,914</t>
  </si>
  <si>
    <t>E01697</t>
  </si>
  <si>
    <t>$51,891</t>
  </si>
  <si>
    <t>E03192</t>
  </si>
  <si>
    <t>E04500</t>
  </si>
  <si>
    <t>E01155</t>
  </si>
  <si>
    <t>E03171</t>
  </si>
  <si>
    <t>$74,629.86</t>
  </si>
  <si>
    <t>E02057</t>
  </si>
  <si>
    <t>$59,271.86</t>
  </si>
  <si>
    <t>E04091</t>
  </si>
  <si>
    <t>$86,659</t>
  </si>
  <si>
    <t>E03109</t>
  </si>
  <si>
    <t>E04549</t>
  </si>
  <si>
    <t>$44,589</t>
  </si>
  <si>
    <t>E03724</t>
  </si>
  <si>
    <t>E02050</t>
  </si>
  <si>
    <t>E03644</t>
  </si>
  <si>
    <t>E00263</t>
  </si>
  <si>
    <t>$51,876.39</t>
  </si>
  <si>
    <t>E03370</t>
  </si>
  <si>
    <t>amara.jones@northfield-hr.com</t>
  </si>
  <si>
    <t>E04062</t>
  </si>
  <si>
    <t>$97,665.41</t>
  </si>
  <si>
    <t>E01803</t>
  </si>
  <si>
    <t>$72,716.22</t>
  </si>
  <si>
    <t>E02386</t>
  </si>
  <si>
    <t>E01960</t>
  </si>
  <si>
    <t>$91,995</t>
  </si>
  <si>
    <t>E02977</t>
  </si>
  <si>
    <t>E00489</t>
  </si>
  <si>
    <t>$53,781</t>
  </si>
  <si>
    <t>E01844</t>
  </si>
  <si>
    <t xml:space="preserve">Director  </t>
  </si>
  <si>
    <t>E01735</t>
  </si>
  <si>
    <t>E02912</t>
  </si>
  <si>
    <t>$37,161.22</t>
  </si>
  <si>
    <t>E03220</t>
  </si>
  <si>
    <t>$86,668</t>
  </si>
  <si>
    <t>E00147</t>
  </si>
  <si>
    <t>E01987</t>
  </si>
  <si>
    <t>$53,651.42</t>
  </si>
  <si>
    <t>E01370</t>
  </si>
  <si>
    <t>$58,465</t>
  </si>
  <si>
    <t>E02812</t>
  </si>
  <si>
    <t>E00660</t>
  </si>
  <si>
    <t>E01795</t>
  </si>
  <si>
    <t>E02512</t>
  </si>
  <si>
    <t>$64,132</t>
  </si>
  <si>
    <t>E03398</t>
  </si>
  <si>
    <t xml:space="preserve">Diego  </t>
  </si>
  <si>
    <t>$42,508</t>
  </si>
  <si>
    <t>E04283</t>
  </si>
  <si>
    <t>E01148</t>
  </si>
  <si>
    <t xml:space="preserve"> LINDA </t>
  </si>
  <si>
    <t>$72,818</t>
  </si>
  <si>
    <t>E03273</t>
  </si>
  <si>
    <t>E00609</t>
  </si>
  <si>
    <t>$52,793.54</t>
  </si>
  <si>
    <t>E03583</t>
  </si>
  <si>
    <t>michael.walker@northfield-hr.com</t>
  </si>
  <si>
    <t>E01931</t>
  </si>
  <si>
    <t>E00198</t>
  </si>
  <si>
    <t>E02932</t>
  </si>
  <si>
    <t>$60,728.66</t>
  </si>
  <si>
    <t>E02328</t>
  </si>
  <si>
    <t>E04390</t>
  </si>
  <si>
    <t>$76,699.09</t>
  </si>
  <si>
    <t>E00767</t>
  </si>
  <si>
    <t>E04497</t>
  </si>
  <si>
    <t>$137,478</t>
  </si>
  <si>
    <t>E04219</t>
  </si>
  <si>
    <t>E03256</t>
  </si>
  <si>
    <t>E00203</t>
  </si>
  <si>
    <t>E03511</t>
  </si>
  <si>
    <t>E01734</t>
  </si>
  <si>
    <t>E02778</t>
  </si>
  <si>
    <t>$69,843</t>
  </si>
  <si>
    <t>E01708</t>
  </si>
  <si>
    <t>E03475</t>
  </si>
  <si>
    <t>E00855</t>
  </si>
  <si>
    <t>E04098</t>
  </si>
  <si>
    <t>$58,499.73</t>
  </si>
  <si>
    <t>E02161</t>
  </si>
  <si>
    <t>david.allen@northfield-hr.com</t>
  </si>
  <si>
    <t>E00699</t>
  </si>
  <si>
    <t>$98,591.40</t>
  </si>
  <si>
    <t>$109,317</t>
  </si>
  <si>
    <t>E03000</t>
  </si>
  <si>
    <t>$86,418.42</t>
  </si>
  <si>
    <t>E03697</t>
  </si>
  <si>
    <t>E01637</t>
  </si>
  <si>
    <t>E03458</t>
  </si>
  <si>
    <t>E03582</t>
  </si>
  <si>
    <t>$48,434.42</t>
  </si>
  <si>
    <t>E01292</t>
  </si>
  <si>
    <t>E04660</t>
  </si>
  <si>
    <t>E01854</t>
  </si>
  <si>
    <t>$50,009</t>
  </si>
  <si>
    <t>E03764</t>
  </si>
  <si>
    <t>$91,367.74</t>
  </si>
  <si>
    <t>E03305</t>
  </si>
  <si>
    <t>$47,447</t>
  </si>
  <si>
    <t>E03446</t>
  </si>
  <si>
    <t>$60,312.39</t>
  </si>
  <si>
    <t>E01999</t>
  </si>
  <si>
    <t>$45,023.85</t>
  </si>
  <si>
    <t>$86,011</t>
  </si>
  <si>
    <t>E03749</t>
  </si>
  <si>
    <t>$57,522.64</t>
  </si>
  <si>
    <t>E04414</t>
  </si>
  <si>
    <t xml:space="preserve"> Taylor </t>
  </si>
  <si>
    <t>E00710</t>
  </si>
  <si>
    <t>$-100,163.26</t>
  </si>
  <si>
    <t>E01283</t>
  </si>
  <si>
    <t>$71,020</t>
  </si>
  <si>
    <t>E02676</t>
  </si>
  <si>
    <t>$54,553.29</t>
  </si>
  <si>
    <t>E04030</t>
  </si>
  <si>
    <t>E01307</t>
  </si>
  <si>
    <t>$48,800.48</t>
  </si>
  <si>
    <t>E02238</t>
  </si>
  <si>
    <t>E03303</t>
  </si>
  <si>
    <t>E02039</t>
  </si>
  <si>
    <t>E01530</t>
  </si>
  <si>
    <t>E01664</t>
  </si>
  <si>
    <t xml:space="preserve"> lee</t>
  </si>
  <si>
    <t>$101,380.50</t>
  </si>
  <si>
    <t>$92,597</t>
  </si>
  <si>
    <t>E03628</t>
  </si>
  <si>
    <t xml:space="preserve">amara </t>
  </si>
  <si>
    <t>E02694</t>
  </si>
  <si>
    <t>E03061</t>
  </si>
  <si>
    <t>$50,532.95</t>
  </si>
  <si>
    <t>E01598</t>
  </si>
  <si>
    <t>E02730</t>
  </si>
  <si>
    <t>E02626</t>
  </si>
  <si>
    <t>E03158</t>
  </si>
  <si>
    <t>$134,381</t>
  </si>
  <si>
    <t>$55,734.03</t>
  </si>
  <si>
    <t>E01723</t>
  </si>
  <si>
    <t>E01060</t>
  </si>
  <si>
    <t>E04637</t>
  </si>
  <si>
    <t>$69,914</t>
  </si>
  <si>
    <t>E03243</t>
  </si>
  <si>
    <t>E01679</t>
  </si>
  <si>
    <t xml:space="preserve"> ROBERT</t>
  </si>
  <si>
    <t>$81,258</t>
  </si>
  <si>
    <t>E01758</t>
  </si>
  <si>
    <t>$137,511.49</t>
  </si>
  <si>
    <t>E00564</t>
  </si>
  <si>
    <t>E02791</t>
  </si>
  <si>
    <t>E00864</t>
  </si>
  <si>
    <t>$45,942</t>
  </si>
  <si>
    <t>E01485</t>
  </si>
  <si>
    <t>E00207</t>
  </si>
  <si>
    <t>$101,062</t>
  </si>
  <si>
    <t>E04489</t>
  </si>
  <si>
    <t>E00871</t>
  </si>
  <si>
    <t>$54,788.33</t>
  </si>
  <si>
    <t>E04494</t>
  </si>
  <si>
    <t>$74,145.49</t>
  </si>
  <si>
    <t>emma.hill@northfield-hr.com</t>
  </si>
  <si>
    <t>E00503</t>
  </si>
  <si>
    <t>$76,022</t>
  </si>
  <si>
    <t>E01029</t>
  </si>
  <si>
    <t>E03841</t>
  </si>
  <si>
    <t>$71,159</t>
  </si>
  <si>
    <t>E02691</t>
  </si>
  <si>
    <t>E01571</t>
  </si>
  <si>
    <t>$52,960</t>
  </si>
  <si>
    <t>E02774</t>
  </si>
  <si>
    <t>E02732</t>
  </si>
  <si>
    <t>$70,668.95</t>
  </si>
  <si>
    <t>E00805</t>
  </si>
  <si>
    <t>$78,477.25</t>
  </si>
  <si>
    <t>E03646</t>
  </si>
  <si>
    <t>E02455</t>
  </si>
  <si>
    <t>$63,737.08</t>
  </si>
  <si>
    <t>E04599</t>
  </si>
  <si>
    <t>E03105</t>
  </si>
  <si>
    <t>$80,341</t>
  </si>
  <si>
    <t>elizabeth.garcia@northfield-hr.com</t>
  </si>
  <si>
    <t>E00201</t>
  </si>
  <si>
    <t>E03100</t>
  </si>
  <si>
    <t xml:space="preserve">HARRIS </t>
  </si>
  <si>
    <t>$51,440</t>
  </si>
  <si>
    <t xml:space="preserve">Ingrid  </t>
  </si>
  <si>
    <t>E03562</t>
  </si>
  <si>
    <t>$91,368</t>
  </si>
  <si>
    <t>E04475</t>
  </si>
  <si>
    <t>E04515</t>
  </si>
  <si>
    <t>$69,861.93</t>
  </si>
  <si>
    <t>E00392</t>
  </si>
  <si>
    <t xml:space="preserve">CHIDI  </t>
  </si>
  <si>
    <t>E01496</t>
  </si>
  <si>
    <t>E02696</t>
  </si>
  <si>
    <t>E02028</t>
  </si>
  <si>
    <t>E02569</t>
  </si>
  <si>
    <t>$70,609</t>
  </si>
  <si>
    <t>E00065</t>
  </si>
  <si>
    <t>E02063</t>
  </si>
  <si>
    <t>$69,673.76</t>
  </si>
  <si>
    <t>E00493</t>
  </si>
  <si>
    <t>E00380</t>
  </si>
  <si>
    <t>$73,016.38</t>
  </si>
  <si>
    <t>E03994</t>
  </si>
  <si>
    <t>$67,470</t>
  </si>
  <si>
    <t>E01077</t>
  </si>
  <si>
    <t>E00879</t>
  </si>
  <si>
    <t>$64,285</t>
  </si>
  <si>
    <t>patricia.hill@northfield-hr.com</t>
  </si>
  <si>
    <t>E00338</t>
  </si>
  <si>
    <t>$47,919.55</t>
  </si>
  <si>
    <t>E01276</t>
  </si>
  <si>
    <t>$44,529</t>
  </si>
  <si>
    <t>E03799</t>
  </si>
  <si>
    <t>E04552</t>
  </si>
  <si>
    <t>E03343</t>
  </si>
  <si>
    <t>E00996</t>
  </si>
  <si>
    <t>E01982</t>
  </si>
  <si>
    <t>E04298</t>
  </si>
  <si>
    <t>E00162</t>
  </si>
  <si>
    <t>$70,464</t>
  </si>
  <si>
    <t>E01501</t>
  </si>
  <si>
    <t>$66,095</t>
  </si>
  <si>
    <t>patricia.moore@northfield-hr.com</t>
  </si>
  <si>
    <t>E03844</t>
  </si>
  <si>
    <t xml:space="preserve"> INGRID </t>
  </si>
  <si>
    <t>$90,720.96</t>
  </si>
  <si>
    <t>E02614</t>
  </si>
  <si>
    <t xml:space="preserve">  Susan</t>
  </si>
  <si>
    <t>E03462</t>
  </si>
  <si>
    <t>E01022</t>
  </si>
  <si>
    <t>E03074</t>
  </si>
  <si>
    <t>$98,499.01</t>
  </si>
  <si>
    <t>E03944</t>
  </si>
  <si>
    <t>E01586</t>
  </si>
  <si>
    <t>E01956</t>
  </si>
  <si>
    <t>$71,607</t>
  </si>
  <si>
    <t>E03153</t>
  </si>
  <si>
    <t>$121,567</t>
  </si>
  <si>
    <t>E00035</t>
  </si>
  <si>
    <t>$92,604</t>
  </si>
  <si>
    <t>E04015</t>
  </si>
  <si>
    <t>$72,470.19</t>
  </si>
  <si>
    <t>E00776</t>
  </si>
  <si>
    <t>priya.jones@northfield-hr.com</t>
  </si>
  <si>
    <t>E02557</t>
  </si>
  <si>
    <t>E01479</t>
  </si>
  <si>
    <t>E01364</t>
  </si>
  <si>
    <t>E02613</t>
  </si>
  <si>
    <t>$136,142.50</t>
  </si>
  <si>
    <t>E02825</t>
  </si>
  <si>
    <t>$123,299</t>
  </si>
  <si>
    <t>E02042</t>
  </si>
  <si>
    <t>$79,627.44</t>
  </si>
  <si>
    <t>E00242</t>
  </si>
  <si>
    <t>$82,791.01</t>
  </si>
  <si>
    <t>E02062</t>
  </si>
  <si>
    <t>E02364</t>
  </si>
  <si>
    <t>$118,971.22</t>
  </si>
  <si>
    <t>E00601</t>
  </si>
  <si>
    <t>$66,964</t>
  </si>
  <si>
    <t>E02436</t>
  </si>
  <si>
    <t>$82,619.67</t>
  </si>
  <si>
    <t>E02889</t>
  </si>
  <si>
    <t>$51,082.96</t>
  </si>
  <si>
    <t>E00647</t>
  </si>
  <si>
    <t>E03891</t>
  </si>
  <si>
    <t>$123,465</t>
  </si>
  <si>
    <t>E03557</t>
  </si>
  <si>
    <t>E03203</t>
  </si>
  <si>
    <t xml:space="preserve"> sarah </t>
  </si>
  <si>
    <t>E01529</t>
  </si>
  <si>
    <t>$77,018</t>
  </si>
  <si>
    <t>E01268</t>
  </si>
  <si>
    <t>E01900</t>
  </si>
  <si>
    <t>E04659</t>
  </si>
  <si>
    <t>$39,870</t>
  </si>
  <si>
    <t>E03006</t>
  </si>
  <si>
    <t>E02735</t>
  </si>
  <si>
    <t>E00190</t>
  </si>
  <si>
    <t>E01807</t>
  </si>
  <si>
    <t>$69,194.21</t>
  </si>
  <si>
    <t>E00976</t>
  </si>
  <si>
    <t>E02748</t>
  </si>
  <si>
    <t>$89,998.80</t>
  </si>
  <si>
    <t>E02559</t>
  </si>
  <si>
    <t>charles.king@northfield-hr.com</t>
  </si>
  <si>
    <t>E01083</t>
  </si>
  <si>
    <t>$92,255.70</t>
  </si>
  <si>
    <t>E00475</t>
  </si>
  <si>
    <t>$123,050</t>
  </si>
  <si>
    <t>E04118</t>
  </si>
  <si>
    <t>$78,354</t>
  </si>
  <si>
    <t>E03386</t>
  </si>
  <si>
    <t>E04556</t>
  </si>
  <si>
    <t>E01185</t>
  </si>
  <si>
    <t>$81,278</t>
  </si>
  <si>
    <t>E02434</t>
  </si>
  <si>
    <t>E02392</t>
  </si>
  <si>
    <t>E00770</t>
  </si>
  <si>
    <t>$69,340</t>
  </si>
  <si>
    <t>E01686</t>
  </si>
  <si>
    <t>$87,653.56</t>
  </si>
  <si>
    <t>E00131</t>
  </si>
  <si>
    <t>E02920</t>
  </si>
  <si>
    <t>E03172</t>
  </si>
  <si>
    <t>E04427</t>
  </si>
  <si>
    <t>$42,733</t>
  </si>
  <si>
    <t>E00467</t>
  </si>
  <si>
    <t>$86,205</t>
  </si>
  <si>
    <t>E03093</t>
  </si>
  <si>
    <t>$51,944.86</t>
  </si>
  <si>
    <t>E03773</t>
  </si>
  <si>
    <t>$106,296</t>
  </si>
  <si>
    <t>E00861</t>
  </si>
  <si>
    <t>Duplicados</t>
  </si>
  <si>
    <t>Mayusculas</t>
  </si>
  <si>
    <t>Formato incorrecto</t>
  </si>
  <si>
    <t>Espacios sobrantes</t>
  </si>
  <si>
    <t>-</t>
  </si>
  <si>
    <t>Excepcion</t>
  </si>
  <si>
    <t>Nonbinary</t>
  </si>
  <si>
    <t>Mal escrito</t>
  </si>
  <si>
    <t>Cantidad de errores</t>
  </si>
  <si>
    <t>GENERAL</t>
  </si>
  <si>
    <t>COLUMNAS</t>
  </si>
  <si>
    <t>Celdas vacias</t>
  </si>
  <si>
    <t>Usamos "employee_id" porque identifica a cada empleado. No elimines duplicados usando nombres o apellidos: distintas personas pueden tener los mismos.</t>
  </si>
  <si>
    <t>Duplicados
1. Entra en la hoja HR DATA.
2. Hace clic en cualquier celda de la tabla.
3. Entra en Datos -&gt; Quitar duplicados.
4. En la ventana, desmarca todas las columnas.
5. Marca unicamente employee_id.
6. Hace clic en Aceptar.
7. Excel te informara cuantos duplicados elimino.</t>
  </si>
  <si>
    <t>Mayusculas
1. Entra en la hoja HR DATA.
2. Crea una columna temporal junto a la columna que queres corregir.
3. En la primera fila de datos de la columna temporal, escribi =NOMPROPIO(A2). Reemplaza A2 por la primera celda de la columna que queres corregir.
4. Pulsa Enter y copia la formula hasta la ultima fila de datos.
5. Selecciona los resultados de la columna temporal y copialos.
6. Selecciona la primera celda de datos de la columna original.
7. Usa Pegado especial -&gt; Valores para reemplazar los datos originales por los corregidos.
8. Elimina la columna temporal.</t>
  </si>
  <si>
    <t>NOMPROPIO convierte la primera letra de cada palabra en mayuscula y las demas en minusculas. Por ejemplo, JOHN SMITH pasa a John Smith. Revisa los nombres propios o las abreviaturas especiales antes de reemplazar los datos originales.</t>
  </si>
  <si>
    <t>ESPACIOS elimina los espacios al principio y al final del texto, y reemplaza los espacios repetidos entre palabras por uno solo.</t>
  </si>
  <si>
    <t>Espacios sobrantes
1. Entra en la hoja HR DATA.
2. Crea una columna temporal al lado de la columna que quieres limpiar.
3. En la primera fila de datos de la columna temporal, escribe =ESPACIOS(A2). Reemplaza A2 por la primera celda de la columna que quieres limpiar.
4. Pulsa Enter y copia la formula hasta la ultima fila de datos.
5. Copia los resultados y usa Pegado especial → Valores sobre la columna original.
6. Elimina la columna temporal.</t>
  </si>
  <si>
    <t xml:space="preserve"> No inventes identificadores. Si no puedes confirmar el valor correcto, dejalo pendiente de revision.</t>
  </si>
  <si>
    <t>Formato incorrecto: identificador
Cada identificador debe ser unico dentro de su dataset. En este dataset, cada empleado debe tener un ID que empiece con la letra E seguida de exactamente 5 numeros. Por ejemplo, E12345.
1. Entra en la hoja HR DATA.
2. Haz clic en la flecha del encabezado "employee_id".
3. Selecciona Filtros de texto → No comienza por.
4. Escribe "E" y pulsa Aceptar.
5. Corrige los identificadores que aparezcan, consultando los datos originales.
6. Quita el filtro para volver a ver todos los registros.
7. Ordena la tabla por "employee_id" de A a Z.
8. Revisa los identificadores restantes. Todos deben empezar con E y tener exactamente 5 numeros despues.
9. Corrige los identificadores incorrectos usando los datos originales.
10. Revisa el Panel de control para comprobar que el contador de errores haya disminuido.</t>
  </si>
  <si>
    <t>Formato incorrecto: texto
1. Entra en la hoja HR DATA.
2. Haz clic en la flecha del encabezado "first_name".
3. Selecciona Filtros de texto → Filtro personalizado.
4. En la primera condicion, selecciona "contiene" y escribe 0.
5. Marca la opcion "O". En la segunda condicion, selecciona "contiene" y escribe 1. Pulsa Aceptar.
6. Revisa los nombres que aparecen y corrige los que tengan numeros, usando los datos originales como referencia.
7. Repite el proceso cambiando los numeros del filtro por estos pares: 2 y 3, 4 y 5, 6 y 7, 8 y 9.
8. Repite el mismo procedimiento con la columna "last_name".
9. Revisa el Panel de control para comprobar que el contador de errores haya disminuido.</t>
  </si>
  <si>
    <t>Los nombres y apellidos no deben contener numeros. El filtro permite encontrarlos de dos en dos para revisar los registros incorrectos sin usar formulas.</t>
  </si>
  <si>
    <t>Formato incorrecto: numero
1. Entra en la hoja HR DATA.
2. Haz clic en la flecha del encabezado "age".
3. Selecciona Ordenar de menor a mayor.
4. Si Excel pregunta como ordenar los numeros almacenados como texto, elige la opcion que los mantenga separados de los numeros reales.
5. Revisa el final de la tabla. Los valores almacenados como texto apareceran despues de los numeros reales. Ignora las celdas vacias.
6. Corrige los valores incorrectos. Si una edad valida esta almacenada como texto, conviertela en numero. Si contiene letras u otros datos incorrectos, consulta la fuente original.
7. Revisa el Panel de control para comprobar que el contador de errores haya disminuido.</t>
  </si>
  <si>
    <t xml:space="preserve">
Una edad debe estar almacenada como numero, no como texto. Si no puedes confirmar cual es el valor correcto, dejalo pendiente de revision.</t>
  </si>
  <si>
    <t>Un salario debe estar almacenado como numero, no como texto. Los salarios negativos y el valor 999999 se revisan porque incumplen las reglas definidas para este dataset. No inventes valores si no puedes confirmar el salario correcto.</t>
  </si>
  <si>
    <t>Formato incorrecto: fecha
1. Entra en la hoja HR DATA.
2. Haz clic en la flecha del encabezado "hire_date".
3. Selecciona Ordenar de mas antiguo a mas reciente.
4. Revisa el final de la tabla. Las fechas almacenadas como texto pueden aparecer separadas de las fechas reconocidas por Excel.
5. Selecciona las celdas con fechas almacenadas como texto, sin incluir el encabezado.
6. Entra en Datos → Texto en columnas.
7. Selecciona Delimitados y pulsa Siguiente dos veces.
8. En Formato de los datos en columnas, selecciona Fecha y elige DMA para indicar dia, mes y año.
9. Pulsa Finalizar.
10. Revisa el Panel de control para comprobar que el contador de errores haya disminuido.</t>
  </si>
  <si>
    <t>Las fechas deben ser valores reconocidos por Excel y seguir el formato esperado. Si alguna fecha sigue apareciendo como incorrecta, comprueba su valor con la fuente original antes de modificarla.</t>
  </si>
  <si>
    <t>Formato incorrecto: correo electronico
1. Entra en la hoja HR DATA.
2. Haz clic en la flecha del encabezado "email".
3. Selecciona Filtros de texto → No contiene.
4. Escribe "@" y pulsa Aceptar.
5. Revisa los correos que aparecen y corrige los que no tengan "@", consultando los datos originales.
6. Quita el filtro y vuelve a seleccionar Filtros de texto → No contiene.
7. Escribe "." y pulsa Aceptar.
8. Revisa los correos que aparecen y corrige los que no tengan un punto, consultando los datos originales.
9. Quita el filtro y revisa los correos restantes para comprobar que tengan exactamente un "@" y que exista un punto despues de el.
10. Revisa el Panel de control para comprobar que el contador de errores haya disminuido.</t>
  </si>
  <si>
    <t>Un correo debe contener exactamente un "@" y tener al menos un punto despues de el. Los filtros permiten encontrar algunos errores directamente, pero los correos con varios "@" o con el punto en una posicion incorrecta deben revisarse por separado.</t>
  </si>
  <si>
    <t>Valores mal escritos
1. Entra en la hoja HR DATA.
2. Selecciona los datos de la columna que quieres revisar, sin el encabezado.
3. Pulsa Ctrl + C.
4. Crea una hoja nueva y pega los datos en la columna A.
5. Selecciona los datos copiados y entra en Datos → Quitar duplicados.
6. Revisa la lista resultante y compara los valores con los de la hoja Permitidos, cuando corresponda.
7. Identifica los valores incorrectos y determina cual es el valor correcto.
8. Vuelve a la hoja HR DATA y pulsa Ctrl + H.
9. En "Buscar", escribe el valor incorrecto. En "Reemplazar con", escribe el valor correcto.
10. Pulsa Reemplazar todos y repite el proceso con cada valor incorrecto.</t>
  </si>
  <si>
    <t>La lista sin duplicados permite revisar cada valor diferente una sola vez, en lugar de recorrer todos los registros. No reemplaces un valor solo porque sea distinto de los demas: primero confirma cual es el correcto.</t>
  </si>
  <si>
    <t>Convertir salarios de texto a numeros
1. Entra en la hoja HR DATA.
2. Selecciona las celdas de datos de la columna "salary", sin el encabezado.
3. Pulsa Ctrl + H. En "Buscar" escribe "$" y deja "Reemplazar con" vacio. Pulsa "Reemplazar todos" para quitar los simbolos de moneda escritos dentro de los datos.
4. Con las celdas de "salary" seleccionadas, entra en Datos → Texto en columnas.
5. Selecciona "Delimitados" y pulsa "Siguiente".
6. Desmarca todos los separadores y pulsa "Siguiente".
7. En "Formato de los datos en columnas", selecciona "General".
8. Pulsa "Finalizar".
9. Revisa los salarios para comprobar que Excel los reconozca como numeros.</t>
  </si>
  <si>
    <t>Formato incorrecto: Validacion numerica
1. Entra en la hoja HR DATA.
2. Haz clic en la flecha del encabezado "salary".
3. Selecciona Filtros de numero → contiene.
4. Escribe - y pulsa Aceptar. Revisa los resultados y confirma si son correctos. Si no puedes confirmar el salario, deja la celda vacia.
5. Quita el filtro y vuelve a abrir la flecha de "salary".
6. Selecciona Filtros de numero → Es igual a.
7. Escribe 999999 y pulsa Aceptar. Revisa los resultados y confirma si son correctos consultando los datos originales.
8. Quita el filtro y ordena "salary" de menor a mayor.
9. Revisa el final de la columna. Los valores almacenados como texto pueden aparecer despues de los numeros reales. Convierte los salarios validos almacenados como texto a numeros.
10. Revisa el Panel de control para comprobar que el contador de errores haya disminuido.</t>
  </si>
  <si>
    <t xml:space="preserve">
Este procedimiento convierte los valores que Excel puede reconocer como numeros. Si alguno sigue almacenado como texto, revisa sus separadores decimales y de miles antes de modificarlo.</t>
  </si>
</sst>
</file>

<file path=xl/styles.xml><?xml version="1.0" encoding="utf-8"?>
<styleSheet xmlns="http://purl.oclc.org/ooxml/spreadsheetml/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5">
    <xf numFmtId="0" fontId="0" fillId="0" borderId="0" xfId="0"/>
    <xf numFmtId="14" fontId="0" fillId="0" borderId="0" xfId="0" applyNumberFormat="1"/>
    <xf numFmtId="3" fontId="0" fillId="0" borderId="0" xfId="0" applyNumberFormat="1"/>
    <xf numFmtId="0" fontId="0" fillId="0" borderId="0" xfId="0" applyAlignment="1">
      <alignment horizontal="center"/>
    </xf>
    <xf numFmtId="0" fontId="1" fillId="11" borderId="0" xfId="20" applyAlignment="1">
      <alignment horizontal="center"/>
    </xf>
    <xf numFmtId="0" fontId="1" fillId="11" borderId="10" xfId="20" applyBorder="1" applyAlignment="1">
      <alignment horizontal="center"/>
    </xf>
    <xf numFmtId="0" fontId="1" fillId="10" borderId="0" xfId="19" applyAlignment="1">
      <alignment horizontal="center"/>
    </xf>
    <xf numFmtId="0" fontId="17" fillId="25" borderId="0" xfId="34" applyAlignment="1">
      <alignment horizontal="center"/>
    </xf>
    <xf numFmtId="0" fontId="0" fillId="11" borderId="0" xfId="20" applyFont="1" applyAlignment="1">
      <alignment horizontal="center"/>
    </xf>
    <xf numFmtId="0" fontId="0" fillId="10" borderId="0" xfId="19" applyFont="1" applyAlignment="1">
      <alignment horizontal="center"/>
    </xf>
    <xf numFmtId="0" fontId="0" fillId="0" borderId="0" xfId="0" applyFont="1"/>
    <xf numFmtId="0" fontId="13" fillId="7" borderId="7" xfId="13" applyAlignment="1">
      <alignment horizontal="center"/>
    </xf>
    <xf numFmtId="0" fontId="1" fillId="14" borderId="0" xfId="23"/>
    <xf numFmtId="0" fontId="16" fillId="14" borderId="0" xfId="23" applyFont="1"/>
    <xf numFmtId="0" fontId="13" fillId="25" borderId="0" xfId="34" applyFont="1" applyAlignment="1">
      <alignment horizontal="center"/>
    </xf>
    <xf numFmtId="0" fontId="8" fillId="4" borderId="0" xfId="8" applyAlignment="1">
      <alignment horizontal="center"/>
    </xf>
    <xf numFmtId="0" fontId="0" fillId="14" borderId="0" xfId="23" applyFont="1" applyAlignment="1">
      <alignment horizontal="center"/>
    </xf>
    <xf numFmtId="0" fontId="0" fillId="0" borderId="0" xfId="0" applyAlignment="1">
      <alignment horizontal="left"/>
    </xf>
    <xf numFmtId="0" fontId="1" fillId="31" borderId="0" xfId="40" applyAlignment="1">
      <alignment vertical="top" wrapText="1"/>
    </xf>
    <xf numFmtId="0" fontId="1" fillId="31" borderId="0" xfId="40" applyAlignment="1">
      <alignment horizontal="left" vertical="top" wrapText="1"/>
    </xf>
    <xf numFmtId="0" fontId="1" fillId="31" borderId="0" xfId="40" applyAlignment="1">
      <alignment horizontal="center" vertical="center" wrapText="1"/>
    </xf>
    <xf numFmtId="0" fontId="1" fillId="30" borderId="0" xfId="39" applyAlignment="1">
      <alignment vertical="top" wrapText="1"/>
    </xf>
    <xf numFmtId="0" fontId="1" fillId="30" borderId="0" xfId="39" applyAlignment="1">
      <alignment horizontal="center" vertical="center" wrapText="1"/>
    </xf>
    <xf numFmtId="0" fontId="17" fillId="9" borderId="0" xfId="18"/>
    <xf numFmtId="0" fontId="1" fillId="31" borderId="0" xfId="4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
    <dxf>
      <font>
        <color rgb="FF9C0006"/>
      </font>
      <fill>
        <patternFill>
          <bgColor rgb="FFFFC7CE"/>
        </patternFill>
      </fill>
    </dxf>
    <dxf>
      <font>
        <color rgb="FF006100"/>
      </font>
      <fill>
        <patternFill>
          <bgColor rgb="FFC6EFCE"/>
        </patternFill>
      </fill>
    </dxf>
    <dxf>
      <alignment horizontal="left" vertical="bottom" textRotation="0" wrapText="0" indent="0" justifyLastLine="0" shrinkToFit="0" readingOrder="0"/>
    </dxf>
    <dxf>
      <numFmt numFmtId="19" formatCode="dd/mm/yyyy"/>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alcChain" Target="calcChain.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worksheet" Target="worksheets/sheet4.xml"/></Relationships>
</file>

<file path=xl/tables/table1.xml><?xml version="1.0" encoding="utf-8"?>
<table xmlns="http://purl.oclc.org/ooxml/spreadsheetml/main" id="1" name="Datos" displayName="Datos" ref="A1:L5001" totalsRowShown="0">
  <autoFilter ref="A1:L5001"/>
  <tableColumns count="12">
    <tableColumn id="1" name="employee_id"/>
    <tableColumn id="2" name="first_name"/>
    <tableColumn id="3" name="last_name"/>
    <tableColumn id="4" name="gender"/>
    <tableColumn id="5" name="age"/>
    <tableColumn id="6" name="department"/>
    <tableColumn id="7" name="job_title"/>
    <tableColumn id="8" name="salary"/>
    <tableColumn id="9" name="hire_date" dataDxfId="3"/>
    <tableColumn id="10" name="email"/>
    <tableColumn id="11" name="city" dataDxfId="2"/>
    <tableColumn id="12" name="performance_rating"/>
  </tableColumns>
  <tableStyleInfo name="TableStyleMedium2" showFirstColumn="0" showLastColumn="0" showRowStripes="1" showColumnStripes="0"/>
</table>
</file>

<file path=xl/tables/table2.xml><?xml version="1.0" encoding="utf-8"?>
<table xmlns="http://purl.oclc.org/ooxml/spreadsheetml/main" id="2" name="Permitidos" displayName="Permitidos" ref="A1:L20" totalsRowShown="0">
  <autoFilter ref="A1:L20"/>
  <tableColumns count="12">
    <tableColumn id="1" name="employee_id"/>
    <tableColumn id="2" name="first_name"/>
    <tableColumn id="3" name="last_name"/>
    <tableColumn id="4" name="gender"/>
    <tableColumn id="5" name="age"/>
    <tableColumn id="6" name="department"/>
    <tableColumn id="7" name="job_title"/>
    <tableColumn id="8" name="salary"/>
    <tableColumn id="9" name="hire_date"/>
    <tableColumn id="10" name="email"/>
    <tableColumn id="11" name="city"/>
    <tableColumn id="12" name="performance_rating"/>
  </tableColumns>
  <tableStyleInfo name="TableStyleLight18" showFirstColumn="0" showLastColumn="0" showRowStripes="1" showColumnStripes="0"/>
</table>
</file>

<file path=xl/theme/theme1.xml><?xml version="1.0" encoding="utf-8"?>
<a:theme xmlns:a="http://purl.oclc.org/ooxml/drawingml/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4.xml.rels><?xml version="1.0" encoding="UTF-8" standalone="yes"?>
<Relationships xmlns="http://schemas.openxmlformats.org/package/2006/relationships"><Relationship Id="rId1" Type="http://purl.oclc.org/ooxml/officeDocument/relationships/table" Target="../tables/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tabColor theme="4" tint="0.39997558519241921"/>
  </sheetPr>
  <dimension ref="A1:L5001"/>
  <sheetViews>
    <sheetView workbookViewId="0">
      <selection activeCell="L1" sqref="L1"/>
    </sheetView>
  </sheetViews>
  <sheetFormatPr baseColWidth="10" defaultRowHeight="15" x14ac:dyDescent="0.25"/>
  <cols>
    <col min="1" max="1" width="14.85546875" customWidth="1"/>
    <col min="2" max="2" width="12.7109375" customWidth="1"/>
    <col min="3" max="3" width="12.28515625" customWidth="1"/>
    <col min="6" max="6" width="13.7109375" customWidth="1"/>
    <col min="9" max="9" width="11.7109375" style="1" customWidth="1"/>
    <col min="10" max="10" width="40.140625" customWidth="1"/>
    <col min="11" max="11" width="11.42578125" style="17"/>
    <col min="12" max="12" width="23.7109375" customWidth="1"/>
  </cols>
  <sheetData>
    <row r="1" spans="1:12" x14ac:dyDescent="0.25">
      <c r="A1" t="s">
        <v>0</v>
      </c>
      <c r="B1" t="s">
        <v>1</v>
      </c>
      <c r="C1" t="s">
        <v>2</v>
      </c>
      <c r="D1" t="s">
        <v>3</v>
      </c>
      <c r="E1" t="s">
        <v>4</v>
      </c>
      <c r="F1" t="s">
        <v>5</v>
      </c>
      <c r="G1" t="s">
        <v>6</v>
      </c>
      <c r="H1" t="s">
        <v>7</v>
      </c>
      <c r="I1" s="1" t="s">
        <v>8</v>
      </c>
      <c r="J1" t="s">
        <v>9</v>
      </c>
      <c r="K1" s="17" t="s">
        <v>10</v>
      </c>
      <c r="L1" s="23" t="s">
        <v>11</v>
      </c>
    </row>
    <row r="2" spans="1:12" x14ac:dyDescent="0.25">
      <c r="A2" t="s">
        <v>12</v>
      </c>
      <c r="B2" t="s">
        <v>13</v>
      </c>
      <c r="C2" t="s">
        <v>14</v>
      </c>
      <c r="D2" t="s">
        <v>9527</v>
      </c>
      <c r="E2">
        <v>56</v>
      </c>
      <c r="F2" t="s">
        <v>15</v>
      </c>
      <c r="G2" t="s">
        <v>16</v>
      </c>
      <c r="H2" t="s">
        <v>17</v>
      </c>
      <c r="I2" s="1" t="d">
        <v>2007-03-10</v>
      </c>
      <c r="J2" t="s">
        <v>18</v>
      </c>
      <c r="K2" s="17" t="s">
        <v>19</v>
      </c>
      <c r="L2">
        <v>3</v>
      </c>
    </row>
    <row r="3" spans="1:12" x14ac:dyDescent="0.25">
      <c r="A3" t="s">
        <v>20</v>
      </c>
      <c r="B3" t="s">
        <v>21</v>
      </c>
      <c r="C3" t="s">
        <v>22</v>
      </c>
      <c r="D3" t="s">
        <v>23</v>
      </c>
      <c r="E3">
        <v>28</v>
      </c>
      <c r="F3" t="s">
        <v>24</v>
      </c>
      <c r="G3" t="s">
        <v>25</v>
      </c>
      <c r="H3" s="2">
        <v>119403</v>
      </c>
      <c r="I3" s="1" t="d">
        <v>2021-07-13</v>
      </c>
      <c r="J3" t="s">
        <v>26</v>
      </c>
      <c r="K3" s="17" t="s">
        <v>27</v>
      </c>
      <c r="L3">
        <v>5</v>
      </c>
    </row>
    <row r="4" spans="1:12" x14ac:dyDescent="0.25">
      <c r="A4" t="s">
        <v>28</v>
      </c>
      <c r="B4" t="s">
        <v>29</v>
      </c>
      <c r="C4" t="s">
        <v>30</v>
      </c>
      <c r="D4" t="s">
        <v>23</v>
      </c>
      <c r="E4">
        <v>29</v>
      </c>
      <c r="F4" t="s">
        <v>31</v>
      </c>
      <c r="G4" t="s">
        <v>32</v>
      </c>
      <c r="I4" s="1" t="d">
        <v>2007-07-02</v>
      </c>
      <c r="J4" t="s">
        <v>33</v>
      </c>
      <c r="K4" s="17" t="s">
        <v>34</v>
      </c>
      <c r="L4">
        <v>5</v>
      </c>
    </row>
    <row r="5" spans="1:12" x14ac:dyDescent="0.25">
      <c r="A5" t="s">
        <v>35</v>
      </c>
      <c r="B5" t="s">
        <v>36</v>
      </c>
      <c r="C5" t="s">
        <v>37</v>
      </c>
      <c r="D5" t="s">
        <v>9527</v>
      </c>
      <c r="E5">
        <v>36</v>
      </c>
      <c r="F5" t="s">
        <v>38</v>
      </c>
      <c r="G5" t="s">
        <v>39</v>
      </c>
      <c r="H5" t="s">
        <v>40</v>
      </c>
      <c r="I5" s="1" t="d">
        <v>2015-02-12</v>
      </c>
      <c r="J5" t="s">
        <v>41</v>
      </c>
      <c r="K5" s="17" t="s">
        <v>42</v>
      </c>
      <c r="L5">
        <v>3</v>
      </c>
    </row>
    <row r="6" spans="1:12" x14ac:dyDescent="0.25">
      <c r="A6" t="s">
        <v>43</v>
      </c>
      <c r="B6" t="s">
        <v>44</v>
      </c>
      <c r="C6" t="s">
        <v>45</v>
      </c>
      <c r="D6" t="s">
        <v>46</v>
      </c>
      <c r="E6">
        <v>43</v>
      </c>
      <c r="F6" t="s">
        <v>47</v>
      </c>
      <c r="G6" t="s">
        <v>48</v>
      </c>
      <c r="H6" s="2">
        <v>59738</v>
      </c>
      <c r="I6" s="1" t="d">
        <v>2009-12-13</v>
      </c>
      <c r="J6" t="s">
        <v>49</v>
      </c>
      <c r="K6" s="17" t="s">
        <v>50</v>
      </c>
      <c r="L6">
        <v>2</v>
      </c>
    </row>
    <row r="7" spans="1:12" x14ac:dyDescent="0.25">
      <c r="A7" t="s">
        <v>51</v>
      </c>
      <c r="B7" t="s">
        <v>52</v>
      </c>
      <c r="C7" t="s">
        <v>53</v>
      </c>
      <c r="D7" t="s">
        <v>9527</v>
      </c>
      <c r="E7">
        <v>44</v>
      </c>
      <c r="F7" t="s">
        <v>54</v>
      </c>
      <c r="G7" t="s">
        <v>55</v>
      </c>
      <c r="H7" t="s">
        <v>56</v>
      </c>
      <c r="I7" s="1" t="d">
        <v>2020-05-25</v>
      </c>
      <c r="J7" t="s">
        <v>57</v>
      </c>
      <c r="K7" s="17" t="s">
        <v>58</v>
      </c>
      <c r="L7">
        <v>3</v>
      </c>
    </row>
    <row r="8" spans="1:12" x14ac:dyDescent="0.25">
      <c r="A8" t="s">
        <v>59</v>
      </c>
      <c r="B8" t="s">
        <v>60</v>
      </c>
      <c r="C8" t="s">
        <v>61</v>
      </c>
      <c r="D8" t="s">
        <v>9527</v>
      </c>
      <c r="E8">
        <v>26</v>
      </c>
      <c r="F8" t="s">
        <v>62</v>
      </c>
      <c r="G8" t="s">
        <v>63</v>
      </c>
      <c r="H8">
        <v>148727</v>
      </c>
      <c r="I8" s="1" t="d">
        <v>2010-08-21</v>
      </c>
      <c r="J8" t="s">
        <v>64</v>
      </c>
      <c r="K8" s="17" t="s">
        <v>42</v>
      </c>
      <c r="L8">
        <v>4</v>
      </c>
    </row>
    <row r="9" spans="1:12" x14ac:dyDescent="0.25">
      <c r="A9" t="s">
        <v>65</v>
      </c>
      <c r="B9" t="s">
        <v>66</v>
      </c>
      <c r="C9" t="s">
        <v>67</v>
      </c>
      <c r="D9" t="s">
        <v>46</v>
      </c>
      <c r="E9">
        <v>50</v>
      </c>
      <c r="F9" t="s">
        <v>68</v>
      </c>
      <c r="G9" t="s">
        <v>69</v>
      </c>
      <c r="H9" s="2">
        <v>102926</v>
      </c>
      <c r="I9" s="1" t="d">
        <v>2012-11-10</v>
      </c>
      <c r="J9" t="s">
        <v>70</v>
      </c>
      <c r="K9" s="17" t="s">
        <v>71</v>
      </c>
      <c r="L9">
        <v>4</v>
      </c>
    </row>
    <row r="10" spans="1:12" x14ac:dyDescent="0.25">
      <c r="A10" t="s">
        <v>72</v>
      </c>
      <c r="B10" t="s">
        <v>73</v>
      </c>
      <c r="C10" t="s">
        <v>74</v>
      </c>
      <c r="D10" t="s">
        <v>9527</v>
      </c>
      <c r="E10">
        <v>45</v>
      </c>
      <c r="F10" t="s">
        <v>75</v>
      </c>
      <c r="G10" t="s">
        <v>55</v>
      </c>
      <c r="H10" t="s">
        <v>76</v>
      </c>
      <c r="I10" s="1" t="d">
        <v>2015-01-03</v>
      </c>
      <c r="J10" t="s">
        <v>77</v>
      </c>
      <c r="K10" s="17" t="s">
        <v>50</v>
      </c>
      <c r="L10">
        <v>4</v>
      </c>
    </row>
    <row r="11" spans="1:12" x14ac:dyDescent="0.25">
      <c r="A11" t="s">
        <v>78</v>
      </c>
      <c r="B11" t="s">
        <v>79</v>
      </c>
      <c r="C11" t="s">
        <v>80</v>
      </c>
      <c r="D11" t="s">
        <v>46</v>
      </c>
      <c r="E11">
        <v>42</v>
      </c>
      <c r="F11" t="s">
        <v>81</v>
      </c>
      <c r="G11" t="s">
        <v>82</v>
      </c>
      <c r="H11" t="s">
        <v>83</v>
      </c>
      <c r="I11" s="1" t="d">
        <v>2006-12-06</v>
      </c>
      <c r="J11" t="s">
        <v>84</v>
      </c>
      <c r="K11" s="17" t="s">
        <v>58</v>
      </c>
      <c r="L11">
        <v>4</v>
      </c>
    </row>
    <row r="12" spans="1:12" x14ac:dyDescent="0.25">
      <c r="A12" t="s">
        <v>85</v>
      </c>
      <c r="B12" t="s">
        <v>86</v>
      </c>
      <c r="C12" t="s">
        <v>87</v>
      </c>
      <c r="D12" t="s">
        <v>46</v>
      </c>
      <c r="E12">
        <v>36</v>
      </c>
      <c r="G12" t="s">
        <v>88</v>
      </c>
      <c r="H12" s="2">
        <v>94159</v>
      </c>
      <c r="I12" s="1" t="d">
        <v>2018-12-26</v>
      </c>
      <c r="J12" t="s">
        <v>89</v>
      </c>
      <c r="K12" s="17" t="s">
        <v>90</v>
      </c>
      <c r="L12">
        <v>3</v>
      </c>
    </row>
    <row r="13" spans="1:12" x14ac:dyDescent="0.25">
      <c r="A13" t="s">
        <v>91</v>
      </c>
      <c r="B13" t="s">
        <v>92</v>
      </c>
      <c r="C13" t="s">
        <v>93</v>
      </c>
      <c r="D13" t="s">
        <v>9527</v>
      </c>
      <c r="E13">
        <v>27</v>
      </c>
      <c r="F13" t="s">
        <v>94</v>
      </c>
      <c r="G13" t="s">
        <v>95</v>
      </c>
      <c r="H13">
        <v>65732</v>
      </c>
      <c r="J13" t="s">
        <v>96</v>
      </c>
      <c r="K13" s="17" t="s">
        <v>90</v>
      </c>
      <c r="L13">
        <v>3</v>
      </c>
    </row>
    <row r="14" spans="1:12" x14ac:dyDescent="0.25">
      <c r="A14" t="s">
        <v>97</v>
      </c>
      <c r="B14" t="s">
        <v>98</v>
      </c>
      <c r="C14" t="s">
        <v>93</v>
      </c>
      <c r="D14" t="s">
        <v>23</v>
      </c>
      <c r="E14">
        <v>40</v>
      </c>
      <c r="F14" t="s">
        <v>31</v>
      </c>
      <c r="G14" t="s">
        <v>88</v>
      </c>
      <c r="I14" s="1" t="d">
        <v>2021-10-04</v>
      </c>
      <c r="J14" t="s">
        <v>99</v>
      </c>
      <c r="K14" s="17" t="s">
        <v>100</v>
      </c>
      <c r="L14">
        <v>5</v>
      </c>
    </row>
    <row r="15" spans="1:12" x14ac:dyDescent="0.25">
      <c r="A15" t="s">
        <v>101</v>
      </c>
      <c r="B15" t="s">
        <v>102</v>
      </c>
      <c r="C15" t="s">
        <v>103</v>
      </c>
      <c r="D15" t="s">
        <v>9527</v>
      </c>
      <c r="E15">
        <v>38</v>
      </c>
      <c r="F15" t="s">
        <v>104</v>
      </c>
      <c r="G15" t="s">
        <v>16</v>
      </c>
      <c r="I15" s="1" t="d">
        <v>2024-05-08</v>
      </c>
      <c r="J15" t="s">
        <v>105</v>
      </c>
      <c r="K15" s="17" t="s">
        <v>34</v>
      </c>
      <c r="L15">
        <v>3</v>
      </c>
    </row>
    <row r="16" spans="1:12" x14ac:dyDescent="0.25">
      <c r="A16" t="s">
        <v>106</v>
      </c>
      <c r="B16" t="s">
        <v>36</v>
      </c>
      <c r="C16" t="s">
        <v>107</v>
      </c>
      <c r="D16" t="s">
        <v>9527</v>
      </c>
      <c r="E16">
        <v>34</v>
      </c>
      <c r="F16" t="s">
        <v>108</v>
      </c>
      <c r="G16" t="s">
        <v>109</v>
      </c>
      <c r="H16">
        <v>121027</v>
      </c>
      <c r="I16" s="1" t="d">
        <v>2009-07-23</v>
      </c>
      <c r="J16" t="s">
        <v>110</v>
      </c>
      <c r="K16" s="17" t="s">
        <v>58</v>
      </c>
      <c r="L16">
        <v>3</v>
      </c>
    </row>
    <row r="17" spans="1:12" x14ac:dyDescent="0.25">
      <c r="A17" t="s">
        <v>111</v>
      </c>
      <c r="B17" t="s">
        <v>112</v>
      </c>
      <c r="C17" s="17" t="s">
        <v>113</v>
      </c>
      <c r="D17" t="s">
        <v>23</v>
      </c>
      <c r="E17">
        <v>21</v>
      </c>
      <c r="F17" t="s">
        <v>114</v>
      </c>
      <c r="G17" t="s">
        <v>115</v>
      </c>
      <c r="H17" t="s">
        <v>116</v>
      </c>
      <c r="J17" t="s">
        <v>117</v>
      </c>
      <c r="K17" s="17" t="s">
        <v>118</v>
      </c>
      <c r="L17">
        <v>1</v>
      </c>
    </row>
    <row r="18" spans="1:12" x14ac:dyDescent="0.25">
      <c r="A18" t="s">
        <v>119</v>
      </c>
      <c r="B18" t="s">
        <v>120</v>
      </c>
      <c r="C18" t="s">
        <v>121</v>
      </c>
      <c r="D18" t="s">
        <v>46</v>
      </c>
      <c r="E18">
        <v>29</v>
      </c>
      <c r="F18" t="s">
        <v>122</v>
      </c>
      <c r="G18" t="s">
        <v>48</v>
      </c>
      <c r="I18" s="1" t="d">
        <v>2012-04-15</v>
      </c>
      <c r="J18" t="s">
        <v>123</v>
      </c>
      <c r="K18" s="17" t="s">
        <v>27</v>
      </c>
      <c r="L18">
        <v>5</v>
      </c>
    </row>
    <row r="19" spans="1:12" x14ac:dyDescent="0.25">
      <c r="A19" t="s">
        <v>124</v>
      </c>
      <c r="B19" t="s">
        <v>125</v>
      </c>
      <c r="C19" t="s">
        <v>74</v>
      </c>
      <c r="D19" t="s">
        <v>9527</v>
      </c>
      <c r="E19">
        <v>24</v>
      </c>
      <c r="F19" t="s">
        <v>126</v>
      </c>
      <c r="G19" t="s">
        <v>127</v>
      </c>
      <c r="H19" s="2">
        <v>-83393</v>
      </c>
      <c r="I19" s="1" t="d">
        <v>2024-01-30</v>
      </c>
      <c r="J19" t="s">
        <v>128</v>
      </c>
      <c r="K19" s="17" t="s">
        <v>58</v>
      </c>
      <c r="L19">
        <v>3</v>
      </c>
    </row>
    <row r="20" spans="1:12" x14ac:dyDescent="0.25">
      <c r="A20" t="s">
        <v>129</v>
      </c>
      <c r="B20" t="s">
        <v>130</v>
      </c>
      <c r="C20" t="s">
        <v>74</v>
      </c>
      <c r="D20" t="s">
        <v>9527</v>
      </c>
      <c r="E20">
        <v>22</v>
      </c>
      <c r="F20" t="s">
        <v>126</v>
      </c>
      <c r="G20" t="s">
        <v>131</v>
      </c>
      <c r="I20" s="1" t="d">
        <v>2015-07-24</v>
      </c>
      <c r="J20" t="s">
        <v>132</v>
      </c>
      <c r="K20" s="17" t="s">
        <v>90</v>
      </c>
      <c r="L20">
        <v>4</v>
      </c>
    </row>
    <row r="21" spans="1:12" x14ac:dyDescent="0.25">
      <c r="A21" t="s">
        <v>133</v>
      </c>
      <c r="B21" t="s">
        <v>134</v>
      </c>
      <c r="C21" t="s">
        <v>135</v>
      </c>
      <c r="D21" t="s">
        <v>46</v>
      </c>
      <c r="E21">
        <v>42</v>
      </c>
      <c r="F21" t="s">
        <v>122</v>
      </c>
      <c r="G21" t="s">
        <v>69</v>
      </c>
      <c r="H21" t="s">
        <v>136</v>
      </c>
      <c r="I21" s="1" t="d">
        <v>2007-02-14</v>
      </c>
      <c r="J21" t="s">
        <v>137</v>
      </c>
      <c r="K21" s="17" t="s">
        <v>71</v>
      </c>
      <c r="L21">
        <v>4</v>
      </c>
    </row>
    <row r="22" spans="1:12" x14ac:dyDescent="0.25">
      <c r="A22" t="s">
        <v>138</v>
      </c>
      <c r="B22" t="s">
        <v>139</v>
      </c>
      <c r="C22" t="s">
        <v>140</v>
      </c>
      <c r="D22" t="s">
        <v>46</v>
      </c>
      <c r="E22">
        <v>47</v>
      </c>
      <c r="G22" t="s">
        <v>141</v>
      </c>
      <c r="H22" s="2">
        <v>56984</v>
      </c>
      <c r="I22" s="1" t="d">
        <v>2016-02-10</v>
      </c>
      <c r="J22" t="s">
        <v>142</v>
      </c>
      <c r="K22" s="17" t="s">
        <v>42</v>
      </c>
      <c r="L22">
        <v>2</v>
      </c>
    </row>
    <row r="23" spans="1:12" x14ac:dyDescent="0.25">
      <c r="A23" t="s">
        <v>143</v>
      </c>
      <c r="B23" t="s">
        <v>144</v>
      </c>
      <c r="C23" t="s">
        <v>145</v>
      </c>
      <c r="D23" t="s">
        <v>23</v>
      </c>
      <c r="E23">
        <v>30</v>
      </c>
      <c r="F23" t="s">
        <v>146</v>
      </c>
      <c r="G23" t="s">
        <v>147</v>
      </c>
      <c r="H23">
        <v>139045</v>
      </c>
      <c r="J23" t="s">
        <v>148</v>
      </c>
      <c r="K23" s="17" t="s">
        <v>149</v>
      </c>
      <c r="L23">
        <v>4</v>
      </c>
    </row>
    <row r="24" spans="1:12" x14ac:dyDescent="0.25">
      <c r="A24" t="s">
        <v>150</v>
      </c>
      <c r="B24" t="s">
        <v>151</v>
      </c>
      <c r="C24" t="s">
        <v>152</v>
      </c>
      <c r="D24" t="s">
        <v>9527</v>
      </c>
      <c r="E24">
        <v>45</v>
      </c>
      <c r="F24" t="s">
        <v>153</v>
      </c>
      <c r="G24" t="s">
        <v>115</v>
      </c>
      <c r="H24" t="s">
        <v>154</v>
      </c>
      <c r="I24" s="1" t="d">
        <v>2014-06-17</v>
      </c>
      <c r="J24" t="s">
        <v>155</v>
      </c>
      <c r="K24" s="17" t="s">
        <v>118</v>
      </c>
      <c r="L24">
        <v>3</v>
      </c>
    </row>
    <row r="25" spans="1:12" x14ac:dyDescent="0.25">
      <c r="A25" t="s">
        <v>156</v>
      </c>
      <c r="B25" t="s">
        <v>157</v>
      </c>
      <c r="C25" t="s">
        <v>158</v>
      </c>
      <c r="D25" t="s">
        <v>9527</v>
      </c>
      <c r="E25">
        <v>24</v>
      </c>
      <c r="G25" t="s">
        <v>159</v>
      </c>
      <c r="H25" s="2">
        <v>88558</v>
      </c>
      <c r="I25" s="1" t="d">
        <v>2018-04-01</v>
      </c>
      <c r="J25" t="s">
        <v>160</v>
      </c>
      <c r="K25" s="17" t="s">
        <v>19</v>
      </c>
      <c r="L25">
        <v>3</v>
      </c>
    </row>
    <row r="26" spans="1:12" x14ac:dyDescent="0.25">
      <c r="A26" t="s">
        <v>161</v>
      </c>
      <c r="B26" t="s">
        <v>162</v>
      </c>
      <c r="C26" t="s">
        <v>163</v>
      </c>
      <c r="D26" t="s">
        <v>23</v>
      </c>
      <c r="E26">
        <v>36</v>
      </c>
      <c r="G26" t="s">
        <v>164</v>
      </c>
      <c r="H26">
        <v>56678</v>
      </c>
      <c r="I26" s="1" t="d">
        <v>2019-11-17</v>
      </c>
      <c r="J26" t="s">
        <v>165</v>
      </c>
      <c r="K26" s="17" t="s">
        <v>71</v>
      </c>
      <c r="L26">
        <v>4</v>
      </c>
    </row>
    <row r="27" spans="1:12" x14ac:dyDescent="0.25">
      <c r="A27" t="s">
        <v>166</v>
      </c>
      <c r="B27" t="s">
        <v>167</v>
      </c>
      <c r="C27" t="s">
        <v>168</v>
      </c>
      <c r="D27" t="s">
        <v>9527</v>
      </c>
      <c r="E27">
        <v>31</v>
      </c>
      <c r="F27" t="s">
        <v>169</v>
      </c>
      <c r="G27" t="s">
        <v>170</v>
      </c>
      <c r="H27" t="s">
        <v>171</v>
      </c>
      <c r="I27" s="1" t="d">
        <v>2012-04-25</v>
      </c>
      <c r="J27" t="s">
        <v>172</v>
      </c>
      <c r="K27" s="17" t="s">
        <v>149</v>
      </c>
      <c r="L27">
        <v>3</v>
      </c>
    </row>
    <row r="28" spans="1:12" x14ac:dyDescent="0.25">
      <c r="A28" t="s">
        <v>173</v>
      </c>
      <c r="B28" t="s">
        <v>174</v>
      </c>
      <c r="C28" t="s">
        <v>175</v>
      </c>
      <c r="D28" t="s">
        <v>23</v>
      </c>
      <c r="E28">
        <v>56</v>
      </c>
      <c r="F28" t="s">
        <v>176</v>
      </c>
      <c r="G28" t="s">
        <v>177</v>
      </c>
      <c r="I28" s="1" t="d">
        <v>2023-05-17</v>
      </c>
      <c r="J28" t="s">
        <v>178</v>
      </c>
      <c r="K28" s="17" t="s">
        <v>50</v>
      </c>
      <c r="L28">
        <v>4</v>
      </c>
    </row>
    <row r="29" spans="1:12" x14ac:dyDescent="0.25">
      <c r="A29" t="s">
        <v>179</v>
      </c>
      <c r="B29" t="s">
        <v>180</v>
      </c>
      <c r="C29" t="s">
        <v>181</v>
      </c>
      <c r="D29" t="s">
        <v>46</v>
      </c>
      <c r="E29">
        <v>53</v>
      </c>
      <c r="F29" t="s">
        <v>31</v>
      </c>
      <c r="G29" t="s">
        <v>182</v>
      </c>
      <c r="H29">
        <v>70531</v>
      </c>
      <c r="J29" t="s">
        <v>183</v>
      </c>
      <c r="K29" s="17" t="s">
        <v>184</v>
      </c>
      <c r="L29">
        <v>3</v>
      </c>
    </row>
    <row r="30" spans="1:12" x14ac:dyDescent="0.25">
      <c r="A30" t="s">
        <v>185</v>
      </c>
      <c r="B30" t="s">
        <v>139</v>
      </c>
      <c r="C30" t="s">
        <v>168</v>
      </c>
      <c r="D30" t="s">
        <v>23</v>
      </c>
      <c r="E30">
        <v>41</v>
      </c>
      <c r="F30" t="s">
        <v>186</v>
      </c>
      <c r="G30" t="s">
        <v>115</v>
      </c>
      <c r="H30">
        <v>102412</v>
      </c>
      <c r="I30" s="1" t="d">
        <v>2007-09-26</v>
      </c>
      <c r="J30" t="s">
        <v>187</v>
      </c>
      <c r="K30" s="17" t="s">
        <v>50</v>
      </c>
      <c r="L30">
        <v>3</v>
      </c>
    </row>
    <row r="31" spans="1:12" x14ac:dyDescent="0.25">
      <c r="A31" t="s">
        <v>188</v>
      </c>
      <c r="B31" t="s">
        <v>66</v>
      </c>
      <c r="C31" t="s">
        <v>189</v>
      </c>
      <c r="D31" t="s">
        <v>23</v>
      </c>
      <c r="E31">
        <v>31</v>
      </c>
      <c r="F31" t="s">
        <v>190</v>
      </c>
      <c r="G31" t="s">
        <v>191</v>
      </c>
      <c r="H31" s="2">
        <v>54430</v>
      </c>
      <c r="I31" s="1" t="d">
        <v>2012-07-31</v>
      </c>
      <c r="J31" t="s">
        <v>192</v>
      </c>
      <c r="K31" s="17" t="s">
        <v>90</v>
      </c>
      <c r="L31">
        <v>5</v>
      </c>
    </row>
    <row r="32" spans="1:12" x14ac:dyDescent="0.25">
      <c r="A32" t="s">
        <v>193</v>
      </c>
      <c r="B32" t="s">
        <v>194</v>
      </c>
      <c r="C32" t="s">
        <v>195</v>
      </c>
      <c r="D32" t="s">
        <v>46</v>
      </c>
      <c r="E32">
        <v>34</v>
      </c>
      <c r="F32" t="s">
        <v>196</v>
      </c>
      <c r="G32" t="s">
        <v>115</v>
      </c>
      <c r="H32">
        <v>46991</v>
      </c>
      <c r="I32" s="1" t="d">
        <v>2006-06-14</v>
      </c>
      <c r="J32" t="s">
        <v>197</v>
      </c>
      <c r="K32" s="17" t="s">
        <v>34</v>
      </c>
      <c r="L32">
        <v>1</v>
      </c>
    </row>
    <row r="33" spans="1:12" x14ac:dyDescent="0.25">
      <c r="A33" t="s">
        <v>198</v>
      </c>
      <c r="B33" t="s">
        <v>199</v>
      </c>
      <c r="C33" t="s">
        <v>61</v>
      </c>
      <c r="D33" t="s">
        <v>46</v>
      </c>
      <c r="E33">
        <v>42</v>
      </c>
      <c r="F33" t="s">
        <v>200</v>
      </c>
      <c r="G33" t="s">
        <v>82</v>
      </c>
      <c r="H33">
        <v>88857</v>
      </c>
      <c r="I33" s="1" t="d">
        <v>2008-01-24</v>
      </c>
      <c r="J33" t="s">
        <v>201</v>
      </c>
      <c r="K33" s="17" t="s">
        <v>42</v>
      </c>
      <c r="L33">
        <v>4</v>
      </c>
    </row>
    <row r="34" spans="1:12" x14ac:dyDescent="0.25">
      <c r="A34" t="s">
        <v>202</v>
      </c>
      <c r="B34" t="s">
        <v>203</v>
      </c>
      <c r="C34" t="s">
        <v>204</v>
      </c>
      <c r="D34" t="s">
        <v>9527</v>
      </c>
      <c r="E34">
        <v>42</v>
      </c>
      <c r="G34" t="s">
        <v>205</v>
      </c>
      <c r="H34" s="2">
        <v>57450</v>
      </c>
      <c r="I34" s="1" t="d">
        <v>2010-07-08</v>
      </c>
      <c r="J34" t="s">
        <v>206</v>
      </c>
      <c r="K34" s="17" t="s">
        <v>207</v>
      </c>
      <c r="L34">
        <v>3</v>
      </c>
    </row>
    <row r="35" spans="1:12" x14ac:dyDescent="0.25">
      <c r="A35" t="s">
        <v>208</v>
      </c>
      <c r="B35" t="s">
        <v>209</v>
      </c>
      <c r="C35" t="s">
        <v>210</v>
      </c>
      <c r="D35" t="s">
        <v>23</v>
      </c>
      <c r="E35">
        <v>40</v>
      </c>
      <c r="F35" t="s">
        <v>211</v>
      </c>
      <c r="G35" t="s">
        <v>212</v>
      </c>
      <c r="I35" s="1" t="d">
        <v>2020-02-01</v>
      </c>
      <c r="J35" t="s">
        <v>213</v>
      </c>
      <c r="K35" s="17" t="s">
        <v>50</v>
      </c>
      <c r="L35">
        <v>3</v>
      </c>
    </row>
    <row r="36" spans="1:12" x14ac:dyDescent="0.25">
      <c r="A36" t="s">
        <v>214</v>
      </c>
      <c r="B36" t="s">
        <v>92</v>
      </c>
      <c r="C36" t="s">
        <v>215</v>
      </c>
      <c r="D36" t="s">
        <v>9527</v>
      </c>
      <c r="E36">
        <v>29</v>
      </c>
      <c r="F36" t="s">
        <v>216</v>
      </c>
      <c r="G36" t="s">
        <v>217</v>
      </c>
      <c r="H36" t="s">
        <v>218</v>
      </c>
      <c r="I36" s="1" t="d">
        <v>2019-05-29</v>
      </c>
      <c r="J36" t="s">
        <v>219</v>
      </c>
      <c r="K36" s="17" t="s">
        <v>149</v>
      </c>
      <c r="L36">
        <v>3</v>
      </c>
    </row>
    <row r="37" spans="1:12" x14ac:dyDescent="0.25">
      <c r="A37" t="s">
        <v>220</v>
      </c>
      <c r="B37" t="s">
        <v>221</v>
      </c>
      <c r="C37" t="s">
        <v>14</v>
      </c>
      <c r="D37" t="s">
        <v>23</v>
      </c>
      <c r="E37">
        <v>50</v>
      </c>
      <c r="F37" t="s">
        <v>196</v>
      </c>
      <c r="G37" t="s">
        <v>48</v>
      </c>
      <c r="H37">
        <v>38928</v>
      </c>
      <c r="I37" s="1" t="d">
        <v>2022-08-26</v>
      </c>
      <c r="J37" t="s">
        <v>222</v>
      </c>
      <c r="K37" s="17" t="s">
        <v>34</v>
      </c>
      <c r="L37">
        <v>5</v>
      </c>
    </row>
    <row r="38" spans="1:12" x14ac:dyDescent="0.25">
      <c r="A38" t="s">
        <v>223</v>
      </c>
      <c r="B38" t="s">
        <v>224</v>
      </c>
      <c r="C38" t="s">
        <v>225</v>
      </c>
      <c r="D38" t="s">
        <v>46</v>
      </c>
      <c r="E38">
        <v>35</v>
      </c>
      <c r="G38" t="s">
        <v>69</v>
      </c>
      <c r="H38" s="2">
        <v>85797</v>
      </c>
      <c r="I38" s="1" t="d">
        <v>2023-04-01</v>
      </c>
      <c r="J38" t="s">
        <v>226</v>
      </c>
      <c r="K38" s="17" t="s">
        <v>58</v>
      </c>
      <c r="L38">
        <v>2</v>
      </c>
    </row>
    <row r="39" spans="1:12" x14ac:dyDescent="0.25">
      <c r="A39" t="s">
        <v>227</v>
      </c>
      <c r="B39" t="s">
        <v>228</v>
      </c>
      <c r="C39" t="s">
        <v>229</v>
      </c>
      <c r="D39" t="s">
        <v>23</v>
      </c>
      <c r="E39">
        <v>35</v>
      </c>
      <c r="F39" t="s">
        <v>230</v>
      </c>
      <c r="G39" t="s">
        <v>231</v>
      </c>
      <c r="H39">
        <v>61000</v>
      </c>
      <c r="I39" s="1" t="d">
        <v>2011-06-27</v>
      </c>
      <c r="J39" t="s">
        <v>232</v>
      </c>
      <c r="K39" s="17" t="s">
        <v>34</v>
      </c>
      <c r="L39">
        <v>2</v>
      </c>
    </row>
    <row r="40" spans="1:12" x14ac:dyDescent="0.25">
      <c r="A40" t="s">
        <v>233</v>
      </c>
      <c r="B40" t="s">
        <v>234</v>
      </c>
      <c r="C40" t="s">
        <v>215</v>
      </c>
      <c r="D40" t="s">
        <v>9527</v>
      </c>
      <c r="E40">
        <v>53</v>
      </c>
      <c r="G40" t="s">
        <v>55</v>
      </c>
      <c r="H40">
        <v>96569</v>
      </c>
      <c r="I40" s="1" t="d">
        <v>2018-07-24</v>
      </c>
      <c r="J40" t="s">
        <v>235</v>
      </c>
      <c r="K40" s="17" t="s">
        <v>207</v>
      </c>
      <c r="L40">
        <v>3</v>
      </c>
    </row>
    <row r="41" spans="1:12" x14ac:dyDescent="0.25">
      <c r="A41" t="s">
        <v>236</v>
      </c>
      <c r="B41" t="s">
        <v>120</v>
      </c>
      <c r="C41" t="s">
        <v>237</v>
      </c>
      <c r="D41" t="s">
        <v>9527</v>
      </c>
      <c r="E41">
        <v>43</v>
      </c>
      <c r="F41" t="s">
        <v>238</v>
      </c>
      <c r="G41" t="s">
        <v>239</v>
      </c>
      <c r="H41" t="s">
        <v>240</v>
      </c>
      <c r="I41" s="1" t="d">
        <v>2005-10-22</v>
      </c>
      <c r="J41" t="s">
        <v>241</v>
      </c>
      <c r="K41" s="17" t="s">
        <v>42</v>
      </c>
      <c r="L41">
        <v>3</v>
      </c>
    </row>
    <row r="42" spans="1:12" x14ac:dyDescent="0.25">
      <c r="A42" t="s">
        <v>242</v>
      </c>
      <c r="B42" t="s">
        <v>243</v>
      </c>
      <c r="C42" t="s">
        <v>244</v>
      </c>
      <c r="D42" t="s">
        <v>9527</v>
      </c>
      <c r="E42">
        <v>23</v>
      </c>
      <c r="F42" t="s">
        <v>245</v>
      </c>
      <c r="G42" t="s">
        <v>39</v>
      </c>
      <c r="H42" s="2">
        <v>63726</v>
      </c>
      <c r="I42" s="1" t="d">
        <v>2014-04-03</v>
      </c>
      <c r="J42" t="s">
        <v>246</v>
      </c>
      <c r="K42" s="17" t="s">
        <v>34</v>
      </c>
      <c r="L42">
        <v>4</v>
      </c>
    </row>
    <row r="43" spans="1:12" x14ac:dyDescent="0.25">
      <c r="A43" t="s">
        <v>247</v>
      </c>
      <c r="B43" t="s">
        <v>248</v>
      </c>
      <c r="C43" t="s">
        <v>204</v>
      </c>
      <c r="D43" t="s">
        <v>9527</v>
      </c>
      <c r="E43">
        <v>51</v>
      </c>
      <c r="F43" t="s">
        <v>186</v>
      </c>
      <c r="G43" t="s">
        <v>182</v>
      </c>
      <c r="H43">
        <v>140518</v>
      </c>
      <c r="I43" s="1" t="d">
        <v>2011-04-20</v>
      </c>
      <c r="J43" t="s">
        <v>249</v>
      </c>
      <c r="K43" s="17" t="s">
        <v>118</v>
      </c>
      <c r="L43">
        <v>3</v>
      </c>
    </row>
    <row r="44" spans="1:12" x14ac:dyDescent="0.25">
      <c r="A44" t="s">
        <v>250</v>
      </c>
      <c r="B44" t="s">
        <v>251</v>
      </c>
      <c r="C44" t="s">
        <v>252</v>
      </c>
      <c r="D44" t="s">
        <v>46</v>
      </c>
      <c r="E44">
        <v>47</v>
      </c>
      <c r="F44" t="s">
        <v>253</v>
      </c>
      <c r="G44" t="s">
        <v>82</v>
      </c>
      <c r="H44" t="s">
        <v>254</v>
      </c>
      <c r="I44" s="1" t="d">
        <v>2014-07-02</v>
      </c>
      <c r="J44" t="s">
        <v>255</v>
      </c>
      <c r="K44" s="17" t="s">
        <v>207</v>
      </c>
      <c r="L44">
        <v>3</v>
      </c>
    </row>
    <row r="45" spans="1:12" x14ac:dyDescent="0.25">
      <c r="A45" t="s">
        <v>256</v>
      </c>
      <c r="B45" t="s">
        <v>257</v>
      </c>
      <c r="C45" t="s">
        <v>67</v>
      </c>
      <c r="D45" t="s">
        <v>46</v>
      </c>
      <c r="E45">
        <v>38</v>
      </c>
      <c r="F45" t="s">
        <v>258</v>
      </c>
      <c r="G45" t="s">
        <v>141</v>
      </c>
      <c r="H45" t="s">
        <v>259</v>
      </c>
      <c r="I45" s="1" t="d">
        <v>2016-07-24</v>
      </c>
      <c r="J45" t="s">
        <v>260</v>
      </c>
      <c r="K45" s="17" t="s">
        <v>100</v>
      </c>
      <c r="L45">
        <v>4</v>
      </c>
    </row>
    <row r="46" spans="1:12" x14ac:dyDescent="0.25">
      <c r="A46" t="s">
        <v>261</v>
      </c>
      <c r="B46" t="s">
        <v>262</v>
      </c>
      <c r="C46" t="s">
        <v>263</v>
      </c>
      <c r="D46" t="s">
        <v>9527</v>
      </c>
      <c r="E46">
        <v>53</v>
      </c>
      <c r="F46" t="s">
        <v>264</v>
      </c>
      <c r="G46" t="s">
        <v>48</v>
      </c>
      <c r="H46">
        <v>93825</v>
      </c>
      <c r="I46" s="1" t="d">
        <v>2007-10-11</v>
      </c>
      <c r="J46" t="s">
        <v>265</v>
      </c>
      <c r="K46" s="17" t="s">
        <v>184</v>
      </c>
      <c r="L46">
        <v>2</v>
      </c>
    </row>
    <row r="47" spans="1:12" x14ac:dyDescent="0.25">
      <c r="A47" t="s">
        <v>266</v>
      </c>
      <c r="B47" t="s">
        <v>267</v>
      </c>
      <c r="C47" t="s">
        <v>268</v>
      </c>
      <c r="D47" t="s">
        <v>9527</v>
      </c>
      <c r="E47">
        <v>34</v>
      </c>
      <c r="F47" t="s">
        <v>269</v>
      </c>
      <c r="G47" t="s">
        <v>82</v>
      </c>
      <c r="H47" t="s">
        <v>270</v>
      </c>
      <c r="I47" s="1" t="d">
        <v>2021-08-11</v>
      </c>
      <c r="J47" t="s">
        <v>271</v>
      </c>
      <c r="K47" s="17" t="s">
        <v>90</v>
      </c>
      <c r="L47">
        <v>4</v>
      </c>
    </row>
    <row r="48" spans="1:12" x14ac:dyDescent="0.25">
      <c r="A48" t="s">
        <v>272</v>
      </c>
      <c r="B48" t="s">
        <v>66</v>
      </c>
      <c r="C48" t="s">
        <v>268</v>
      </c>
      <c r="D48" t="s">
        <v>46</v>
      </c>
      <c r="E48">
        <v>28</v>
      </c>
      <c r="F48" t="s">
        <v>176</v>
      </c>
      <c r="G48" t="s">
        <v>48</v>
      </c>
      <c r="H48">
        <v>58556</v>
      </c>
      <c r="I48" s="1" t="d">
        <v>2013-08-20</v>
      </c>
      <c r="J48" t="s">
        <v>273</v>
      </c>
      <c r="K48" s="17" t="s">
        <v>184</v>
      </c>
      <c r="L48">
        <v>3</v>
      </c>
    </row>
    <row r="49" spans="1:12" x14ac:dyDescent="0.25">
      <c r="A49" t="s">
        <v>274</v>
      </c>
      <c r="B49" t="s">
        <v>275</v>
      </c>
      <c r="C49" t="s">
        <v>276</v>
      </c>
      <c r="D49" t="s">
        <v>9527</v>
      </c>
      <c r="E49">
        <v>50</v>
      </c>
      <c r="F49" t="s">
        <v>277</v>
      </c>
      <c r="G49" t="s">
        <v>278</v>
      </c>
      <c r="I49" s="1" t="d">
        <v>2012-09-27</v>
      </c>
      <c r="J49" t="s">
        <v>279</v>
      </c>
      <c r="K49" s="17" t="s">
        <v>34</v>
      </c>
      <c r="L49">
        <v>4</v>
      </c>
    </row>
    <row r="50" spans="1:12" x14ac:dyDescent="0.25">
      <c r="A50" t="s">
        <v>280</v>
      </c>
      <c r="B50" t="s">
        <v>281</v>
      </c>
      <c r="C50" t="s">
        <v>282</v>
      </c>
      <c r="D50" t="s">
        <v>46</v>
      </c>
      <c r="E50">
        <v>51</v>
      </c>
      <c r="F50" t="s">
        <v>126</v>
      </c>
      <c r="G50" t="s">
        <v>283</v>
      </c>
      <c r="H50">
        <v>143601</v>
      </c>
      <c r="I50" s="1" t="d">
        <v>2024-05-19</v>
      </c>
      <c r="J50" t="s">
        <v>284</v>
      </c>
      <c r="K50" s="17" t="s">
        <v>50</v>
      </c>
      <c r="L50">
        <v>4</v>
      </c>
    </row>
    <row r="51" spans="1:12" x14ac:dyDescent="0.25">
      <c r="A51" t="s">
        <v>285</v>
      </c>
      <c r="B51" t="s">
        <v>174</v>
      </c>
      <c r="C51" t="s">
        <v>286</v>
      </c>
      <c r="D51" t="s">
        <v>46</v>
      </c>
      <c r="E51">
        <v>43</v>
      </c>
      <c r="F51" t="s">
        <v>287</v>
      </c>
      <c r="G51" t="s">
        <v>288</v>
      </c>
      <c r="I51" s="1" t="d">
        <v>2018-08-28</v>
      </c>
      <c r="J51" t="s">
        <v>289</v>
      </c>
      <c r="K51" s="17" t="s">
        <v>118</v>
      </c>
      <c r="L51">
        <v>5</v>
      </c>
    </row>
    <row r="52" spans="1:12" x14ac:dyDescent="0.25">
      <c r="A52" t="s">
        <v>290</v>
      </c>
      <c r="B52" t="s">
        <v>29</v>
      </c>
      <c r="C52" t="s">
        <v>291</v>
      </c>
      <c r="D52" t="s">
        <v>46</v>
      </c>
      <c r="E52">
        <v>44</v>
      </c>
      <c r="G52" t="s">
        <v>191</v>
      </c>
      <c r="H52">
        <v>66020</v>
      </c>
      <c r="I52" s="1" t="d">
        <v>2012-07-29</v>
      </c>
      <c r="J52" t="s">
        <v>292</v>
      </c>
      <c r="K52" s="17" t="s">
        <v>50</v>
      </c>
      <c r="L52">
        <v>5</v>
      </c>
    </row>
    <row r="53" spans="1:12" x14ac:dyDescent="0.25">
      <c r="A53" t="s">
        <v>293</v>
      </c>
      <c r="B53" t="s">
        <v>294</v>
      </c>
      <c r="C53" t="s">
        <v>295</v>
      </c>
      <c r="D53" t="s">
        <v>23</v>
      </c>
      <c r="E53">
        <v>27</v>
      </c>
      <c r="F53" t="s">
        <v>296</v>
      </c>
      <c r="G53" t="s">
        <v>297</v>
      </c>
      <c r="H53">
        <v>118974</v>
      </c>
      <c r="I53" s="1" t="d">
        <v>2017-02-17</v>
      </c>
      <c r="J53" t="s">
        <v>298</v>
      </c>
      <c r="K53" s="17" t="s">
        <v>100</v>
      </c>
      <c r="L53">
        <v>1</v>
      </c>
    </row>
    <row r="54" spans="1:12" x14ac:dyDescent="0.25">
      <c r="A54" t="s">
        <v>299</v>
      </c>
      <c r="B54" t="s">
        <v>194</v>
      </c>
      <c r="C54" t="s">
        <v>300</v>
      </c>
      <c r="D54" t="s">
        <v>23</v>
      </c>
      <c r="E54">
        <v>34</v>
      </c>
      <c r="F54" t="s">
        <v>301</v>
      </c>
      <c r="G54" t="s">
        <v>302</v>
      </c>
      <c r="H54">
        <v>130788</v>
      </c>
      <c r="I54" s="1" t="d">
        <v>2009-10-03</v>
      </c>
      <c r="J54" t="s">
        <v>303</v>
      </c>
      <c r="K54" s="17" t="s">
        <v>19</v>
      </c>
      <c r="L54">
        <v>1</v>
      </c>
    </row>
    <row r="55" spans="1:12" x14ac:dyDescent="0.25">
      <c r="A55" t="s">
        <v>304</v>
      </c>
      <c r="B55" t="s">
        <v>305</v>
      </c>
      <c r="C55" t="s">
        <v>306</v>
      </c>
      <c r="D55" t="s">
        <v>23</v>
      </c>
      <c r="E55">
        <v>27</v>
      </c>
      <c r="F55" t="s">
        <v>307</v>
      </c>
      <c r="G55" t="s">
        <v>48</v>
      </c>
      <c r="H55" t="s">
        <v>308</v>
      </c>
      <c r="I55" s="1" t="d">
        <v>2024-03-06</v>
      </c>
      <c r="J55" t="s">
        <v>309</v>
      </c>
      <c r="K55" s="17" t="s">
        <v>100</v>
      </c>
      <c r="L55">
        <v>2</v>
      </c>
    </row>
    <row r="56" spans="1:12" x14ac:dyDescent="0.25">
      <c r="A56" t="s">
        <v>310</v>
      </c>
      <c r="B56" t="s">
        <v>311</v>
      </c>
      <c r="C56" t="s">
        <v>152</v>
      </c>
      <c r="D56" t="s">
        <v>9527</v>
      </c>
      <c r="E56">
        <v>52</v>
      </c>
      <c r="G56" t="s">
        <v>16</v>
      </c>
      <c r="H56" t="s">
        <v>312</v>
      </c>
      <c r="I56" s="1" t="d">
        <v>2012-04-18</v>
      </c>
      <c r="J56" t="s">
        <v>313</v>
      </c>
      <c r="K56" s="17" t="s">
        <v>19</v>
      </c>
      <c r="L56">
        <v>4</v>
      </c>
    </row>
    <row r="57" spans="1:12" x14ac:dyDescent="0.25">
      <c r="A57" t="s">
        <v>314</v>
      </c>
      <c r="B57" t="s">
        <v>315</v>
      </c>
      <c r="C57" t="s">
        <v>195</v>
      </c>
      <c r="D57" t="s">
        <v>9527</v>
      </c>
      <c r="E57">
        <v>28</v>
      </c>
      <c r="F57" t="s">
        <v>230</v>
      </c>
      <c r="G57" t="s">
        <v>170</v>
      </c>
      <c r="H57" s="2">
        <v>54549</v>
      </c>
      <c r="I57" s="1" t="d">
        <v>2022-01-17</v>
      </c>
      <c r="J57" t="s">
        <v>316</v>
      </c>
      <c r="K57" s="17" t="s">
        <v>184</v>
      </c>
      <c r="L57">
        <v>5</v>
      </c>
    </row>
    <row r="58" spans="1:12" x14ac:dyDescent="0.25">
      <c r="A58" t="s">
        <v>317</v>
      </c>
      <c r="B58" t="s">
        <v>102</v>
      </c>
      <c r="C58" t="s">
        <v>318</v>
      </c>
      <c r="D58" t="s">
        <v>9527</v>
      </c>
      <c r="E58">
        <v>41</v>
      </c>
      <c r="F58" t="s">
        <v>319</v>
      </c>
      <c r="G58" t="s">
        <v>320</v>
      </c>
      <c r="H58">
        <v>64886</v>
      </c>
      <c r="I58" s="1" t="d">
        <v>2019-09-26</v>
      </c>
      <c r="J58" t="s">
        <v>321</v>
      </c>
      <c r="K58" s="17" t="s">
        <v>71</v>
      </c>
      <c r="L58">
        <v>3</v>
      </c>
    </row>
    <row r="59" spans="1:12" x14ac:dyDescent="0.25">
      <c r="A59" t="s">
        <v>322</v>
      </c>
      <c r="B59" t="s">
        <v>323</v>
      </c>
      <c r="C59" t="s">
        <v>324</v>
      </c>
      <c r="D59" t="s">
        <v>9527</v>
      </c>
      <c r="E59">
        <v>34</v>
      </c>
      <c r="F59" t="s">
        <v>186</v>
      </c>
      <c r="G59" t="s">
        <v>177</v>
      </c>
      <c r="H59">
        <v>70981</v>
      </c>
      <c r="I59" s="1" t="d">
        <v>2006-06-05</v>
      </c>
      <c r="J59" t="s">
        <v>325</v>
      </c>
      <c r="K59" s="17" t="s">
        <v>71</v>
      </c>
      <c r="L59">
        <v>3</v>
      </c>
    </row>
    <row r="60" spans="1:12" x14ac:dyDescent="0.25">
      <c r="A60" t="s">
        <v>326</v>
      </c>
      <c r="B60" t="s">
        <v>79</v>
      </c>
      <c r="C60" t="s">
        <v>327</v>
      </c>
      <c r="D60" t="s">
        <v>9527</v>
      </c>
      <c r="E60">
        <v>35</v>
      </c>
      <c r="F60" t="s">
        <v>31</v>
      </c>
      <c r="G60" t="s">
        <v>328</v>
      </c>
      <c r="H60" t="s">
        <v>329</v>
      </c>
      <c r="J60" t="s">
        <v>330</v>
      </c>
      <c r="K60" s="17" t="s">
        <v>34</v>
      </c>
      <c r="L60">
        <v>5</v>
      </c>
    </row>
    <row r="61" spans="1:12" x14ac:dyDescent="0.25">
      <c r="A61" t="s">
        <v>331</v>
      </c>
      <c r="B61" t="s">
        <v>323</v>
      </c>
      <c r="C61" t="s">
        <v>332</v>
      </c>
      <c r="D61" t="s">
        <v>46</v>
      </c>
      <c r="E61">
        <v>43</v>
      </c>
      <c r="F61" t="s">
        <v>126</v>
      </c>
      <c r="G61" t="s">
        <v>55</v>
      </c>
      <c r="J61" t="s">
        <v>333</v>
      </c>
      <c r="K61" s="17" t="s">
        <v>42</v>
      </c>
      <c r="L61">
        <v>4</v>
      </c>
    </row>
    <row r="62" spans="1:12" x14ac:dyDescent="0.25">
      <c r="A62" t="s">
        <v>334</v>
      </c>
      <c r="B62" t="s">
        <v>335</v>
      </c>
      <c r="C62" t="s">
        <v>336</v>
      </c>
      <c r="D62" t="s">
        <v>46</v>
      </c>
      <c r="E62">
        <v>40</v>
      </c>
      <c r="F62" t="s">
        <v>153</v>
      </c>
      <c r="G62" t="s">
        <v>337</v>
      </c>
      <c r="H62" s="2">
        <v>65091</v>
      </c>
      <c r="I62" s="1" t="d">
        <v>2022-09-09</v>
      </c>
      <c r="J62" t="s">
        <v>338</v>
      </c>
      <c r="K62" s="17" t="s">
        <v>42</v>
      </c>
      <c r="L62">
        <v>4</v>
      </c>
    </row>
    <row r="63" spans="1:12" x14ac:dyDescent="0.25">
      <c r="A63" t="s">
        <v>339</v>
      </c>
      <c r="B63" t="s">
        <v>340</v>
      </c>
      <c r="C63" t="s">
        <v>341</v>
      </c>
      <c r="D63" t="s">
        <v>23</v>
      </c>
      <c r="E63">
        <v>33</v>
      </c>
      <c r="G63" t="s">
        <v>159</v>
      </c>
      <c r="H63" t="s">
        <v>342</v>
      </c>
      <c r="I63" s="1" t="d">
        <v>2022-10-13</v>
      </c>
      <c r="J63" t="s">
        <v>343</v>
      </c>
      <c r="K63" s="17" t="s">
        <v>27</v>
      </c>
      <c r="L63">
        <v>4</v>
      </c>
    </row>
    <row r="64" spans="1:12" x14ac:dyDescent="0.25">
      <c r="A64" t="s">
        <v>344</v>
      </c>
      <c r="B64" t="s">
        <v>345</v>
      </c>
      <c r="C64" t="s">
        <v>53</v>
      </c>
      <c r="D64" t="s">
        <v>46</v>
      </c>
      <c r="E64">
        <v>40</v>
      </c>
      <c r="F64" t="s">
        <v>211</v>
      </c>
      <c r="G64" t="s">
        <v>55</v>
      </c>
      <c r="H64" t="s">
        <v>346</v>
      </c>
      <c r="I64" s="1" t="d">
        <v>2010-03-09</v>
      </c>
      <c r="J64" t="s">
        <v>347</v>
      </c>
      <c r="K64" s="17" t="s">
        <v>50</v>
      </c>
      <c r="L64">
        <v>3</v>
      </c>
    </row>
    <row r="65" spans="1:12" x14ac:dyDescent="0.25">
      <c r="A65" t="s">
        <v>348</v>
      </c>
      <c r="B65" t="s">
        <v>199</v>
      </c>
      <c r="C65" t="s">
        <v>349</v>
      </c>
      <c r="D65" t="s">
        <v>46</v>
      </c>
      <c r="E65">
        <v>23</v>
      </c>
      <c r="F65" t="s">
        <v>350</v>
      </c>
      <c r="G65" t="s">
        <v>351</v>
      </c>
      <c r="H65" t="s">
        <v>352</v>
      </c>
      <c r="I65" s="1" t="d">
        <v>2019-02-17</v>
      </c>
      <c r="J65" t="s">
        <v>353</v>
      </c>
      <c r="K65" s="17" t="s">
        <v>34</v>
      </c>
      <c r="L65">
        <v>4</v>
      </c>
    </row>
    <row r="66" spans="1:12" x14ac:dyDescent="0.25">
      <c r="A66" t="s">
        <v>354</v>
      </c>
      <c r="B66" t="s">
        <v>355</v>
      </c>
      <c r="C66" t="s">
        <v>244</v>
      </c>
      <c r="D66" t="s">
        <v>9527</v>
      </c>
      <c r="E66">
        <v>48</v>
      </c>
      <c r="F66" t="s">
        <v>356</v>
      </c>
      <c r="G66" t="s">
        <v>357</v>
      </c>
      <c r="H66" s="2">
        <v>131470</v>
      </c>
      <c r="I66" s="1" t="d">
        <v>2008-09-14</v>
      </c>
      <c r="J66" t="s">
        <v>358</v>
      </c>
      <c r="K66" s="17" t="s">
        <v>50</v>
      </c>
      <c r="L66">
        <v>3</v>
      </c>
    </row>
    <row r="67" spans="1:12" x14ac:dyDescent="0.25">
      <c r="A67" t="s">
        <v>359</v>
      </c>
      <c r="B67" t="s">
        <v>360</v>
      </c>
      <c r="C67" t="s">
        <v>361</v>
      </c>
      <c r="D67" t="s">
        <v>9527</v>
      </c>
      <c r="E67">
        <v>32</v>
      </c>
      <c r="F67" t="s">
        <v>126</v>
      </c>
      <c r="G67" t="s">
        <v>182</v>
      </c>
      <c r="H67">
        <v>127222</v>
      </c>
      <c r="I67" s="1" t="d">
        <v>2024-04-28</v>
      </c>
      <c r="J67" t="s">
        <v>362</v>
      </c>
      <c r="K67" s="17" t="s">
        <v>184</v>
      </c>
      <c r="L67">
        <v>4</v>
      </c>
    </row>
    <row r="68" spans="1:12" x14ac:dyDescent="0.25">
      <c r="A68" t="s">
        <v>363</v>
      </c>
      <c r="B68" t="s">
        <v>364</v>
      </c>
      <c r="C68" t="s">
        <v>121</v>
      </c>
      <c r="D68" t="s">
        <v>46</v>
      </c>
      <c r="E68">
        <v>40</v>
      </c>
      <c r="F68" t="s">
        <v>365</v>
      </c>
      <c r="G68" t="s">
        <v>131</v>
      </c>
      <c r="H68">
        <v>58487</v>
      </c>
      <c r="I68" s="1" t="d">
        <v>2023-05-20</v>
      </c>
      <c r="J68" t="s">
        <v>366</v>
      </c>
      <c r="K68" s="17" t="s">
        <v>184</v>
      </c>
      <c r="L68">
        <v>3</v>
      </c>
    </row>
    <row r="69" spans="1:12" x14ac:dyDescent="0.25">
      <c r="A69" t="s">
        <v>367</v>
      </c>
      <c r="B69" t="s">
        <v>368</v>
      </c>
      <c r="C69" t="s">
        <v>45</v>
      </c>
      <c r="D69" t="s">
        <v>46</v>
      </c>
      <c r="E69">
        <v>21</v>
      </c>
      <c r="F69" t="s">
        <v>216</v>
      </c>
      <c r="G69" t="s">
        <v>320</v>
      </c>
      <c r="H69" s="2">
        <v>53165</v>
      </c>
      <c r="I69" s="1" t="d">
        <v>2011-09-20</v>
      </c>
      <c r="J69" t="s">
        <v>369</v>
      </c>
      <c r="K69" s="17" t="s">
        <v>370</v>
      </c>
      <c r="L69">
        <v>1</v>
      </c>
    </row>
    <row r="70" spans="1:12" x14ac:dyDescent="0.25">
      <c r="A70" t="s">
        <v>371</v>
      </c>
      <c r="B70" t="s">
        <v>267</v>
      </c>
      <c r="C70" t="s">
        <v>372</v>
      </c>
      <c r="D70" t="s">
        <v>9527</v>
      </c>
      <c r="E70">
        <v>45</v>
      </c>
      <c r="F70" t="s">
        <v>373</v>
      </c>
      <c r="G70" t="s">
        <v>115</v>
      </c>
      <c r="I70" s="1" t="d">
        <v>2011-03-26</v>
      </c>
      <c r="J70" t="s">
        <v>374</v>
      </c>
      <c r="K70" s="17" t="s">
        <v>71</v>
      </c>
      <c r="L70">
        <v>3</v>
      </c>
    </row>
    <row r="71" spans="1:12" x14ac:dyDescent="0.25">
      <c r="A71" t="s">
        <v>375</v>
      </c>
      <c r="B71" t="s">
        <v>376</v>
      </c>
      <c r="C71" t="s">
        <v>377</v>
      </c>
      <c r="D71" t="s">
        <v>9527</v>
      </c>
      <c r="E71">
        <v>57</v>
      </c>
      <c r="F71" t="s">
        <v>350</v>
      </c>
      <c r="G71" t="s">
        <v>378</v>
      </c>
      <c r="I71" s="1" t="d">
        <v>2012-10-07</v>
      </c>
      <c r="J71" t="s">
        <v>379</v>
      </c>
      <c r="K71" s="17" t="s">
        <v>50</v>
      </c>
      <c r="L71">
        <v>3</v>
      </c>
    </row>
    <row r="72" spans="1:12" x14ac:dyDescent="0.25">
      <c r="A72" t="s">
        <v>380</v>
      </c>
      <c r="B72" t="s">
        <v>37</v>
      </c>
      <c r="C72" t="s">
        <v>381</v>
      </c>
      <c r="D72" t="s">
        <v>9527</v>
      </c>
      <c r="E72">
        <v>21</v>
      </c>
      <c r="F72" t="s">
        <v>169</v>
      </c>
      <c r="G72" t="s">
        <v>159</v>
      </c>
      <c r="H72" t="s">
        <v>382</v>
      </c>
      <c r="I72" s="1" t="d">
        <v>2019-10-16</v>
      </c>
      <c r="J72" t="s">
        <v>383</v>
      </c>
      <c r="K72" s="17" t="s">
        <v>50</v>
      </c>
      <c r="L72">
        <v>3</v>
      </c>
    </row>
    <row r="73" spans="1:12" x14ac:dyDescent="0.25">
      <c r="A73" t="s">
        <v>384</v>
      </c>
      <c r="B73" t="s">
        <v>385</v>
      </c>
      <c r="C73" t="s">
        <v>386</v>
      </c>
      <c r="D73" t="s">
        <v>9527</v>
      </c>
      <c r="E73">
        <v>30</v>
      </c>
      <c r="F73" t="s">
        <v>104</v>
      </c>
      <c r="G73" t="s">
        <v>387</v>
      </c>
      <c r="H73" s="2">
        <v>152938</v>
      </c>
      <c r="I73" s="1" t="d">
        <v>2006-07-17</v>
      </c>
      <c r="J73" t="s">
        <v>388</v>
      </c>
      <c r="K73" s="17" t="s">
        <v>118</v>
      </c>
      <c r="L73">
        <v>5</v>
      </c>
    </row>
    <row r="74" spans="1:12" x14ac:dyDescent="0.25">
      <c r="A74" t="s">
        <v>389</v>
      </c>
      <c r="B74" t="s">
        <v>180</v>
      </c>
      <c r="C74" t="s">
        <v>390</v>
      </c>
      <c r="D74" t="s">
        <v>46</v>
      </c>
      <c r="E74">
        <v>30</v>
      </c>
      <c r="F74" t="s">
        <v>146</v>
      </c>
      <c r="G74" t="s">
        <v>283</v>
      </c>
      <c r="H74" t="s">
        <v>391</v>
      </c>
      <c r="I74" s="1" t="d">
        <v>2007-06-30</v>
      </c>
      <c r="J74" t="s">
        <v>392</v>
      </c>
      <c r="K74" s="17" t="s">
        <v>118</v>
      </c>
      <c r="L74">
        <v>3</v>
      </c>
    </row>
    <row r="75" spans="1:12" x14ac:dyDescent="0.25">
      <c r="A75" t="s">
        <v>393</v>
      </c>
      <c r="B75" t="s">
        <v>394</v>
      </c>
      <c r="C75" t="s">
        <v>395</v>
      </c>
      <c r="D75" t="s">
        <v>9527</v>
      </c>
      <c r="E75">
        <v>41</v>
      </c>
      <c r="F75" t="s">
        <v>216</v>
      </c>
      <c r="G75" t="s">
        <v>115</v>
      </c>
      <c r="H75">
        <v>64376</v>
      </c>
      <c r="I75" s="1" t="d">
        <v>2021-03-21</v>
      </c>
      <c r="J75" t="s">
        <v>396</v>
      </c>
      <c r="K75" s="17" t="s">
        <v>149</v>
      </c>
      <c r="L75">
        <v>5</v>
      </c>
    </row>
    <row r="76" spans="1:12" x14ac:dyDescent="0.25">
      <c r="A76" t="s">
        <v>397</v>
      </c>
      <c r="B76" t="s">
        <v>323</v>
      </c>
      <c r="C76" t="s">
        <v>398</v>
      </c>
      <c r="D76" t="s">
        <v>46</v>
      </c>
      <c r="E76">
        <v>34</v>
      </c>
      <c r="F76" t="s">
        <v>399</v>
      </c>
      <c r="G76" t="s">
        <v>177</v>
      </c>
      <c r="H76" s="2">
        <v>46456</v>
      </c>
      <c r="I76" s="1" t="d">
        <v>2009-07-13</v>
      </c>
      <c r="J76" t="s">
        <v>400</v>
      </c>
      <c r="K76" s="17" t="s">
        <v>50</v>
      </c>
      <c r="L76">
        <v>4</v>
      </c>
    </row>
    <row r="77" spans="1:12" x14ac:dyDescent="0.25">
      <c r="A77" t="s">
        <v>401</v>
      </c>
      <c r="B77" t="s">
        <v>139</v>
      </c>
      <c r="C77" t="s">
        <v>45</v>
      </c>
      <c r="D77" t="s">
        <v>9527</v>
      </c>
      <c r="E77">
        <v>28</v>
      </c>
      <c r="F77" t="s">
        <v>62</v>
      </c>
      <c r="G77" t="s">
        <v>191</v>
      </c>
      <c r="H77" s="2">
        <v>68791</v>
      </c>
      <c r="I77" s="1" t="d">
        <v>2022-04-08</v>
      </c>
      <c r="J77" t="s">
        <v>402</v>
      </c>
      <c r="K77" s="17" t="s">
        <v>19</v>
      </c>
      <c r="L77">
        <v>3</v>
      </c>
    </row>
    <row r="78" spans="1:12" x14ac:dyDescent="0.25">
      <c r="A78" t="s">
        <v>403</v>
      </c>
      <c r="B78" t="s">
        <v>404</v>
      </c>
      <c r="C78" t="s">
        <v>405</v>
      </c>
      <c r="D78" t="s">
        <v>46</v>
      </c>
      <c r="E78">
        <v>29</v>
      </c>
      <c r="F78" t="s">
        <v>406</v>
      </c>
      <c r="G78" t="s">
        <v>407</v>
      </c>
      <c r="H78" s="2">
        <v>111837</v>
      </c>
      <c r="I78" s="1" t="d">
        <v>2006-10-20</v>
      </c>
      <c r="J78" t="s">
        <v>408</v>
      </c>
      <c r="K78" s="17" t="s">
        <v>149</v>
      </c>
      <c r="L78">
        <v>4</v>
      </c>
    </row>
    <row r="79" spans="1:12" x14ac:dyDescent="0.25">
      <c r="A79" t="s">
        <v>409</v>
      </c>
      <c r="B79" t="s">
        <v>410</v>
      </c>
      <c r="C79" t="s">
        <v>158</v>
      </c>
      <c r="D79" t="s">
        <v>23</v>
      </c>
      <c r="E79">
        <v>47</v>
      </c>
      <c r="F79" t="s">
        <v>411</v>
      </c>
      <c r="G79" t="s">
        <v>182</v>
      </c>
      <c r="H79">
        <v>85511</v>
      </c>
      <c r="I79" s="1" t="d">
        <v>2024-12-09</v>
      </c>
      <c r="J79" t="s">
        <v>412</v>
      </c>
      <c r="K79" s="17" t="s">
        <v>370</v>
      </c>
      <c r="L79">
        <v>4</v>
      </c>
    </row>
    <row r="80" spans="1:12" x14ac:dyDescent="0.25">
      <c r="A80" t="s">
        <v>413</v>
      </c>
      <c r="B80" t="s">
        <v>13</v>
      </c>
      <c r="C80" t="s">
        <v>22</v>
      </c>
      <c r="D80" t="s">
        <v>46</v>
      </c>
      <c r="E80">
        <v>26</v>
      </c>
      <c r="F80" t="s">
        <v>31</v>
      </c>
      <c r="G80" t="s">
        <v>115</v>
      </c>
      <c r="H80">
        <v>43328</v>
      </c>
      <c r="I80" s="1" t="d">
        <v>2018-07-16</v>
      </c>
      <c r="J80" t="s">
        <v>414</v>
      </c>
      <c r="K80" s="17" t="s">
        <v>149</v>
      </c>
      <c r="L80">
        <v>4</v>
      </c>
    </row>
    <row r="81" spans="1:12" x14ac:dyDescent="0.25">
      <c r="A81" t="s">
        <v>415</v>
      </c>
      <c r="B81" t="s">
        <v>281</v>
      </c>
      <c r="C81" t="s">
        <v>416</v>
      </c>
      <c r="D81" t="s">
        <v>46</v>
      </c>
      <c r="E81">
        <v>21</v>
      </c>
      <c r="F81" t="s">
        <v>417</v>
      </c>
      <c r="G81" t="s">
        <v>357</v>
      </c>
      <c r="H81" t="s">
        <v>418</v>
      </c>
      <c r="J81" t="s">
        <v>419</v>
      </c>
      <c r="K81" s="17" t="s">
        <v>71</v>
      </c>
      <c r="L81">
        <v>3</v>
      </c>
    </row>
    <row r="82" spans="1:12" x14ac:dyDescent="0.25">
      <c r="A82" t="s">
        <v>420</v>
      </c>
      <c r="B82" t="s">
        <v>421</v>
      </c>
      <c r="C82" t="s">
        <v>405</v>
      </c>
      <c r="D82" t="s">
        <v>46</v>
      </c>
      <c r="E82">
        <v>31</v>
      </c>
      <c r="F82" t="s">
        <v>422</v>
      </c>
      <c r="G82" t="s">
        <v>423</v>
      </c>
      <c r="I82" s="1" t="d">
        <v>2005-10-27</v>
      </c>
      <c r="J82" t="s">
        <v>424</v>
      </c>
      <c r="K82" s="17" t="s">
        <v>42</v>
      </c>
      <c r="L82">
        <v>4</v>
      </c>
    </row>
    <row r="83" spans="1:12" x14ac:dyDescent="0.25">
      <c r="A83" t="s">
        <v>425</v>
      </c>
      <c r="B83" t="s">
        <v>426</v>
      </c>
      <c r="C83" t="s">
        <v>427</v>
      </c>
      <c r="D83" t="s">
        <v>23</v>
      </c>
      <c r="E83">
        <v>44</v>
      </c>
      <c r="F83" t="s">
        <v>269</v>
      </c>
      <c r="G83" t="s">
        <v>55</v>
      </c>
      <c r="H83" t="s">
        <v>428</v>
      </c>
      <c r="I83" s="1" t="d">
        <v>2020-02-11</v>
      </c>
      <c r="J83" t="s">
        <v>429</v>
      </c>
      <c r="K83" s="17" t="s">
        <v>19</v>
      </c>
      <c r="L83">
        <v>1</v>
      </c>
    </row>
    <row r="84" spans="1:12" x14ac:dyDescent="0.25">
      <c r="A84" t="s">
        <v>430</v>
      </c>
      <c r="B84" t="s">
        <v>251</v>
      </c>
      <c r="C84" t="s">
        <v>395</v>
      </c>
      <c r="D84" t="s">
        <v>46</v>
      </c>
      <c r="E84">
        <v>41</v>
      </c>
      <c r="F84" t="s">
        <v>253</v>
      </c>
      <c r="G84" t="s">
        <v>141</v>
      </c>
      <c r="I84" s="1" t="d">
        <v>2024-05-02</v>
      </c>
      <c r="J84" t="s">
        <v>431</v>
      </c>
      <c r="K84" s="17" t="s">
        <v>71</v>
      </c>
      <c r="L84">
        <v>5</v>
      </c>
    </row>
    <row r="85" spans="1:12" x14ac:dyDescent="0.25">
      <c r="A85" t="s">
        <v>432</v>
      </c>
      <c r="B85" t="s">
        <v>433</v>
      </c>
      <c r="C85" t="s">
        <v>53</v>
      </c>
      <c r="D85" t="s">
        <v>9527</v>
      </c>
      <c r="E85">
        <v>21</v>
      </c>
      <c r="F85" t="s">
        <v>122</v>
      </c>
      <c r="G85" t="s">
        <v>48</v>
      </c>
      <c r="H85" t="s">
        <v>434</v>
      </c>
      <c r="I85" s="1" t="d">
        <v>2020-08-10</v>
      </c>
      <c r="J85" t="s">
        <v>57</v>
      </c>
      <c r="K85" s="17" t="s">
        <v>149</v>
      </c>
      <c r="L85">
        <v>4</v>
      </c>
    </row>
    <row r="86" spans="1:12" x14ac:dyDescent="0.25">
      <c r="A86" t="s">
        <v>435</v>
      </c>
      <c r="B86" t="s">
        <v>21</v>
      </c>
      <c r="C86" t="s">
        <v>405</v>
      </c>
      <c r="D86" t="s">
        <v>9527</v>
      </c>
      <c r="E86">
        <v>29</v>
      </c>
      <c r="F86" t="s">
        <v>68</v>
      </c>
      <c r="G86" t="s">
        <v>436</v>
      </c>
      <c r="H86" t="s">
        <v>437</v>
      </c>
      <c r="I86" s="1" t="d">
        <v>2015-08-23</v>
      </c>
      <c r="J86" t="s">
        <v>424</v>
      </c>
      <c r="K86" s="17" t="s">
        <v>184</v>
      </c>
      <c r="L86">
        <v>3</v>
      </c>
    </row>
    <row r="87" spans="1:12" x14ac:dyDescent="0.25">
      <c r="A87" t="s">
        <v>438</v>
      </c>
      <c r="B87" t="s">
        <v>439</v>
      </c>
      <c r="C87" t="s">
        <v>440</v>
      </c>
      <c r="D87" t="s">
        <v>46</v>
      </c>
      <c r="E87">
        <v>37</v>
      </c>
      <c r="F87" t="s">
        <v>441</v>
      </c>
      <c r="G87" t="s">
        <v>82</v>
      </c>
      <c r="H87">
        <v>72914</v>
      </c>
      <c r="I87" s="1" t="d">
        <v>2020-01-06</v>
      </c>
      <c r="J87" t="s">
        <v>442</v>
      </c>
      <c r="K87" s="17" t="s">
        <v>90</v>
      </c>
      <c r="L87">
        <v>3</v>
      </c>
    </row>
    <row r="88" spans="1:12" x14ac:dyDescent="0.25">
      <c r="A88" t="s">
        <v>443</v>
      </c>
      <c r="B88" t="s">
        <v>444</v>
      </c>
      <c r="C88" t="s">
        <v>286</v>
      </c>
      <c r="D88" t="s">
        <v>46</v>
      </c>
      <c r="E88">
        <v>53</v>
      </c>
      <c r="F88" t="s">
        <v>445</v>
      </c>
      <c r="G88" t="s">
        <v>39</v>
      </c>
      <c r="I88" s="1" t="d">
        <v>2008-10-27</v>
      </c>
      <c r="J88" t="s">
        <v>446</v>
      </c>
      <c r="K88" s="17" t="s">
        <v>58</v>
      </c>
      <c r="L88">
        <v>3</v>
      </c>
    </row>
    <row r="89" spans="1:12" x14ac:dyDescent="0.25">
      <c r="A89" t="s">
        <v>447</v>
      </c>
      <c r="B89" t="s">
        <v>448</v>
      </c>
      <c r="C89" t="s">
        <v>449</v>
      </c>
      <c r="D89" t="s">
        <v>23</v>
      </c>
      <c r="E89">
        <v>46</v>
      </c>
      <c r="F89" t="s">
        <v>450</v>
      </c>
      <c r="G89" t="s">
        <v>337</v>
      </c>
      <c r="H89" s="2">
        <v>49501</v>
      </c>
      <c r="J89" t="s">
        <v>451</v>
      </c>
      <c r="K89" s="17" t="s">
        <v>184</v>
      </c>
      <c r="L89">
        <v>3</v>
      </c>
    </row>
    <row r="90" spans="1:12" x14ac:dyDescent="0.25">
      <c r="A90" t="s">
        <v>452</v>
      </c>
      <c r="B90" t="s">
        <v>439</v>
      </c>
      <c r="C90" t="s">
        <v>453</v>
      </c>
      <c r="D90" t="s">
        <v>46</v>
      </c>
      <c r="E90">
        <v>35</v>
      </c>
      <c r="F90" t="s">
        <v>146</v>
      </c>
      <c r="G90" t="s">
        <v>69</v>
      </c>
      <c r="I90" s="1" t="d">
        <v>2012-06-12</v>
      </c>
      <c r="J90" t="s">
        <v>454</v>
      </c>
      <c r="K90" s="17" t="s">
        <v>27</v>
      </c>
      <c r="L90">
        <v>1</v>
      </c>
    </row>
    <row r="91" spans="1:12" x14ac:dyDescent="0.25">
      <c r="A91" t="s">
        <v>455</v>
      </c>
      <c r="B91" t="s">
        <v>456</v>
      </c>
      <c r="C91" t="s">
        <v>457</v>
      </c>
      <c r="D91" t="s">
        <v>9527</v>
      </c>
      <c r="E91">
        <v>46</v>
      </c>
      <c r="F91" t="s">
        <v>287</v>
      </c>
      <c r="G91" t="s">
        <v>458</v>
      </c>
      <c r="H91" t="s">
        <v>459</v>
      </c>
      <c r="I91" s="1" t="d">
        <v>2005-05-17</v>
      </c>
      <c r="J91" t="s">
        <v>460</v>
      </c>
      <c r="K91" s="17" t="s">
        <v>118</v>
      </c>
      <c r="L91">
        <v>3</v>
      </c>
    </row>
    <row r="92" spans="1:12" x14ac:dyDescent="0.25">
      <c r="A92" t="s">
        <v>461</v>
      </c>
      <c r="B92" t="s">
        <v>36</v>
      </c>
      <c r="C92" t="s">
        <v>462</v>
      </c>
      <c r="D92" t="s">
        <v>23</v>
      </c>
      <c r="E92">
        <v>57</v>
      </c>
      <c r="F92" t="s">
        <v>463</v>
      </c>
      <c r="G92" t="s">
        <v>16</v>
      </c>
      <c r="H92" t="s">
        <v>464</v>
      </c>
      <c r="I92" s="1" t="d">
        <v>2014-03-18</v>
      </c>
      <c r="J92" t="s">
        <v>465</v>
      </c>
      <c r="K92" s="17" t="s">
        <v>34</v>
      </c>
      <c r="L92">
        <v>3</v>
      </c>
    </row>
    <row r="93" spans="1:12" x14ac:dyDescent="0.25">
      <c r="A93" t="s">
        <v>466</v>
      </c>
      <c r="B93" t="s">
        <v>467</v>
      </c>
      <c r="C93" t="s">
        <v>103</v>
      </c>
      <c r="D93" t="s">
        <v>46</v>
      </c>
      <c r="E93">
        <v>45</v>
      </c>
      <c r="F93" t="s">
        <v>230</v>
      </c>
      <c r="G93" t="s">
        <v>217</v>
      </c>
      <c r="H93">
        <v>77596</v>
      </c>
      <c r="I93" s="1" t="d">
        <v>2012-12-16</v>
      </c>
      <c r="J93" t="s">
        <v>468</v>
      </c>
      <c r="K93" s="17" t="s">
        <v>149</v>
      </c>
      <c r="L93">
        <v>5</v>
      </c>
    </row>
    <row r="94" spans="1:12" x14ac:dyDescent="0.25">
      <c r="A94" t="s">
        <v>469</v>
      </c>
      <c r="B94" t="s">
        <v>470</v>
      </c>
      <c r="C94" t="s">
        <v>204</v>
      </c>
      <c r="D94" t="s">
        <v>23</v>
      </c>
      <c r="E94">
        <v>38</v>
      </c>
      <c r="F94" t="s">
        <v>471</v>
      </c>
      <c r="G94" t="s">
        <v>115</v>
      </c>
      <c r="H94">
        <v>86146</v>
      </c>
      <c r="I94" s="1" t="d">
        <v>2005-11-01</v>
      </c>
      <c r="J94" t="s">
        <v>472</v>
      </c>
      <c r="K94" s="17" t="s">
        <v>50</v>
      </c>
      <c r="L94">
        <v>5</v>
      </c>
    </row>
    <row r="95" spans="1:12" x14ac:dyDescent="0.25">
      <c r="A95" t="s">
        <v>473</v>
      </c>
      <c r="B95" t="s">
        <v>174</v>
      </c>
      <c r="C95" t="s">
        <v>474</v>
      </c>
      <c r="D95" t="s">
        <v>46</v>
      </c>
      <c r="E95">
        <v>33</v>
      </c>
      <c r="F95" t="s">
        <v>373</v>
      </c>
      <c r="G95" t="s">
        <v>147</v>
      </c>
      <c r="H95" s="2">
        <v>-135726</v>
      </c>
      <c r="I95" s="1" t="d">
        <v>2014-11-20</v>
      </c>
      <c r="J95" t="s">
        <v>475</v>
      </c>
      <c r="K95" s="17" t="s">
        <v>100</v>
      </c>
      <c r="L95">
        <v>5</v>
      </c>
    </row>
    <row r="96" spans="1:12" x14ac:dyDescent="0.25">
      <c r="A96" t="s">
        <v>476</v>
      </c>
      <c r="B96" t="s">
        <v>151</v>
      </c>
      <c r="C96" t="s">
        <v>477</v>
      </c>
      <c r="D96" t="s">
        <v>46</v>
      </c>
      <c r="E96">
        <v>35</v>
      </c>
      <c r="F96" t="s">
        <v>478</v>
      </c>
      <c r="G96" t="s">
        <v>479</v>
      </c>
      <c r="H96">
        <v>44154</v>
      </c>
      <c r="I96" s="1" t="d">
        <v>2006-10-09</v>
      </c>
      <c r="J96" t="s">
        <v>480</v>
      </c>
      <c r="K96" s="17" t="s">
        <v>207</v>
      </c>
      <c r="L96">
        <v>5</v>
      </c>
    </row>
    <row r="97" spans="1:12" x14ac:dyDescent="0.25">
      <c r="A97" t="s">
        <v>481</v>
      </c>
      <c r="B97" t="s">
        <v>482</v>
      </c>
      <c r="C97" t="s">
        <v>483</v>
      </c>
      <c r="D97" t="s">
        <v>46</v>
      </c>
      <c r="E97">
        <v>50</v>
      </c>
      <c r="F97" t="s">
        <v>484</v>
      </c>
      <c r="G97" t="s">
        <v>485</v>
      </c>
      <c r="I97" s="1" t="d">
        <v>2005-04-25</v>
      </c>
      <c r="J97" t="s">
        <v>486</v>
      </c>
      <c r="K97" s="17" t="s">
        <v>207</v>
      </c>
      <c r="L97">
        <v>4</v>
      </c>
    </row>
    <row r="98" spans="1:12" x14ac:dyDescent="0.25">
      <c r="A98" t="s">
        <v>487</v>
      </c>
      <c r="B98" t="s">
        <v>482</v>
      </c>
      <c r="C98" t="s">
        <v>488</v>
      </c>
      <c r="D98" t="s">
        <v>46</v>
      </c>
      <c r="E98">
        <v>51</v>
      </c>
      <c r="F98" t="s">
        <v>253</v>
      </c>
      <c r="G98" t="s">
        <v>170</v>
      </c>
      <c r="H98" s="2">
        <v>41193</v>
      </c>
      <c r="I98" s="1" t="d">
        <v>2012-02-01</v>
      </c>
      <c r="J98" t="s">
        <v>489</v>
      </c>
      <c r="K98" s="17" t="s">
        <v>118</v>
      </c>
      <c r="L98">
        <v>4</v>
      </c>
    </row>
    <row r="99" spans="1:12" x14ac:dyDescent="0.25">
      <c r="A99" t="s">
        <v>490</v>
      </c>
      <c r="B99" t="s">
        <v>491</v>
      </c>
      <c r="C99" t="s">
        <v>53</v>
      </c>
      <c r="D99" t="s">
        <v>23</v>
      </c>
      <c r="E99">
        <v>49</v>
      </c>
      <c r="F99" t="s">
        <v>122</v>
      </c>
      <c r="G99" t="s">
        <v>357</v>
      </c>
      <c r="H99" s="2">
        <v>79859</v>
      </c>
      <c r="I99" s="1" t="d">
        <v>2008-09-05</v>
      </c>
      <c r="J99" t="s">
        <v>492</v>
      </c>
      <c r="K99" s="17" t="s">
        <v>58</v>
      </c>
      <c r="L99">
        <v>4</v>
      </c>
    </row>
    <row r="100" spans="1:12" x14ac:dyDescent="0.25">
      <c r="A100" t="s">
        <v>493</v>
      </c>
      <c r="B100" t="s">
        <v>494</v>
      </c>
      <c r="C100" t="s">
        <v>252</v>
      </c>
      <c r="D100" t="s">
        <v>46</v>
      </c>
      <c r="E100">
        <v>30</v>
      </c>
      <c r="F100" t="s">
        <v>495</v>
      </c>
      <c r="G100" t="s">
        <v>159</v>
      </c>
      <c r="H100" t="s">
        <v>496</v>
      </c>
      <c r="J100" t="s">
        <v>497</v>
      </c>
      <c r="K100" s="17" t="s">
        <v>71</v>
      </c>
      <c r="L100">
        <v>5</v>
      </c>
    </row>
    <row r="101" spans="1:12" x14ac:dyDescent="0.25">
      <c r="A101" t="s">
        <v>498</v>
      </c>
      <c r="B101" t="s">
        <v>499</v>
      </c>
      <c r="C101" t="s">
        <v>135</v>
      </c>
      <c r="D101" t="s">
        <v>46</v>
      </c>
      <c r="E101">
        <v>44</v>
      </c>
      <c r="F101" t="s">
        <v>350</v>
      </c>
      <c r="G101" t="s">
        <v>500</v>
      </c>
      <c r="H101">
        <v>55096</v>
      </c>
      <c r="I101" s="1" t="d">
        <v>2005-08-26</v>
      </c>
      <c r="J101" t="s">
        <v>501</v>
      </c>
      <c r="K101" s="17" t="s">
        <v>207</v>
      </c>
      <c r="L101">
        <v>3</v>
      </c>
    </row>
    <row r="102" spans="1:12" x14ac:dyDescent="0.25">
      <c r="A102" t="s">
        <v>502</v>
      </c>
      <c r="B102" t="s">
        <v>36</v>
      </c>
      <c r="C102" t="s">
        <v>503</v>
      </c>
      <c r="D102" t="s">
        <v>23</v>
      </c>
      <c r="E102">
        <v>43</v>
      </c>
      <c r="F102" t="s">
        <v>417</v>
      </c>
      <c r="G102" t="s">
        <v>504</v>
      </c>
      <c r="H102" s="2">
        <v>-49534</v>
      </c>
      <c r="I102" s="1" t="d">
        <v>2020-03-27</v>
      </c>
      <c r="J102" t="s">
        <v>505</v>
      </c>
      <c r="K102" s="17" t="s">
        <v>118</v>
      </c>
      <c r="L102">
        <v>4</v>
      </c>
    </row>
    <row r="103" spans="1:12" x14ac:dyDescent="0.25">
      <c r="A103" t="s">
        <v>506</v>
      </c>
      <c r="B103" t="s">
        <v>507</v>
      </c>
      <c r="C103" t="s">
        <v>508</v>
      </c>
      <c r="D103" t="s">
        <v>9527</v>
      </c>
      <c r="E103">
        <v>55</v>
      </c>
      <c r="F103" t="s">
        <v>509</v>
      </c>
      <c r="G103" t="s">
        <v>63</v>
      </c>
      <c r="H103">
        <v>167996</v>
      </c>
      <c r="I103" s="1" t="d">
        <v>2023-09-22</v>
      </c>
      <c r="J103" t="s">
        <v>510</v>
      </c>
      <c r="K103" s="17" t="s">
        <v>207</v>
      </c>
      <c r="L103">
        <v>3</v>
      </c>
    </row>
    <row r="104" spans="1:12" x14ac:dyDescent="0.25">
      <c r="A104" t="s">
        <v>511</v>
      </c>
      <c r="B104" t="s">
        <v>507</v>
      </c>
      <c r="C104" t="s">
        <v>512</v>
      </c>
      <c r="D104" t="s">
        <v>23</v>
      </c>
      <c r="E104">
        <v>35</v>
      </c>
      <c r="F104" t="s">
        <v>81</v>
      </c>
      <c r="G104" t="s">
        <v>205</v>
      </c>
      <c r="H104">
        <v>61524</v>
      </c>
      <c r="I104" s="1" t="d">
        <v>2019-05-14</v>
      </c>
      <c r="J104" t="s">
        <v>513</v>
      </c>
      <c r="K104" s="17" t="s">
        <v>100</v>
      </c>
      <c r="L104">
        <v>3</v>
      </c>
    </row>
    <row r="105" spans="1:12" x14ac:dyDescent="0.25">
      <c r="A105" t="s">
        <v>514</v>
      </c>
      <c r="B105" t="s">
        <v>515</v>
      </c>
      <c r="C105" t="s">
        <v>516</v>
      </c>
      <c r="D105" t="s">
        <v>46</v>
      </c>
      <c r="E105">
        <v>31</v>
      </c>
      <c r="F105" t="s">
        <v>230</v>
      </c>
      <c r="G105" t="s">
        <v>16</v>
      </c>
      <c r="H105" t="s">
        <v>517</v>
      </c>
      <c r="I105" s="1" t="d">
        <v>2013-04-12</v>
      </c>
      <c r="J105" t="s">
        <v>518</v>
      </c>
      <c r="K105" s="17" t="s">
        <v>42</v>
      </c>
      <c r="L105">
        <v>2</v>
      </c>
    </row>
    <row r="106" spans="1:12" x14ac:dyDescent="0.25">
      <c r="A106" t="s">
        <v>519</v>
      </c>
      <c r="B106" t="s">
        <v>520</v>
      </c>
      <c r="C106" t="s">
        <v>521</v>
      </c>
      <c r="D106" t="s">
        <v>23</v>
      </c>
      <c r="E106">
        <v>56</v>
      </c>
      <c r="F106" t="s">
        <v>522</v>
      </c>
      <c r="G106" t="s">
        <v>212</v>
      </c>
      <c r="H106" t="s">
        <v>523</v>
      </c>
      <c r="I106" s="1" t="d">
        <v>2005-02-08</v>
      </c>
      <c r="J106" t="s">
        <v>362</v>
      </c>
      <c r="K106" s="17" t="s">
        <v>370</v>
      </c>
      <c r="L106">
        <v>4</v>
      </c>
    </row>
    <row r="107" spans="1:12" x14ac:dyDescent="0.25">
      <c r="A107" t="s">
        <v>524</v>
      </c>
      <c r="B107" t="s">
        <v>79</v>
      </c>
      <c r="C107" t="s">
        <v>525</v>
      </c>
      <c r="D107" t="s">
        <v>9527</v>
      </c>
      <c r="E107">
        <v>36</v>
      </c>
      <c r="F107" t="s">
        <v>54</v>
      </c>
      <c r="G107" t="s">
        <v>526</v>
      </c>
      <c r="H107" t="s">
        <v>527</v>
      </c>
      <c r="I107" s="1" t="d">
        <v>2013-06-09</v>
      </c>
      <c r="J107" t="s">
        <v>528</v>
      </c>
      <c r="K107" s="17" t="s">
        <v>184</v>
      </c>
      <c r="L107">
        <v>2</v>
      </c>
    </row>
    <row r="108" spans="1:12" x14ac:dyDescent="0.25">
      <c r="A108" t="s">
        <v>529</v>
      </c>
      <c r="B108" t="s">
        <v>530</v>
      </c>
      <c r="C108" t="s">
        <v>531</v>
      </c>
      <c r="D108" t="s">
        <v>9527</v>
      </c>
      <c r="E108">
        <v>21</v>
      </c>
      <c r="F108" t="s">
        <v>532</v>
      </c>
      <c r="G108" t="s">
        <v>69</v>
      </c>
      <c r="J108" t="s">
        <v>533</v>
      </c>
      <c r="K108" s="17" t="s">
        <v>118</v>
      </c>
      <c r="L108">
        <v>3</v>
      </c>
    </row>
    <row r="109" spans="1:12" x14ac:dyDescent="0.25">
      <c r="A109" t="s">
        <v>534</v>
      </c>
      <c r="B109" t="s">
        <v>112</v>
      </c>
      <c r="C109" t="s">
        <v>535</v>
      </c>
      <c r="D109" t="s">
        <v>23</v>
      </c>
      <c r="E109">
        <v>43</v>
      </c>
      <c r="F109" t="s">
        <v>269</v>
      </c>
      <c r="G109" t="s">
        <v>39</v>
      </c>
      <c r="H109" t="s">
        <v>536</v>
      </c>
      <c r="I109" s="1" t="d">
        <v>2013-12-08</v>
      </c>
      <c r="J109" t="s">
        <v>537</v>
      </c>
      <c r="K109" s="17" t="s">
        <v>71</v>
      </c>
      <c r="L109">
        <v>5</v>
      </c>
    </row>
    <row r="110" spans="1:12" x14ac:dyDescent="0.25">
      <c r="A110" t="s">
        <v>538</v>
      </c>
      <c r="B110" t="s">
        <v>539</v>
      </c>
      <c r="C110" t="s">
        <v>540</v>
      </c>
      <c r="D110" t="s">
        <v>23</v>
      </c>
      <c r="E110">
        <v>46</v>
      </c>
      <c r="F110" t="s">
        <v>200</v>
      </c>
      <c r="G110" t="s">
        <v>170</v>
      </c>
      <c r="H110">
        <v>999999</v>
      </c>
      <c r="J110" t="s">
        <v>541</v>
      </c>
      <c r="K110" s="17" t="s">
        <v>58</v>
      </c>
      <c r="L110">
        <v>4</v>
      </c>
    </row>
    <row r="111" spans="1:12" x14ac:dyDescent="0.25">
      <c r="A111" t="s">
        <v>542</v>
      </c>
      <c r="B111" t="s">
        <v>323</v>
      </c>
      <c r="C111" t="s">
        <v>145</v>
      </c>
      <c r="D111" t="s">
        <v>9527</v>
      </c>
      <c r="E111">
        <v>22</v>
      </c>
      <c r="F111" t="s">
        <v>114</v>
      </c>
      <c r="G111" t="s">
        <v>69</v>
      </c>
      <c r="H111">
        <v>-113334</v>
      </c>
      <c r="I111" s="1" t="d">
        <v>2021-01-04</v>
      </c>
      <c r="J111" t="s">
        <v>543</v>
      </c>
      <c r="K111" s="17" t="s">
        <v>149</v>
      </c>
      <c r="L111">
        <v>4</v>
      </c>
    </row>
    <row r="112" spans="1:12" x14ac:dyDescent="0.25">
      <c r="A112" t="s">
        <v>544</v>
      </c>
      <c r="B112" t="s">
        <v>125</v>
      </c>
      <c r="C112" t="s">
        <v>67</v>
      </c>
      <c r="D112" t="s">
        <v>9527</v>
      </c>
      <c r="E112">
        <v>34</v>
      </c>
      <c r="F112" t="s">
        <v>200</v>
      </c>
      <c r="G112" t="s">
        <v>63</v>
      </c>
      <c r="H112" t="s">
        <v>545</v>
      </c>
      <c r="I112" s="1" t="d">
        <v>2024-10-29</v>
      </c>
      <c r="J112" t="s">
        <v>546</v>
      </c>
      <c r="K112" s="17" t="s">
        <v>184</v>
      </c>
      <c r="L112">
        <v>3</v>
      </c>
    </row>
    <row r="113" spans="1:12" x14ac:dyDescent="0.25">
      <c r="A113" t="s">
        <v>547</v>
      </c>
      <c r="B113" t="s">
        <v>548</v>
      </c>
      <c r="C113" t="s">
        <v>14</v>
      </c>
      <c r="D113" t="s">
        <v>9527</v>
      </c>
      <c r="E113">
        <v>34</v>
      </c>
      <c r="F113" t="s">
        <v>176</v>
      </c>
      <c r="G113" t="s">
        <v>170</v>
      </c>
      <c r="H113" t="s">
        <v>549</v>
      </c>
      <c r="I113" s="1" t="d">
        <v>2014-02-01</v>
      </c>
      <c r="J113" t="s">
        <v>550</v>
      </c>
      <c r="K113" s="17" t="s">
        <v>149</v>
      </c>
      <c r="L113">
        <v>4</v>
      </c>
    </row>
    <row r="114" spans="1:12" x14ac:dyDescent="0.25">
      <c r="A114" t="s">
        <v>551</v>
      </c>
      <c r="B114" t="s">
        <v>194</v>
      </c>
      <c r="C114" t="s">
        <v>552</v>
      </c>
      <c r="D114" t="s">
        <v>23</v>
      </c>
      <c r="E114">
        <v>32</v>
      </c>
      <c r="F114" t="s">
        <v>108</v>
      </c>
      <c r="G114" t="s">
        <v>69</v>
      </c>
      <c r="H114">
        <v>98373</v>
      </c>
      <c r="I114" s="1" t="d">
        <v>2024-03-22</v>
      </c>
      <c r="J114" t="s">
        <v>553</v>
      </c>
      <c r="K114" s="17" t="s">
        <v>71</v>
      </c>
      <c r="L114">
        <v>4</v>
      </c>
    </row>
    <row r="115" spans="1:12" x14ac:dyDescent="0.25">
      <c r="A115" t="s">
        <v>554</v>
      </c>
      <c r="B115" t="s">
        <v>180</v>
      </c>
      <c r="C115" t="s">
        <v>555</v>
      </c>
      <c r="D115" t="s">
        <v>9527</v>
      </c>
      <c r="E115">
        <v>47</v>
      </c>
      <c r="F115" t="s">
        <v>104</v>
      </c>
      <c r="G115" t="s">
        <v>387</v>
      </c>
      <c r="H115" t="s">
        <v>556</v>
      </c>
      <c r="I115" s="1" t="d">
        <v>2008-01-12</v>
      </c>
      <c r="J115" t="s">
        <v>557</v>
      </c>
      <c r="K115" s="17" t="s">
        <v>50</v>
      </c>
      <c r="L115">
        <v>1</v>
      </c>
    </row>
    <row r="116" spans="1:12" x14ac:dyDescent="0.25">
      <c r="A116" t="s">
        <v>558</v>
      </c>
      <c r="B116" t="s">
        <v>102</v>
      </c>
      <c r="C116" t="s">
        <v>61</v>
      </c>
      <c r="D116" t="s">
        <v>46</v>
      </c>
      <c r="E116">
        <v>37</v>
      </c>
      <c r="F116" t="s">
        <v>559</v>
      </c>
      <c r="G116" t="s">
        <v>32</v>
      </c>
      <c r="H116" t="s">
        <v>560</v>
      </c>
      <c r="I116" s="1" t="d">
        <v>2009-05-04</v>
      </c>
      <c r="J116" t="s">
        <v>561</v>
      </c>
      <c r="K116" s="17" t="s">
        <v>34</v>
      </c>
      <c r="L116">
        <v>2</v>
      </c>
    </row>
    <row r="117" spans="1:12" x14ac:dyDescent="0.25">
      <c r="A117" t="s">
        <v>562</v>
      </c>
      <c r="B117" t="s">
        <v>563</v>
      </c>
      <c r="C117" t="s">
        <v>135</v>
      </c>
      <c r="D117" t="s">
        <v>46</v>
      </c>
      <c r="E117">
        <v>29</v>
      </c>
      <c r="F117" t="s">
        <v>238</v>
      </c>
      <c r="G117" t="s">
        <v>115</v>
      </c>
      <c r="H117" s="2">
        <v>63904</v>
      </c>
      <c r="I117" s="1" t="d">
        <v>2007-11-22</v>
      </c>
      <c r="J117" t="s">
        <v>564</v>
      </c>
      <c r="K117" s="17" t="s">
        <v>370</v>
      </c>
      <c r="L117">
        <v>4</v>
      </c>
    </row>
    <row r="118" spans="1:12" x14ac:dyDescent="0.25">
      <c r="A118" t="s">
        <v>565</v>
      </c>
      <c r="B118" t="s">
        <v>566</v>
      </c>
      <c r="C118" t="s">
        <v>567</v>
      </c>
      <c r="D118" t="s">
        <v>46</v>
      </c>
      <c r="E118">
        <v>59</v>
      </c>
      <c r="F118" t="s">
        <v>62</v>
      </c>
      <c r="G118" t="s">
        <v>48</v>
      </c>
      <c r="H118" t="s">
        <v>568</v>
      </c>
      <c r="I118" s="1" t="d">
        <v>2015-06-27</v>
      </c>
      <c r="J118" t="s">
        <v>569</v>
      </c>
      <c r="K118" s="17" t="s">
        <v>370</v>
      </c>
      <c r="L118">
        <v>4</v>
      </c>
    </row>
    <row r="119" spans="1:12" x14ac:dyDescent="0.25">
      <c r="A119" t="s">
        <v>570</v>
      </c>
      <c r="B119" t="s">
        <v>571</v>
      </c>
      <c r="C119" t="s">
        <v>572</v>
      </c>
      <c r="D119" t="s">
        <v>9527</v>
      </c>
      <c r="E119">
        <v>37</v>
      </c>
      <c r="F119" t="s">
        <v>245</v>
      </c>
      <c r="G119" t="s">
        <v>69</v>
      </c>
      <c r="H119">
        <v>62930</v>
      </c>
      <c r="I119" s="1" t="d">
        <v>2014-05-04</v>
      </c>
      <c r="J119" t="s">
        <v>573</v>
      </c>
      <c r="K119" s="17" t="s">
        <v>100</v>
      </c>
      <c r="L119">
        <v>4</v>
      </c>
    </row>
    <row r="120" spans="1:12" x14ac:dyDescent="0.25">
      <c r="A120" t="s">
        <v>574</v>
      </c>
      <c r="B120" t="s">
        <v>221</v>
      </c>
      <c r="C120" t="s">
        <v>575</v>
      </c>
      <c r="D120" t="s">
        <v>23</v>
      </c>
      <c r="E120">
        <v>28</v>
      </c>
      <c r="F120" t="s">
        <v>576</v>
      </c>
      <c r="G120" t="s">
        <v>55</v>
      </c>
      <c r="H120" t="s">
        <v>577</v>
      </c>
      <c r="I120" s="1" t="d">
        <v>2014-08-29</v>
      </c>
      <c r="J120" t="s">
        <v>578</v>
      </c>
      <c r="K120" s="17" t="s">
        <v>90</v>
      </c>
      <c r="L120">
        <v>5</v>
      </c>
    </row>
    <row r="121" spans="1:12" x14ac:dyDescent="0.25">
      <c r="A121" t="s">
        <v>579</v>
      </c>
      <c r="B121" t="s">
        <v>151</v>
      </c>
      <c r="C121" t="s">
        <v>395</v>
      </c>
      <c r="D121" t="s">
        <v>9527</v>
      </c>
      <c r="E121">
        <v>43</v>
      </c>
      <c r="F121" t="s">
        <v>559</v>
      </c>
      <c r="G121" t="s">
        <v>182</v>
      </c>
      <c r="H121" t="s">
        <v>580</v>
      </c>
      <c r="I121" s="1" t="d">
        <v>2006-11-16</v>
      </c>
      <c r="J121" t="s">
        <v>581</v>
      </c>
      <c r="K121" s="17" t="s">
        <v>370</v>
      </c>
      <c r="L121">
        <v>3</v>
      </c>
    </row>
    <row r="122" spans="1:12" x14ac:dyDescent="0.25">
      <c r="A122" t="s">
        <v>582</v>
      </c>
      <c r="B122" t="s">
        <v>583</v>
      </c>
      <c r="C122" t="s">
        <v>584</v>
      </c>
      <c r="D122" t="s">
        <v>23</v>
      </c>
      <c r="E122">
        <v>42</v>
      </c>
      <c r="F122" t="s">
        <v>585</v>
      </c>
      <c r="G122" t="s">
        <v>586</v>
      </c>
      <c r="H122" s="2">
        <v>100736</v>
      </c>
      <c r="I122" s="1" t="d">
        <v>2012-12-24</v>
      </c>
      <c r="J122" t="s">
        <v>587</v>
      </c>
      <c r="K122" s="17" t="s">
        <v>58</v>
      </c>
      <c r="L122">
        <v>4</v>
      </c>
    </row>
    <row r="123" spans="1:12" x14ac:dyDescent="0.25">
      <c r="A123" t="s">
        <v>588</v>
      </c>
      <c r="B123" t="s">
        <v>180</v>
      </c>
      <c r="C123" t="s">
        <v>474</v>
      </c>
      <c r="D123" t="s">
        <v>23</v>
      </c>
      <c r="E123">
        <v>32</v>
      </c>
      <c r="F123" t="s">
        <v>589</v>
      </c>
      <c r="G123" t="s">
        <v>177</v>
      </c>
      <c r="I123" s="1" t="d">
        <v>2007-02-20</v>
      </c>
      <c r="J123" t="s">
        <v>590</v>
      </c>
      <c r="K123" s="17" t="s">
        <v>184</v>
      </c>
      <c r="L123">
        <v>2</v>
      </c>
    </row>
    <row r="124" spans="1:12" x14ac:dyDescent="0.25">
      <c r="A124" t="s">
        <v>591</v>
      </c>
      <c r="B124" t="s">
        <v>499</v>
      </c>
      <c r="C124" t="s">
        <v>237</v>
      </c>
      <c r="D124" t="s">
        <v>9527</v>
      </c>
      <c r="E124">
        <v>40</v>
      </c>
      <c r="F124" t="s">
        <v>422</v>
      </c>
      <c r="G124" t="s">
        <v>39</v>
      </c>
      <c r="H124">
        <v>73422</v>
      </c>
      <c r="I124" s="1" t="d">
        <v>2018-07-20</v>
      </c>
      <c r="J124" t="s">
        <v>592</v>
      </c>
      <c r="K124" s="17" t="s">
        <v>34</v>
      </c>
      <c r="L124">
        <v>5</v>
      </c>
    </row>
    <row r="125" spans="1:12" x14ac:dyDescent="0.25">
      <c r="A125" t="s">
        <v>593</v>
      </c>
      <c r="B125" t="s">
        <v>594</v>
      </c>
      <c r="C125" t="s">
        <v>595</v>
      </c>
      <c r="D125" t="s">
        <v>9527</v>
      </c>
      <c r="E125">
        <v>50</v>
      </c>
      <c r="F125" t="s">
        <v>54</v>
      </c>
      <c r="G125" t="s">
        <v>82</v>
      </c>
      <c r="H125" t="s">
        <v>596</v>
      </c>
      <c r="I125" s="1" t="d">
        <v>2022-01-16</v>
      </c>
      <c r="J125" t="s">
        <v>597</v>
      </c>
      <c r="K125" s="17" t="s">
        <v>90</v>
      </c>
      <c r="L125">
        <v>3</v>
      </c>
    </row>
    <row r="126" spans="1:12" x14ac:dyDescent="0.25">
      <c r="A126" t="s">
        <v>598</v>
      </c>
      <c r="B126" t="s">
        <v>162</v>
      </c>
      <c r="C126" t="s">
        <v>599</v>
      </c>
      <c r="D126" t="s">
        <v>23</v>
      </c>
      <c r="E126">
        <v>55</v>
      </c>
      <c r="F126" t="s">
        <v>114</v>
      </c>
      <c r="G126" t="s">
        <v>600</v>
      </c>
      <c r="H126" t="s">
        <v>601</v>
      </c>
      <c r="I126" s="1" t="d">
        <v>2006-04-06</v>
      </c>
      <c r="J126" t="s">
        <v>602</v>
      </c>
      <c r="K126" s="17" t="s">
        <v>34</v>
      </c>
      <c r="L126">
        <v>3</v>
      </c>
    </row>
    <row r="127" spans="1:12" x14ac:dyDescent="0.25">
      <c r="A127" t="s">
        <v>603</v>
      </c>
      <c r="B127" t="s">
        <v>604</v>
      </c>
      <c r="C127" t="s">
        <v>599</v>
      </c>
      <c r="D127" t="s">
        <v>9527</v>
      </c>
      <c r="E127">
        <v>39</v>
      </c>
      <c r="G127" t="s">
        <v>191</v>
      </c>
      <c r="I127" s="1" t="d">
        <v>2012-10-16</v>
      </c>
      <c r="J127" t="s">
        <v>605</v>
      </c>
      <c r="K127" s="17" t="s">
        <v>118</v>
      </c>
      <c r="L127">
        <v>4</v>
      </c>
    </row>
    <row r="128" spans="1:12" x14ac:dyDescent="0.25">
      <c r="A128" t="s">
        <v>606</v>
      </c>
      <c r="B128" t="s">
        <v>262</v>
      </c>
      <c r="C128" t="s">
        <v>607</v>
      </c>
      <c r="D128" t="s">
        <v>46</v>
      </c>
      <c r="E128">
        <v>40</v>
      </c>
      <c r="F128" t="s">
        <v>532</v>
      </c>
      <c r="G128" t="s">
        <v>55</v>
      </c>
      <c r="H128">
        <v>62579</v>
      </c>
      <c r="I128" s="1" t="d">
        <v>2024-11-23</v>
      </c>
      <c r="J128" t="s">
        <v>608</v>
      </c>
      <c r="K128" s="17" t="s">
        <v>100</v>
      </c>
      <c r="L128">
        <v>5</v>
      </c>
    </row>
    <row r="129" spans="1:12" x14ac:dyDescent="0.25">
      <c r="A129" t="s">
        <v>609</v>
      </c>
      <c r="B129" t="s">
        <v>610</v>
      </c>
      <c r="C129" t="s">
        <v>252</v>
      </c>
      <c r="D129" t="s">
        <v>9527</v>
      </c>
      <c r="E129">
        <v>21</v>
      </c>
      <c r="F129" t="s">
        <v>350</v>
      </c>
      <c r="G129" t="s">
        <v>48</v>
      </c>
      <c r="H129" s="2">
        <v>55331</v>
      </c>
      <c r="I129" s="1" t="d">
        <v>2016-10-18</v>
      </c>
      <c r="J129" t="s">
        <v>611</v>
      </c>
      <c r="K129" s="17" t="s">
        <v>100</v>
      </c>
      <c r="L129">
        <v>4</v>
      </c>
    </row>
    <row r="130" spans="1:12" x14ac:dyDescent="0.25">
      <c r="A130" t="s">
        <v>612</v>
      </c>
      <c r="B130" t="s">
        <v>134</v>
      </c>
      <c r="C130" t="s">
        <v>613</v>
      </c>
      <c r="D130" t="s">
        <v>46</v>
      </c>
      <c r="E130">
        <v>40</v>
      </c>
      <c r="F130" t="s">
        <v>264</v>
      </c>
      <c r="G130" t="s">
        <v>614</v>
      </c>
      <c r="H130" t="s">
        <v>615</v>
      </c>
      <c r="I130" s="1" t="d">
        <v>2010-12-28</v>
      </c>
      <c r="J130" t="s">
        <v>616</v>
      </c>
      <c r="K130" s="17" t="s">
        <v>149</v>
      </c>
      <c r="L130">
        <v>4</v>
      </c>
    </row>
    <row r="131" spans="1:12" x14ac:dyDescent="0.25">
      <c r="A131" t="s">
        <v>617</v>
      </c>
      <c r="B131" t="s">
        <v>144</v>
      </c>
      <c r="C131" t="s">
        <v>618</v>
      </c>
      <c r="D131" t="s">
        <v>46</v>
      </c>
      <c r="E131">
        <v>23</v>
      </c>
      <c r="F131" t="s">
        <v>422</v>
      </c>
      <c r="G131" t="s">
        <v>191</v>
      </c>
      <c r="H131">
        <v>70969</v>
      </c>
      <c r="I131" s="1" t="d">
        <v>2010-01-13</v>
      </c>
      <c r="J131" t="s">
        <v>619</v>
      </c>
      <c r="K131" s="17" t="s">
        <v>149</v>
      </c>
      <c r="L131">
        <v>4</v>
      </c>
    </row>
    <row r="132" spans="1:12" x14ac:dyDescent="0.25">
      <c r="A132" t="s">
        <v>620</v>
      </c>
      <c r="B132" t="s">
        <v>621</v>
      </c>
      <c r="C132" t="s">
        <v>14</v>
      </c>
      <c r="D132" t="s">
        <v>46</v>
      </c>
      <c r="E132">
        <v>42</v>
      </c>
      <c r="F132" t="s">
        <v>126</v>
      </c>
      <c r="G132" t="s">
        <v>39</v>
      </c>
      <c r="H132">
        <v>71536</v>
      </c>
      <c r="I132" s="1" t="d">
        <v>2019-08-02</v>
      </c>
      <c r="J132" t="s">
        <v>622</v>
      </c>
      <c r="K132" s="17" t="s">
        <v>27</v>
      </c>
      <c r="L132">
        <v>1</v>
      </c>
    </row>
    <row r="133" spans="1:12" x14ac:dyDescent="0.25">
      <c r="A133" t="s">
        <v>623</v>
      </c>
      <c r="B133" t="s">
        <v>73</v>
      </c>
      <c r="C133" t="s">
        <v>624</v>
      </c>
      <c r="D133" t="s">
        <v>9527</v>
      </c>
      <c r="E133">
        <v>21</v>
      </c>
      <c r="F133" t="s">
        <v>417</v>
      </c>
      <c r="G133" t="s">
        <v>82</v>
      </c>
      <c r="H133" t="s">
        <v>625</v>
      </c>
      <c r="I133" s="1" t="d">
        <v>2019-01-12</v>
      </c>
      <c r="J133" t="s">
        <v>213</v>
      </c>
      <c r="K133" s="17" t="s">
        <v>370</v>
      </c>
      <c r="L133">
        <v>3</v>
      </c>
    </row>
    <row r="134" spans="1:12" x14ac:dyDescent="0.25">
      <c r="A134" t="s">
        <v>626</v>
      </c>
      <c r="B134" t="s">
        <v>221</v>
      </c>
      <c r="C134" t="s">
        <v>291</v>
      </c>
      <c r="D134" t="s">
        <v>46</v>
      </c>
      <c r="E134">
        <v>42</v>
      </c>
      <c r="F134" t="s">
        <v>350</v>
      </c>
      <c r="G134" t="s">
        <v>32</v>
      </c>
      <c r="H134" t="s">
        <v>627</v>
      </c>
      <c r="I134" s="1" t="d">
        <v>2021-11-11</v>
      </c>
      <c r="J134" t="s">
        <v>628</v>
      </c>
      <c r="K134" s="17" t="s">
        <v>19</v>
      </c>
      <c r="L134">
        <v>3</v>
      </c>
    </row>
    <row r="135" spans="1:12" x14ac:dyDescent="0.25">
      <c r="A135" t="s">
        <v>629</v>
      </c>
      <c r="B135" t="s">
        <v>630</v>
      </c>
      <c r="C135" t="s">
        <v>631</v>
      </c>
      <c r="D135" t="s">
        <v>23</v>
      </c>
      <c r="E135">
        <v>53</v>
      </c>
      <c r="F135" t="s">
        <v>169</v>
      </c>
      <c r="G135" t="s">
        <v>632</v>
      </c>
      <c r="H135">
        <v>169697</v>
      </c>
      <c r="I135" s="1" t="d">
        <v>2012-07-12</v>
      </c>
      <c r="J135" t="s">
        <v>451</v>
      </c>
      <c r="K135" s="17" t="s">
        <v>27</v>
      </c>
      <c r="L135">
        <v>3</v>
      </c>
    </row>
    <row r="136" spans="1:12" x14ac:dyDescent="0.25">
      <c r="A136" t="s">
        <v>633</v>
      </c>
      <c r="B136" t="s">
        <v>548</v>
      </c>
      <c r="C136" t="s">
        <v>318</v>
      </c>
      <c r="D136" t="s">
        <v>46</v>
      </c>
      <c r="E136">
        <v>62</v>
      </c>
      <c r="F136" t="s">
        <v>634</v>
      </c>
      <c r="G136" t="s">
        <v>182</v>
      </c>
      <c r="H136">
        <v>80195</v>
      </c>
      <c r="I136" s="1" t="d">
        <v>2016-10-09</v>
      </c>
      <c r="J136" t="s">
        <v>635</v>
      </c>
      <c r="K136" s="17" t="s">
        <v>100</v>
      </c>
      <c r="L136">
        <v>4</v>
      </c>
    </row>
    <row r="137" spans="1:12" x14ac:dyDescent="0.25">
      <c r="A137" t="s">
        <v>636</v>
      </c>
      <c r="B137" t="s">
        <v>637</v>
      </c>
      <c r="C137" t="s">
        <v>53</v>
      </c>
      <c r="D137" t="s">
        <v>9527</v>
      </c>
      <c r="E137">
        <v>46</v>
      </c>
      <c r="F137" t="s">
        <v>15</v>
      </c>
      <c r="G137" t="s">
        <v>638</v>
      </c>
      <c r="H137" s="2">
        <v>124001</v>
      </c>
      <c r="I137" s="1" t="d">
        <v>2011-10-23</v>
      </c>
      <c r="J137" t="s">
        <v>639</v>
      </c>
      <c r="K137" s="17" t="s">
        <v>27</v>
      </c>
      <c r="L137">
        <v>5</v>
      </c>
    </row>
    <row r="138" spans="1:12" x14ac:dyDescent="0.25">
      <c r="A138" t="s">
        <v>640</v>
      </c>
      <c r="B138" t="s">
        <v>228</v>
      </c>
      <c r="C138" t="s">
        <v>618</v>
      </c>
      <c r="D138" t="s">
        <v>9527</v>
      </c>
      <c r="E138">
        <v>43</v>
      </c>
      <c r="F138" t="s">
        <v>196</v>
      </c>
      <c r="G138" t="s">
        <v>641</v>
      </c>
      <c r="H138" s="2">
        <v>42155</v>
      </c>
      <c r="I138" s="1" t="d">
        <v>2021-01-26</v>
      </c>
      <c r="J138" t="s">
        <v>642</v>
      </c>
      <c r="K138" s="17" t="s">
        <v>34</v>
      </c>
      <c r="L138">
        <v>3</v>
      </c>
    </row>
    <row r="139" spans="1:12" x14ac:dyDescent="0.25">
      <c r="A139" t="s">
        <v>643</v>
      </c>
      <c r="B139" t="s">
        <v>644</v>
      </c>
      <c r="C139" t="s">
        <v>540</v>
      </c>
      <c r="D139" t="s">
        <v>46</v>
      </c>
      <c r="E139">
        <v>33</v>
      </c>
      <c r="F139" t="s">
        <v>645</v>
      </c>
      <c r="G139" t="s">
        <v>217</v>
      </c>
      <c r="H139">
        <v>67698</v>
      </c>
      <c r="I139" s="1" t="d">
        <v>2017-01-23</v>
      </c>
      <c r="J139" t="s">
        <v>646</v>
      </c>
      <c r="K139" s="17" t="s">
        <v>58</v>
      </c>
      <c r="L139">
        <v>5</v>
      </c>
    </row>
    <row r="140" spans="1:12" x14ac:dyDescent="0.25">
      <c r="A140" t="s">
        <v>647</v>
      </c>
      <c r="B140" t="s">
        <v>648</v>
      </c>
      <c r="C140" t="s">
        <v>552</v>
      </c>
      <c r="D140" t="s">
        <v>9527</v>
      </c>
      <c r="E140">
        <v>57</v>
      </c>
      <c r="F140" t="s">
        <v>649</v>
      </c>
      <c r="G140" t="s">
        <v>217</v>
      </c>
      <c r="H140" s="2">
        <v>110331</v>
      </c>
      <c r="I140" s="1" t="d">
        <v>2021-05-08</v>
      </c>
      <c r="J140" t="s">
        <v>650</v>
      </c>
      <c r="K140" s="17" t="s">
        <v>71</v>
      </c>
      <c r="L140">
        <v>3</v>
      </c>
    </row>
    <row r="141" spans="1:12" x14ac:dyDescent="0.25">
      <c r="A141" t="s">
        <v>651</v>
      </c>
      <c r="B141" t="s">
        <v>652</v>
      </c>
      <c r="C141" t="s">
        <v>107</v>
      </c>
      <c r="D141" t="s">
        <v>9527</v>
      </c>
      <c r="E141">
        <v>29</v>
      </c>
      <c r="F141" t="s">
        <v>47</v>
      </c>
      <c r="G141" t="s">
        <v>16</v>
      </c>
      <c r="H141" s="2">
        <v>999999</v>
      </c>
      <c r="I141" s="1" t="d">
        <v>2012-01-04</v>
      </c>
      <c r="J141" t="s">
        <v>653</v>
      </c>
      <c r="K141" s="17" t="s">
        <v>370</v>
      </c>
      <c r="L141">
        <v>2</v>
      </c>
    </row>
    <row r="142" spans="1:12" x14ac:dyDescent="0.25">
      <c r="A142" t="s">
        <v>654</v>
      </c>
      <c r="B142" t="s">
        <v>86</v>
      </c>
      <c r="C142" t="s">
        <v>655</v>
      </c>
      <c r="D142" t="s">
        <v>9527</v>
      </c>
      <c r="E142">
        <v>39</v>
      </c>
      <c r="G142" t="s">
        <v>115</v>
      </c>
      <c r="H142" t="s">
        <v>656</v>
      </c>
      <c r="I142" s="1" t="d">
        <v>2021-07-09</v>
      </c>
      <c r="J142" t="s">
        <v>657</v>
      </c>
      <c r="K142" s="17" t="s">
        <v>58</v>
      </c>
      <c r="L142">
        <v>4</v>
      </c>
    </row>
    <row r="143" spans="1:12" x14ac:dyDescent="0.25">
      <c r="A143" t="s">
        <v>658</v>
      </c>
      <c r="B143" t="s">
        <v>659</v>
      </c>
      <c r="C143" t="s">
        <v>660</v>
      </c>
      <c r="D143" t="s">
        <v>23</v>
      </c>
      <c r="E143">
        <v>38</v>
      </c>
      <c r="G143" t="s">
        <v>16</v>
      </c>
      <c r="H143" t="s">
        <v>661</v>
      </c>
      <c r="I143" s="1" t="d">
        <v>2021-03-15</v>
      </c>
      <c r="J143" t="s">
        <v>662</v>
      </c>
      <c r="K143" s="17" t="s">
        <v>58</v>
      </c>
      <c r="L143">
        <v>4</v>
      </c>
    </row>
    <row r="144" spans="1:12" x14ac:dyDescent="0.25">
      <c r="A144" t="s">
        <v>663</v>
      </c>
      <c r="B144" t="s">
        <v>664</v>
      </c>
      <c r="C144" t="s">
        <v>665</v>
      </c>
      <c r="D144" t="s">
        <v>9527</v>
      </c>
      <c r="E144">
        <v>39</v>
      </c>
      <c r="F144" t="s">
        <v>666</v>
      </c>
      <c r="G144" t="s">
        <v>88</v>
      </c>
      <c r="H144" t="s">
        <v>667</v>
      </c>
      <c r="I144" s="1" t="d">
        <v>2016-04-10</v>
      </c>
      <c r="J144" t="s">
        <v>668</v>
      </c>
      <c r="K144" s="17" t="s">
        <v>90</v>
      </c>
      <c r="L144">
        <v>1</v>
      </c>
    </row>
    <row r="145" spans="1:12" x14ac:dyDescent="0.25">
      <c r="A145" t="s">
        <v>669</v>
      </c>
      <c r="B145" t="s">
        <v>670</v>
      </c>
      <c r="C145" t="s">
        <v>244</v>
      </c>
      <c r="D145" t="s">
        <v>46</v>
      </c>
      <c r="E145">
        <v>21</v>
      </c>
      <c r="F145" t="s">
        <v>671</v>
      </c>
      <c r="G145" t="s">
        <v>337</v>
      </c>
      <c r="H145" t="s">
        <v>672</v>
      </c>
      <c r="I145" s="1" t="d">
        <v>2007-08-31</v>
      </c>
      <c r="J145" t="s">
        <v>673</v>
      </c>
      <c r="K145" s="17" t="s">
        <v>100</v>
      </c>
      <c r="L145">
        <v>4</v>
      </c>
    </row>
    <row r="146" spans="1:12" x14ac:dyDescent="0.25">
      <c r="A146" t="s">
        <v>674</v>
      </c>
      <c r="B146" t="s">
        <v>566</v>
      </c>
      <c r="C146" t="s">
        <v>675</v>
      </c>
      <c r="D146" t="s">
        <v>9527</v>
      </c>
      <c r="E146">
        <v>28</v>
      </c>
      <c r="F146" t="s">
        <v>676</v>
      </c>
      <c r="G146" t="s">
        <v>39</v>
      </c>
      <c r="H146" t="s">
        <v>677</v>
      </c>
      <c r="I146" s="1" t="d">
        <v>2019-08-29</v>
      </c>
      <c r="J146" t="s">
        <v>678</v>
      </c>
      <c r="K146" s="17" t="s">
        <v>149</v>
      </c>
      <c r="L146">
        <v>3</v>
      </c>
    </row>
    <row r="147" spans="1:12" x14ac:dyDescent="0.25">
      <c r="A147" t="s">
        <v>679</v>
      </c>
      <c r="B147" t="s">
        <v>680</v>
      </c>
      <c r="C147" t="s">
        <v>681</v>
      </c>
      <c r="D147" t="s">
        <v>9527</v>
      </c>
      <c r="E147">
        <v>28</v>
      </c>
      <c r="G147" t="s">
        <v>82</v>
      </c>
      <c r="H147">
        <v>44185</v>
      </c>
      <c r="I147" s="1" t="d">
        <v>2010-01-08</v>
      </c>
      <c r="J147" t="s">
        <v>682</v>
      </c>
      <c r="K147" s="17" t="s">
        <v>149</v>
      </c>
      <c r="L147">
        <v>2</v>
      </c>
    </row>
    <row r="148" spans="1:12" x14ac:dyDescent="0.25">
      <c r="A148" t="s">
        <v>683</v>
      </c>
      <c r="B148" t="s">
        <v>499</v>
      </c>
      <c r="C148" t="s">
        <v>684</v>
      </c>
      <c r="D148" t="s">
        <v>23</v>
      </c>
      <c r="E148">
        <v>23</v>
      </c>
      <c r="F148" t="s">
        <v>559</v>
      </c>
      <c r="G148" t="s">
        <v>141</v>
      </c>
      <c r="H148">
        <v>95549</v>
      </c>
      <c r="I148" s="1" t="d">
        <v>2018-12-07</v>
      </c>
      <c r="J148" t="s">
        <v>89</v>
      </c>
      <c r="K148" s="17" t="s">
        <v>34</v>
      </c>
      <c r="L148">
        <v>3</v>
      </c>
    </row>
    <row r="149" spans="1:12" x14ac:dyDescent="0.25">
      <c r="A149" t="s">
        <v>685</v>
      </c>
      <c r="B149" t="s">
        <v>686</v>
      </c>
      <c r="C149" t="s">
        <v>521</v>
      </c>
      <c r="D149" t="s">
        <v>9527</v>
      </c>
      <c r="E149">
        <v>37</v>
      </c>
      <c r="F149" t="s">
        <v>264</v>
      </c>
      <c r="G149" t="s">
        <v>170</v>
      </c>
      <c r="H149" t="s">
        <v>687</v>
      </c>
      <c r="I149" s="1" t="d">
        <v>2018-03-14</v>
      </c>
      <c r="J149" t="s">
        <v>688</v>
      </c>
      <c r="K149" s="17" t="s">
        <v>184</v>
      </c>
      <c r="L149">
        <v>2</v>
      </c>
    </row>
    <row r="150" spans="1:12" x14ac:dyDescent="0.25">
      <c r="A150" t="s">
        <v>689</v>
      </c>
      <c r="B150" t="s">
        <v>548</v>
      </c>
      <c r="C150" t="s">
        <v>145</v>
      </c>
      <c r="D150" t="s">
        <v>23</v>
      </c>
      <c r="E150">
        <v>24</v>
      </c>
      <c r="F150" t="s">
        <v>47</v>
      </c>
      <c r="G150" t="s">
        <v>55</v>
      </c>
      <c r="I150" s="1" t="d">
        <v>2024-09-04</v>
      </c>
      <c r="J150" t="s">
        <v>690</v>
      </c>
      <c r="K150" s="17" t="s">
        <v>118</v>
      </c>
      <c r="L150">
        <v>2</v>
      </c>
    </row>
    <row r="151" spans="1:12" x14ac:dyDescent="0.25">
      <c r="A151" t="s">
        <v>691</v>
      </c>
      <c r="B151" t="s">
        <v>221</v>
      </c>
      <c r="C151" t="s">
        <v>268</v>
      </c>
      <c r="D151" t="s">
        <v>9527</v>
      </c>
      <c r="E151">
        <v>29</v>
      </c>
      <c r="F151" t="s">
        <v>692</v>
      </c>
      <c r="G151" t="s">
        <v>357</v>
      </c>
      <c r="H151" s="2">
        <v>92201</v>
      </c>
      <c r="I151" s="1" t="d">
        <v>2006-06-09</v>
      </c>
      <c r="J151" t="s">
        <v>693</v>
      </c>
      <c r="K151" s="17" t="s">
        <v>184</v>
      </c>
      <c r="L151">
        <v>3</v>
      </c>
    </row>
    <row r="152" spans="1:12" x14ac:dyDescent="0.25">
      <c r="A152" t="s">
        <v>694</v>
      </c>
      <c r="B152" t="s">
        <v>695</v>
      </c>
      <c r="C152" t="s">
        <v>696</v>
      </c>
      <c r="D152" t="s">
        <v>9527</v>
      </c>
      <c r="E152">
        <v>36</v>
      </c>
      <c r="F152" t="s">
        <v>645</v>
      </c>
      <c r="G152" t="s">
        <v>82</v>
      </c>
      <c r="I152" s="1" t="d">
        <v>2011-01-01</v>
      </c>
      <c r="J152" t="s">
        <v>697</v>
      </c>
      <c r="K152" s="17" t="s">
        <v>100</v>
      </c>
      <c r="L152">
        <v>3</v>
      </c>
    </row>
    <row r="153" spans="1:12" x14ac:dyDescent="0.25">
      <c r="A153" t="s">
        <v>698</v>
      </c>
      <c r="B153" t="s">
        <v>174</v>
      </c>
      <c r="C153" t="s">
        <v>699</v>
      </c>
      <c r="D153" t="s">
        <v>46</v>
      </c>
      <c r="E153">
        <v>39</v>
      </c>
      <c r="G153" t="s">
        <v>39</v>
      </c>
      <c r="H153" s="2">
        <v>56325</v>
      </c>
      <c r="I153" s="1" t="d">
        <v>2011-02-24</v>
      </c>
      <c r="J153" t="s">
        <v>700</v>
      </c>
      <c r="K153" s="17" t="s">
        <v>370</v>
      </c>
      <c r="L153">
        <v>2</v>
      </c>
    </row>
    <row r="154" spans="1:12" x14ac:dyDescent="0.25">
      <c r="A154" t="s">
        <v>701</v>
      </c>
      <c r="B154" t="s">
        <v>702</v>
      </c>
      <c r="C154" t="s">
        <v>703</v>
      </c>
      <c r="D154" t="s">
        <v>46</v>
      </c>
      <c r="E154">
        <v>45</v>
      </c>
      <c r="F154" t="s">
        <v>253</v>
      </c>
      <c r="G154" t="s">
        <v>39</v>
      </c>
      <c r="I154" s="1" t="d">
        <v>2011-05-27</v>
      </c>
      <c r="J154" t="s">
        <v>704</v>
      </c>
      <c r="K154" s="17" t="s">
        <v>27</v>
      </c>
      <c r="L154">
        <v>3</v>
      </c>
    </row>
    <row r="155" spans="1:12" x14ac:dyDescent="0.25">
      <c r="A155" t="s">
        <v>705</v>
      </c>
      <c r="B155" t="s">
        <v>621</v>
      </c>
      <c r="C155" t="s">
        <v>575</v>
      </c>
      <c r="D155" t="s">
        <v>9527</v>
      </c>
      <c r="E155">
        <v>43</v>
      </c>
      <c r="F155" t="s">
        <v>406</v>
      </c>
      <c r="G155" t="s">
        <v>706</v>
      </c>
      <c r="H155" s="2">
        <v>52659</v>
      </c>
      <c r="I155" s="1" t="d">
        <v>2020-03-10</v>
      </c>
      <c r="J155" t="s">
        <v>707</v>
      </c>
      <c r="K155" s="17" t="s">
        <v>100</v>
      </c>
      <c r="L155">
        <v>4</v>
      </c>
    </row>
    <row r="156" spans="1:12" x14ac:dyDescent="0.25">
      <c r="A156" t="s">
        <v>708</v>
      </c>
      <c r="B156" t="s">
        <v>709</v>
      </c>
      <c r="C156" t="s">
        <v>710</v>
      </c>
      <c r="D156" t="s">
        <v>23</v>
      </c>
      <c r="E156">
        <v>55</v>
      </c>
      <c r="F156" t="s">
        <v>711</v>
      </c>
      <c r="G156" t="s">
        <v>278</v>
      </c>
      <c r="H156" t="s">
        <v>712</v>
      </c>
      <c r="I156" s="1" t="d">
        <v>2011-11-14</v>
      </c>
      <c r="J156" t="s">
        <v>713</v>
      </c>
      <c r="K156" s="17" t="s">
        <v>370</v>
      </c>
      <c r="L156">
        <v>4</v>
      </c>
    </row>
    <row r="157" spans="1:12" x14ac:dyDescent="0.25">
      <c r="A157" t="s">
        <v>714</v>
      </c>
      <c r="B157" t="s">
        <v>199</v>
      </c>
      <c r="C157" t="s">
        <v>715</v>
      </c>
      <c r="D157" t="s">
        <v>9527</v>
      </c>
      <c r="E157">
        <v>41</v>
      </c>
      <c r="F157" t="s">
        <v>296</v>
      </c>
      <c r="G157" t="s">
        <v>526</v>
      </c>
      <c r="I157" s="1" t="d">
        <v>2010-12-28</v>
      </c>
      <c r="J157" t="s">
        <v>716</v>
      </c>
      <c r="K157" s="17" t="s">
        <v>27</v>
      </c>
      <c r="L157">
        <v>5</v>
      </c>
    </row>
    <row r="158" spans="1:12" x14ac:dyDescent="0.25">
      <c r="A158" t="s">
        <v>717</v>
      </c>
      <c r="B158" t="s">
        <v>718</v>
      </c>
      <c r="C158" t="s">
        <v>719</v>
      </c>
      <c r="D158" t="s">
        <v>23</v>
      </c>
      <c r="E158">
        <v>38</v>
      </c>
      <c r="F158" t="s">
        <v>720</v>
      </c>
      <c r="G158" t="s">
        <v>48</v>
      </c>
      <c r="H158" t="s">
        <v>721</v>
      </c>
      <c r="I158" s="1" t="d">
        <v>2017-02-27</v>
      </c>
      <c r="J158" t="s">
        <v>722</v>
      </c>
      <c r="K158" s="17" t="s">
        <v>184</v>
      </c>
      <c r="L158">
        <v>3</v>
      </c>
    </row>
    <row r="159" spans="1:12" x14ac:dyDescent="0.25">
      <c r="A159" t="s">
        <v>723</v>
      </c>
      <c r="B159" t="s">
        <v>340</v>
      </c>
      <c r="C159" t="s">
        <v>724</v>
      </c>
      <c r="D159" t="s">
        <v>23</v>
      </c>
      <c r="E159">
        <v>43</v>
      </c>
      <c r="F159" t="s">
        <v>38</v>
      </c>
      <c r="G159" t="s">
        <v>641</v>
      </c>
      <c r="H159" t="s">
        <v>725</v>
      </c>
      <c r="J159" t="s">
        <v>726</v>
      </c>
      <c r="K159" s="17" t="s">
        <v>42</v>
      </c>
      <c r="L159">
        <v>1</v>
      </c>
    </row>
    <row r="160" spans="1:12" x14ac:dyDescent="0.25">
      <c r="A160" t="s">
        <v>727</v>
      </c>
      <c r="B160" t="s">
        <v>728</v>
      </c>
      <c r="C160" t="s">
        <v>729</v>
      </c>
      <c r="D160" t="s">
        <v>9527</v>
      </c>
      <c r="E160">
        <v>33</v>
      </c>
      <c r="F160" t="s">
        <v>245</v>
      </c>
      <c r="G160" t="s">
        <v>82</v>
      </c>
      <c r="I160" s="1" t="d">
        <v>2007-06-30</v>
      </c>
      <c r="J160" t="s">
        <v>730</v>
      </c>
      <c r="K160" s="17" t="s">
        <v>100</v>
      </c>
      <c r="L160">
        <v>5</v>
      </c>
    </row>
    <row r="161" spans="1:12" x14ac:dyDescent="0.25">
      <c r="A161" t="s">
        <v>731</v>
      </c>
      <c r="B161" t="s">
        <v>571</v>
      </c>
      <c r="C161" t="s">
        <v>631</v>
      </c>
      <c r="D161" t="s">
        <v>23</v>
      </c>
      <c r="E161">
        <v>31</v>
      </c>
      <c r="F161" t="s">
        <v>31</v>
      </c>
      <c r="G161" t="s">
        <v>182</v>
      </c>
      <c r="H161" t="s">
        <v>732</v>
      </c>
      <c r="I161" s="1" t="d">
        <v>2014-11-28</v>
      </c>
      <c r="J161" t="s">
        <v>733</v>
      </c>
      <c r="K161" s="17" t="s">
        <v>370</v>
      </c>
      <c r="L161">
        <v>5</v>
      </c>
    </row>
    <row r="162" spans="1:12" x14ac:dyDescent="0.25">
      <c r="A162" t="s">
        <v>734</v>
      </c>
      <c r="B162" t="s">
        <v>735</v>
      </c>
      <c r="C162" t="s">
        <v>381</v>
      </c>
      <c r="D162" t="s">
        <v>23</v>
      </c>
      <c r="E162">
        <v>26</v>
      </c>
      <c r="F162" t="s">
        <v>356</v>
      </c>
      <c r="G162" t="s">
        <v>217</v>
      </c>
      <c r="H162" t="s">
        <v>736</v>
      </c>
      <c r="I162" s="1" t="d">
        <v>2005-12-08</v>
      </c>
      <c r="J162" t="s">
        <v>737</v>
      </c>
      <c r="K162" s="17" t="s">
        <v>207</v>
      </c>
      <c r="L162">
        <v>4</v>
      </c>
    </row>
    <row r="163" spans="1:12" x14ac:dyDescent="0.25">
      <c r="A163" t="s">
        <v>738</v>
      </c>
      <c r="B163" t="s">
        <v>251</v>
      </c>
      <c r="C163" t="s">
        <v>739</v>
      </c>
      <c r="D163" t="s">
        <v>23</v>
      </c>
      <c r="E163">
        <v>44</v>
      </c>
      <c r="F163" t="s">
        <v>245</v>
      </c>
      <c r="G163" t="s">
        <v>526</v>
      </c>
      <c r="H163" t="s">
        <v>740</v>
      </c>
      <c r="I163" s="1" t="d">
        <v>2017-05-17</v>
      </c>
      <c r="J163" t="s">
        <v>741</v>
      </c>
      <c r="K163" s="17" t="s">
        <v>27</v>
      </c>
      <c r="L163">
        <v>3</v>
      </c>
    </row>
    <row r="164" spans="1:12" x14ac:dyDescent="0.25">
      <c r="A164" t="s">
        <v>742</v>
      </c>
      <c r="B164" t="s">
        <v>21</v>
      </c>
      <c r="C164" t="s">
        <v>103</v>
      </c>
      <c r="D164" t="s">
        <v>46</v>
      </c>
      <c r="E164">
        <v>41</v>
      </c>
      <c r="G164" t="s">
        <v>212</v>
      </c>
      <c r="H164" t="s">
        <v>743</v>
      </c>
      <c r="I164" s="1" t="d">
        <v>2017-03-19</v>
      </c>
      <c r="J164" t="s">
        <v>744</v>
      </c>
      <c r="K164" s="17" t="s">
        <v>27</v>
      </c>
      <c r="L164">
        <v>3</v>
      </c>
    </row>
    <row r="165" spans="1:12" x14ac:dyDescent="0.25">
      <c r="A165" t="s">
        <v>745</v>
      </c>
      <c r="B165" t="s">
        <v>746</v>
      </c>
      <c r="C165" t="s">
        <v>747</v>
      </c>
      <c r="D165" t="s">
        <v>23</v>
      </c>
      <c r="E165">
        <v>33</v>
      </c>
      <c r="F165" t="s">
        <v>296</v>
      </c>
      <c r="G165" t="s">
        <v>32</v>
      </c>
      <c r="H165">
        <v>81928</v>
      </c>
      <c r="I165" s="1" t="d">
        <v>2006-01-27</v>
      </c>
      <c r="J165" t="s">
        <v>748</v>
      </c>
      <c r="K165" s="17" t="s">
        <v>118</v>
      </c>
      <c r="L165">
        <v>4</v>
      </c>
    </row>
    <row r="166" spans="1:12" x14ac:dyDescent="0.25">
      <c r="A166" t="s">
        <v>749</v>
      </c>
      <c r="B166" t="s">
        <v>750</v>
      </c>
      <c r="C166" t="s">
        <v>751</v>
      </c>
      <c r="D166" t="s">
        <v>9527</v>
      </c>
      <c r="E166">
        <v>44</v>
      </c>
      <c r="F166" t="s">
        <v>752</v>
      </c>
      <c r="G166" t="s">
        <v>191</v>
      </c>
      <c r="H166" t="s">
        <v>753</v>
      </c>
      <c r="I166" s="1" t="d">
        <v>2016-03-04</v>
      </c>
      <c r="J166" t="s">
        <v>754</v>
      </c>
      <c r="K166" s="17" t="s">
        <v>50</v>
      </c>
      <c r="L166">
        <v>4</v>
      </c>
    </row>
    <row r="167" spans="1:12" x14ac:dyDescent="0.25">
      <c r="A167" t="s">
        <v>755</v>
      </c>
      <c r="B167" t="s">
        <v>79</v>
      </c>
      <c r="C167" t="s">
        <v>395</v>
      </c>
      <c r="D167" t="s">
        <v>9527</v>
      </c>
      <c r="E167">
        <v>28</v>
      </c>
      <c r="F167" t="s">
        <v>484</v>
      </c>
      <c r="G167" t="s">
        <v>500</v>
      </c>
      <c r="H167">
        <v>66678</v>
      </c>
      <c r="I167" s="1" t="d">
        <v>2010-02-17</v>
      </c>
      <c r="J167" t="s">
        <v>756</v>
      </c>
      <c r="K167" s="17" t="s">
        <v>90</v>
      </c>
      <c r="L167">
        <v>1</v>
      </c>
    </row>
    <row r="168" spans="1:12" x14ac:dyDescent="0.25">
      <c r="A168" t="s">
        <v>757</v>
      </c>
      <c r="B168" t="s">
        <v>594</v>
      </c>
      <c r="C168" t="s">
        <v>758</v>
      </c>
      <c r="D168" t="s">
        <v>23</v>
      </c>
      <c r="E168">
        <v>54</v>
      </c>
      <c r="F168" t="s">
        <v>759</v>
      </c>
      <c r="G168" t="s">
        <v>25</v>
      </c>
      <c r="H168" t="s">
        <v>760</v>
      </c>
      <c r="I168" s="1" t="d">
        <v>2021-01-02</v>
      </c>
      <c r="J168" t="s">
        <v>761</v>
      </c>
      <c r="K168" s="17" t="s">
        <v>42</v>
      </c>
      <c r="L168">
        <v>3</v>
      </c>
    </row>
    <row r="169" spans="1:12" x14ac:dyDescent="0.25">
      <c r="A169" t="s">
        <v>762</v>
      </c>
      <c r="B169" t="s">
        <v>21</v>
      </c>
      <c r="C169" t="s">
        <v>763</v>
      </c>
      <c r="D169" t="s">
        <v>23</v>
      </c>
      <c r="E169">
        <v>43</v>
      </c>
      <c r="F169" t="s">
        <v>169</v>
      </c>
      <c r="G169" t="s">
        <v>69</v>
      </c>
      <c r="H169" s="2">
        <v>70196</v>
      </c>
      <c r="I169" s="1" t="d">
        <v>2011-11-05</v>
      </c>
      <c r="J169" t="s">
        <v>764</v>
      </c>
      <c r="K169" s="17" t="s">
        <v>71</v>
      </c>
      <c r="L169">
        <v>2</v>
      </c>
    </row>
    <row r="170" spans="1:12" x14ac:dyDescent="0.25">
      <c r="A170" t="s">
        <v>765</v>
      </c>
      <c r="B170" t="s">
        <v>267</v>
      </c>
      <c r="C170" t="s">
        <v>766</v>
      </c>
      <c r="D170" t="s">
        <v>46</v>
      </c>
      <c r="E170">
        <v>39</v>
      </c>
      <c r="F170" t="s">
        <v>47</v>
      </c>
      <c r="G170" t="s">
        <v>159</v>
      </c>
      <c r="H170" s="2">
        <v>63411</v>
      </c>
      <c r="I170" s="1" t="d">
        <v>2018-05-25</v>
      </c>
      <c r="J170" t="s">
        <v>767</v>
      </c>
      <c r="K170" s="17" t="s">
        <v>42</v>
      </c>
      <c r="L170">
        <v>4</v>
      </c>
    </row>
    <row r="171" spans="1:12" x14ac:dyDescent="0.25">
      <c r="A171" t="s">
        <v>768</v>
      </c>
      <c r="B171" t="s">
        <v>769</v>
      </c>
      <c r="C171" t="s">
        <v>770</v>
      </c>
      <c r="D171" t="s">
        <v>23</v>
      </c>
      <c r="E171">
        <v>35</v>
      </c>
      <c r="F171" t="s">
        <v>422</v>
      </c>
      <c r="G171" t="s">
        <v>217</v>
      </c>
      <c r="H171">
        <v>119004</v>
      </c>
      <c r="I171" s="1" t="d">
        <v>2021-09-05</v>
      </c>
      <c r="J171" t="s">
        <v>771</v>
      </c>
      <c r="K171" s="17" t="s">
        <v>34</v>
      </c>
      <c r="L171">
        <v>5</v>
      </c>
    </row>
    <row r="172" spans="1:12" x14ac:dyDescent="0.25">
      <c r="A172" t="s">
        <v>772</v>
      </c>
      <c r="B172" t="s">
        <v>773</v>
      </c>
      <c r="C172" t="s">
        <v>774</v>
      </c>
      <c r="D172" t="s">
        <v>9527</v>
      </c>
      <c r="E172">
        <v>21</v>
      </c>
      <c r="F172" t="s">
        <v>253</v>
      </c>
      <c r="G172" t="s">
        <v>39</v>
      </c>
      <c r="H172" t="s">
        <v>775</v>
      </c>
      <c r="I172" s="1" t="d">
        <v>2011-09-03</v>
      </c>
      <c r="J172" t="s">
        <v>776</v>
      </c>
      <c r="K172" s="17" t="s">
        <v>184</v>
      </c>
      <c r="L172">
        <v>3</v>
      </c>
    </row>
    <row r="173" spans="1:12" x14ac:dyDescent="0.25">
      <c r="A173" t="s">
        <v>777</v>
      </c>
      <c r="B173" t="s">
        <v>323</v>
      </c>
      <c r="C173" t="s">
        <v>778</v>
      </c>
      <c r="D173" t="s">
        <v>46</v>
      </c>
      <c r="E173">
        <v>45</v>
      </c>
      <c r="F173" t="s">
        <v>245</v>
      </c>
      <c r="G173" t="s">
        <v>82</v>
      </c>
      <c r="H173" t="s">
        <v>779</v>
      </c>
      <c r="I173" s="1" t="d">
        <v>2011-07-19</v>
      </c>
      <c r="J173" t="s">
        <v>780</v>
      </c>
      <c r="K173" s="17" t="s">
        <v>118</v>
      </c>
      <c r="L173">
        <v>3</v>
      </c>
    </row>
    <row r="174" spans="1:12" x14ac:dyDescent="0.25">
      <c r="A174" t="s">
        <v>781</v>
      </c>
      <c r="B174" t="s">
        <v>323</v>
      </c>
      <c r="C174" t="s">
        <v>103</v>
      </c>
      <c r="D174" t="s">
        <v>9527</v>
      </c>
      <c r="E174">
        <v>39</v>
      </c>
      <c r="F174" t="s">
        <v>153</v>
      </c>
      <c r="G174" t="s">
        <v>782</v>
      </c>
      <c r="H174" t="s">
        <v>783</v>
      </c>
      <c r="I174" s="1" t="d">
        <v>2023-08-22</v>
      </c>
      <c r="J174" t="s">
        <v>784</v>
      </c>
      <c r="K174" s="17" t="s">
        <v>149</v>
      </c>
      <c r="L174">
        <v>3</v>
      </c>
    </row>
    <row r="175" spans="1:12" x14ac:dyDescent="0.25">
      <c r="A175" t="s">
        <v>785</v>
      </c>
      <c r="B175" t="s">
        <v>786</v>
      </c>
      <c r="C175" t="s">
        <v>758</v>
      </c>
      <c r="D175" t="s">
        <v>9527</v>
      </c>
      <c r="E175">
        <v>51</v>
      </c>
      <c r="F175" t="s">
        <v>787</v>
      </c>
      <c r="G175" t="s">
        <v>82</v>
      </c>
      <c r="I175" s="1" t="d">
        <v>2006-02-25</v>
      </c>
      <c r="J175" t="s">
        <v>325</v>
      </c>
      <c r="K175" s="17" t="s">
        <v>34</v>
      </c>
      <c r="L175">
        <v>3</v>
      </c>
    </row>
    <row r="176" spans="1:12" x14ac:dyDescent="0.25">
      <c r="A176" t="s">
        <v>788</v>
      </c>
      <c r="B176" t="s">
        <v>789</v>
      </c>
      <c r="C176" t="s">
        <v>790</v>
      </c>
      <c r="D176" t="s">
        <v>46</v>
      </c>
      <c r="E176">
        <v>27</v>
      </c>
      <c r="F176" t="s">
        <v>350</v>
      </c>
      <c r="G176" t="s">
        <v>82</v>
      </c>
      <c r="H176" s="2">
        <v>56583</v>
      </c>
      <c r="I176" s="1" t="d">
        <v>2018-10-10</v>
      </c>
      <c r="J176" t="s">
        <v>791</v>
      </c>
      <c r="K176" s="17" t="s">
        <v>42</v>
      </c>
      <c r="L176">
        <v>4</v>
      </c>
    </row>
    <row r="177" spans="1:12" x14ac:dyDescent="0.25">
      <c r="A177" t="s">
        <v>792</v>
      </c>
      <c r="B177" t="s">
        <v>793</v>
      </c>
      <c r="C177" t="s">
        <v>252</v>
      </c>
      <c r="D177" t="s">
        <v>23</v>
      </c>
      <c r="E177">
        <v>21</v>
      </c>
      <c r="F177" t="s">
        <v>122</v>
      </c>
      <c r="G177" t="s">
        <v>283</v>
      </c>
      <c r="H177" s="2">
        <v>126007</v>
      </c>
      <c r="I177" s="1" t="d">
        <v>2009-02-25</v>
      </c>
      <c r="J177" t="s">
        <v>794</v>
      </c>
      <c r="K177" s="17" t="s">
        <v>19</v>
      </c>
      <c r="L177">
        <v>3</v>
      </c>
    </row>
    <row r="178" spans="1:12" x14ac:dyDescent="0.25">
      <c r="A178" t="s">
        <v>795</v>
      </c>
      <c r="B178" t="s">
        <v>507</v>
      </c>
      <c r="C178" t="s">
        <v>135</v>
      </c>
      <c r="D178" t="s">
        <v>23</v>
      </c>
      <c r="E178">
        <v>32</v>
      </c>
      <c r="F178" t="s">
        <v>62</v>
      </c>
      <c r="G178" t="s">
        <v>796</v>
      </c>
      <c r="H178" t="s">
        <v>797</v>
      </c>
      <c r="I178" s="1" t="d">
        <v>2021-10-22</v>
      </c>
      <c r="J178" t="s">
        <v>798</v>
      </c>
      <c r="K178" s="17" t="s">
        <v>118</v>
      </c>
      <c r="L178">
        <v>3</v>
      </c>
    </row>
    <row r="179" spans="1:12" x14ac:dyDescent="0.25">
      <c r="A179" t="s">
        <v>799</v>
      </c>
      <c r="B179" t="s">
        <v>571</v>
      </c>
      <c r="C179" t="s">
        <v>684</v>
      </c>
      <c r="D179" t="s">
        <v>23</v>
      </c>
      <c r="E179">
        <v>48</v>
      </c>
      <c r="F179" t="s">
        <v>800</v>
      </c>
      <c r="G179" t="s">
        <v>278</v>
      </c>
      <c r="H179" t="s">
        <v>801</v>
      </c>
      <c r="I179" s="1" t="d">
        <v>2024-03-16</v>
      </c>
      <c r="J179" t="s">
        <v>802</v>
      </c>
      <c r="K179" s="17" t="s">
        <v>90</v>
      </c>
      <c r="L179">
        <v>4</v>
      </c>
    </row>
    <row r="180" spans="1:12" x14ac:dyDescent="0.25">
      <c r="A180" t="s">
        <v>803</v>
      </c>
      <c r="B180" t="s">
        <v>804</v>
      </c>
      <c r="C180" t="s">
        <v>805</v>
      </c>
      <c r="D180" t="s">
        <v>9527</v>
      </c>
      <c r="E180">
        <v>33</v>
      </c>
      <c r="F180" t="s">
        <v>649</v>
      </c>
      <c r="G180" t="s">
        <v>115</v>
      </c>
      <c r="I180" s="1" t="d">
        <v>2015-12-27</v>
      </c>
      <c r="J180" t="s">
        <v>806</v>
      </c>
      <c r="K180" s="17" t="s">
        <v>27</v>
      </c>
      <c r="L180">
        <v>4</v>
      </c>
    </row>
    <row r="181" spans="1:12" x14ac:dyDescent="0.25">
      <c r="A181" t="s">
        <v>807</v>
      </c>
      <c r="B181" t="s">
        <v>808</v>
      </c>
      <c r="C181" t="s">
        <v>809</v>
      </c>
      <c r="D181" t="s">
        <v>23</v>
      </c>
      <c r="E181">
        <v>37</v>
      </c>
      <c r="F181" t="s">
        <v>411</v>
      </c>
      <c r="G181" t="s">
        <v>55</v>
      </c>
      <c r="H181">
        <v>50691</v>
      </c>
      <c r="I181" s="1" t="d">
        <v>2014-12-01</v>
      </c>
      <c r="J181" t="s">
        <v>810</v>
      </c>
      <c r="K181" s="17" t="s">
        <v>370</v>
      </c>
      <c r="L181">
        <v>3</v>
      </c>
    </row>
    <row r="182" spans="1:12" x14ac:dyDescent="0.25">
      <c r="A182" t="s">
        <v>811</v>
      </c>
      <c r="B182" t="s">
        <v>812</v>
      </c>
      <c r="C182" t="s">
        <v>332</v>
      </c>
      <c r="D182" t="s">
        <v>23</v>
      </c>
      <c r="E182">
        <v>21</v>
      </c>
      <c r="F182" t="s">
        <v>649</v>
      </c>
      <c r="G182" t="s">
        <v>283</v>
      </c>
      <c r="I182" s="1" t="d">
        <v>2015-12-14</v>
      </c>
      <c r="J182" t="s">
        <v>813</v>
      </c>
      <c r="K182" s="17" t="s">
        <v>207</v>
      </c>
      <c r="L182">
        <v>1</v>
      </c>
    </row>
    <row r="183" spans="1:12" x14ac:dyDescent="0.25">
      <c r="A183" t="s">
        <v>814</v>
      </c>
      <c r="B183" t="s">
        <v>815</v>
      </c>
      <c r="C183" t="s">
        <v>268</v>
      </c>
      <c r="D183" t="s">
        <v>23</v>
      </c>
      <c r="E183">
        <v>29</v>
      </c>
      <c r="G183" t="s">
        <v>641</v>
      </c>
      <c r="H183" t="s">
        <v>816</v>
      </c>
      <c r="I183" s="1" t="d">
        <v>2011-10-06</v>
      </c>
      <c r="J183" t="s">
        <v>817</v>
      </c>
      <c r="K183" s="17" t="s">
        <v>100</v>
      </c>
      <c r="L183">
        <v>4</v>
      </c>
    </row>
    <row r="184" spans="1:12" x14ac:dyDescent="0.25">
      <c r="A184" t="s">
        <v>818</v>
      </c>
      <c r="B184" t="s">
        <v>162</v>
      </c>
      <c r="C184" t="s">
        <v>181</v>
      </c>
      <c r="D184" t="s">
        <v>9527</v>
      </c>
      <c r="E184">
        <v>29</v>
      </c>
      <c r="F184" t="s">
        <v>190</v>
      </c>
      <c r="G184" t="s">
        <v>351</v>
      </c>
      <c r="H184" t="s">
        <v>819</v>
      </c>
      <c r="I184" s="1" t="d">
        <v>2009-01-20</v>
      </c>
      <c r="J184" t="s">
        <v>820</v>
      </c>
      <c r="K184" s="17" t="s">
        <v>58</v>
      </c>
      <c r="L184">
        <v>4</v>
      </c>
    </row>
    <row r="185" spans="1:12" x14ac:dyDescent="0.25">
      <c r="A185" t="s">
        <v>821</v>
      </c>
      <c r="B185" t="s">
        <v>822</v>
      </c>
      <c r="C185" t="s">
        <v>521</v>
      </c>
      <c r="D185" t="s">
        <v>46</v>
      </c>
      <c r="E185">
        <v>43</v>
      </c>
      <c r="F185" t="s">
        <v>356</v>
      </c>
      <c r="G185" t="s">
        <v>641</v>
      </c>
      <c r="H185" t="s">
        <v>823</v>
      </c>
      <c r="I185" s="1" t="d">
        <v>2010-08-22</v>
      </c>
      <c r="J185" t="s">
        <v>824</v>
      </c>
      <c r="K185" s="17" t="s">
        <v>42</v>
      </c>
      <c r="L185">
        <v>2</v>
      </c>
    </row>
    <row r="186" spans="1:12" x14ac:dyDescent="0.25">
      <c r="A186" t="s">
        <v>825</v>
      </c>
      <c r="B186" t="s">
        <v>826</v>
      </c>
      <c r="C186" t="s">
        <v>827</v>
      </c>
      <c r="D186" t="s">
        <v>9527</v>
      </c>
      <c r="E186">
        <v>38</v>
      </c>
      <c r="F186" t="s">
        <v>126</v>
      </c>
      <c r="G186" t="s">
        <v>48</v>
      </c>
      <c r="H186">
        <v>75247</v>
      </c>
      <c r="I186" s="1" t="d">
        <v>2017-08-23</v>
      </c>
      <c r="J186" t="s">
        <v>828</v>
      </c>
      <c r="K186" s="17" t="s">
        <v>100</v>
      </c>
      <c r="L186">
        <v>3</v>
      </c>
    </row>
    <row r="187" spans="1:12" x14ac:dyDescent="0.25">
      <c r="A187" t="s">
        <v>829</v>
      </c>
      <c r="B187" t="s">
        <v>52</v>
      </c>
      <c r="C187" t="s">
        <v>830</v>
      </c>
      <c r="D187" t="s">
        <v>23</v>
      </c>
      <c r="E187">
        <v>41</v>
      </c>
      <c r="F187" t="s">
        <v>108</v>
      </c>
      <c r="G187" t="s">
        <v>504</v>
      </c>
      <c r="H187">
        <v>61835</v>
      </c>
      <c r="I187" s="1" t="d">
        <v>2012-07-21</v>
      </c>
      <c r="J187" t="s">
        <v>831</v>
      </c>
      <c r="K187" s="17" t="s">
        <v>58</v>
      </c>
      <c r="L187">
        <v>5</v>
      </c>
    </row>
    <row r="188" spans="1:12" x14ac:dyDescent="0.25">
      <c r="A188" t="s">
        <v>832</v>
      </c>
      <c r="B188" t="s">
        <v>833</v>
      </c>
      <c r="C188" t="s">
        <v>332</v>
      </c>
      <c r="D188" t="s">
        <v>46</v>
      </c>
      <c r="E188">
        <v>32</v>
      </c>
      <c r="F188" t="s">
        <v>532</v>
      </c>
      <c r="G188" t="s">
        <v>82</v>
      </c>
      <c r="I188" s="1" t="d">
        <v>2018-07-30</v>
      </c>
      <c r="J188" t="s">
        <v>834</v>
      </c>
      <c r="K188" s="17" t="s">
        <v>118</v>
      </c>
      <c r="L188">
        <v>2</v>
      </c>
    </row>
    <row r="189" spans="1:12" x14ac:dyDescent="0.25">
      <c r="A189" t="s">
        <v>835</v>
      </c>
      <c r="B189" t="s">
        <v>404</v>
      </c>
      <c r="C189" t="s">
        <v>215</v>
      </c>
      <c r="D189" t="s">
        <v>46</v>
      </c>
      <c r="E189">
        <v>40</v>
      </c>
      <c r="F189" t="s">
        <v>24</v>
      </c>
      <c r="G189" t="s">
        <v>16</v>
      </c>
      <c r="H189">
        <v>119000</v>
      </c>
      <c r="I189" s="1" t="d">
        <v>2008-01-25</v>
      </c>
      <c r="J189" t="s">
        <v>836</v>
      </c>
      <c r="K189" s="17" t="s">
        <v>71</v>
      </c>
      <c r="L189">
        <v>5</v>
      </c>
    </row>
    <row r="190" spans="1:12" x14ac:dyDescent="0.25">
      <c r="A190" t="s">
        <v>837</v>
      </c>
      <c r="B190" t="s">
        <v>648</v>
      </c>
      <c r="C190" t="s">
        <v>624</v>
      </c>
      <c r="D190" t="s">
        <v>46</v>
      </c>
      <c r="E190">
        <v>21</v>
      </c>
      <c r="F190" t="s">
        <v>422</v>
      </c>
      <c r="G190" t="s">
        <v>55</v>
      </c>
      <c r="H190" t="s">
        <v>838</v>
      </c>
      <c r="I190" s="1" t="d">
        <v>2013-03-05</v>
      </c>
      <c r="J190" t="s">
        <v>839</v>
      </c>
      <c r="K190" s="17" t="s">
        <v>50</v>
      </c>
      <c r="L190">
        <v>4</v>
      </c>
    </row>
    <row r="191" spans="1:12" x14ac:dyDescent="0.25">
      <c r="A191" t="s">
        <v>840</v>
      </c>
      <c r="B191" t="s">
        <v>841</v>
      </c>
      <c r="C191" t="s">
        <v>237</v>
      </c>
      <c r="D191" t="s">
        <v>46</v>
      </c>
      <c r="E191">
        <v>30</v>
      </c>
      <c r="F191" t="s">
        <v>296</v>
      </c>
      <c r="G191" t="s">
        <v>842</v>
      </c>
      <c r="H191" t="s">
        <v>843</v>
      </c>
      <c r="I191" s="1" t="d">
        <v>2008-08-30</v>
      </c>
      <c r="J191" t="s">
        <v>844</v>
      </c>
      <c r="K191" s="17" t="s">
        <v>207</v>
      </c>
      <c r="L191">
        <v>5</v>
      </c>
    </row>
    <row r="192" spans="1:12" x14ac:dyDescent="0.25">
      <c r="A192" t="s">
        <v>845</v>
      </c>
      <c r="B192" t="s">
        <v>846</v>
      </c>
      <c r="C192" t="s">
        <v>847</v>
      </c>
      <c r="D192" t="s">
        <v>46</v>
      </c>
      <c r="E192">
        <v>28</v>
      </c>
      <c r="G192" t="s">
        <v>526</v>
      </c>
      <c r="H192" t="s">
        <v>848</v>
      </c>
      <c r="I192" s="1" t="d">
        <v>2011-04-10</v>
      </c>
      <c r="J192" t="s">
        <v>849</v>
      </c>
      <c r="K192" s="17" t="s">
        <v>71</v>
      </c>
      <c r="L192">
        <v>3</v>
      </c>
    </row>
    <row r="193" spans="1:12" x14ac:dyDescent="0.25">
      <c r="A193" t="s">
        <v>850</v>
      </c>
      <c r="B193" t="s">
        <v>664</v>
      </c>
      <c r="C193" t="s">
        <v>851</v>
      </c>
      <c r="D193" t="s">
        <v>9527</v>
      </c>
      <c r="E193">
        <v>39</v>
      </c>
      <c r="G193" t="s">
        <v>69</v>
      </c>
      <c r="H193" t="s">
        <v>852</v>
      </c>
      <c r="I193" s="1" t="d">
        <v>2011-07-25</v>
      </c>
      <c r="J193" t="s">
        <v>853</v>
      </c>
      <c r="K193" s="17" t="s">
        <v>34</v>
      </c>
      <c r="L193">
        <v>3</v>
      </c>
    </row>
    <row r="194" spans="1:12" x14ac:dyDescent="0.25">
      <c r="A194" t="s">
        <v>854</v>
      </c>
      <c r="B194" t="s">
        <v>718</v>
      </c>
      <c r="C194" t="s">
        <v>395</v>
      </c>
      <c r="D194" t="s">
        <v>23</v>
      </c>
      <c r="E194">
        <v>35</v>
      </c>
      <c r="F194" t="s">
        <v>356</v>
      </c>
      <c r="G194" t="s">
        <v>191</v>
      </c>
      <c r="H194" t="s">
        <v>855</v>
      </c>
      <c r="I194" s="1" t="d">
        <v>2015-01-05</v>
      </c>
      <c r="J194" t="s">
        <v>856</v>
      </c>
      <c r="K194" s="17" t="s">
        <v>27</v>
      </c>
      <c r="L194">
        <v>4</v>
      </c>
    </row>
    <row r="195" spans="1:12" x14ac:dyDescent="0.25">
      <c r="A195" t="s">
        <v>857</v>
      </c>
      <c r="B195" t="s">
        <v>311</v>
      </c>
      <c r="C195" t="s">
        <v>858</v>
      </c>
      <c r="D195" t="s">
        <v>23</v>
      </c>
      <c r="E195">
        <v>46</v>
      </c>
      <c r="F195" t="s">
        <v>859</v>
      </c>
      <c r="G195" t="s">
        <v>39</v>
      </c>
      <c r="H195">
        <v>55811</v>
      </c>
      <c r="I195" s="1" t="d">
        <v>2022-01-15</v>
      </c>
      <c r="J195" t="s">
        <v>860</v>
      </c>
      <c r="K195" s="17" t="s">
        <v>149</v>
      </c>
      <c r="L195">
        <v>4</v>
      </c>
    </row>
    <row r="196" spans="1:12" x14ac:dyDescent="0.25">
      <c r="A196" t="s">
        <v>861</v>
      </c>
      <c r="B196" t="s">
        <v>862</v>
      </c>
      <c r="C196" t="s">
        <v>225</v>
      </c>
      <c r="D196" t="s">
        <v>9527</v>
      </c>
      <c r="E196">
        <v>35</v>
      </c>
      <c r="F196" t="s">
        <v>146</v>
      </c>
      <c r="G196" t="s">
        <v>147</v>
      </c>
      <c r="I196" s="1" t="d">
        <v>2012-01-12</v>
      </c>
      <c r="J196" t="s">
        <v>863</v>
      </c>
      <c r="K196" s="17" t="s">
        <v>42</v>
      </c>
      <c r="L196">
        <v>5</v>
      </c>
    </row>
    <row r="197" spans="1:12" x14ac:dyDescent="0.25">
      <c r="A197" t="s">
        <v>864</v>
      </c>
      <c r="B197" t="s">
        <v>448</v>
      </c>
      <c r="C197" t="s">
        <v>145</v>
      </c>
      <c r="D197" t="s">
        <v>23</v>
      </c>
      <c r="E197">
        <v>24</v>
      </c>
      <c r="F197" t="s">
        <v>865</v>
      </c>
      <c r="G197" t="s">
        <v>109</v>
      </c>
      <c r="H197" t="s">
        <v>866</v>
      </c>
      <c r="I197" s="1" t="d">
        <v>2009-07-08</v>
      </c>
      <c r="J197" t="s">
        <v>867</v>
      </c>
      <c r="K197" s="17" t="s">
        <v>50</v>
      </c>
      <c r="L197">
        <v>4</v>
      </c>
    </row>
    <row r="198" spans="1:12" x14ac:dyDescent="0.25">
      <c r="A198" t="s">
        <v>868</v>
      </c>
      <c r="B198" t="s">
        <v>833</v>
      </c>
      <c r="C198" t="s">
        <v>869</v>
      </c>
      <c r="D198" t="s">
        <v>23</v>
      </c>
      <c r="E198">
        <v>49</v>
      </c>
      <c r="F198" t="s">
        <v>859</v>
      </c>
      <c r="G198" t="s">
        <v>870</v>
      </c>
      <c r="H198" t="s">
        <v>871</v>
      </c>
      <c r="I198" s="1" t="d">
        <v>2009-08-20</v>
      </c>
      <c r="J198" t="s">
        <v>872</v>
      </c>
      <c r="K198" s="17" t="s">
        <v>184</v>
      </c>
      <c r="L198">
        <v>3</v>
      </c>
    </row>
    <row r="199" spans="1:12" x14ac:dyDescent="0.25">
      <c r="A199" t="s">
        <v>873</v>
      </c>
      <c r="B199" t="s">
        <v>874</v>
      </c>
      <c r="C199" t="s">
        <v>145</v>
      </c>
      <c r="D199" t="s">
        <v>9527</v>
      </c>
      <c r="E199">
        <v>55</v>
      </c>
      <c r="F199" t="s">
        <v>296</v>
      </c>
      <c r="G199" t="s">
        <v>16</v>
      </c>
      <c r="H199" t="s">
        <v>875</v>
      </c>
      <c r="J199" t="s">
        <v>876</v>
      </c>
      <c r="K199" s="17" t="s">
        <v>118</v>
      </c>
      <c r="L199">
        <v>5</v>
      </c>
    </row>
    <row r="200" spans="1:12" x14ac:dyDescent="0.25">
      <c r="A200" t="s">
        <v>877</v>
      </c>
      <c r="B200" t="s">
        <v>467</v>
      </c>
      <c r="C200" t="s">
        <v>453</v>
      </c>
      <c r="D200" t="s">
        <v>23</v>
      </c>
      <c r="E200">
        <v>29</v>
      </c>
      <c r="F200" t="s">
        <v>104</v>
      </c>
      <c r="G200" t="s">
        <v>878</v>
      </c>
      <c r="H200" s="2">
        <v>89636</v>
      </c>
      <c r="J200" t="s">
        <v>879</v>
      </c>
      <c r="K200" s="17" t="s">
        <v>370</v>
      </c>
      <c r="L200">
        <v>4</v>
      </c>
    </row>
    <row r="201" spans="1:12" x14ac:dyDescent="0.25">
      <c r="A201" t="s">
        <v>880</v>
      </c>
      <c r="B201" t="s">
        <v>881</v>
      </c>
      <c r="C201" t="s">
        <v>416</v>
      </c>
      <c r="D201" t="s">
        <v>46</v>
      </c>
      <c r="E201">
        <v>43</v>
      </c>
      <c r="F201" t="s">
        <v>126</v>
      </c>
      <c r="G201" t="s">
        <v>170</v>
      </c>
      <c r="H201" s="2">
        <v>60001</v>
      </c>
      <c r="I201" s="1" t="d">
        <v>2016-08-09</v>
      </c>
      <c r="J201" t="s">
        <v>882</v>
      </c>
      <c r="K201" s="17" t="s">
        <v>207</v>
      </c>
      <c r="L201">
        <v>3</v>
      </c>
    </row>
    <row r="202" spans="1:12" x14ac:dyDescent="0.25">
      <c r="A202" t="s">
        <v>883</v>
      </c>
      <c r="B202" t="s">
        <v>251</v>
      </c>
      <c r="C202" t="s">
        <v>336</v>
      </c>
      <c r="D202" t="s">
        <v>23</v>
      </c>
      <c r="E202">
        <v>64</v>
      </c>
      <c r="F202" t="s">
        <v>269</v>
      </c>
      <c r="G202" t="s">
        <v>39</v>
      </c>
      <c r="I202" s="1" t="d">
        <v>2011-04-17</v>
      </c>
      <c r="J202" t="s">
        <v>884</v>
      </c>
      <c r="K202" s="17" t="s">
        <v>118</v>
      </c>
      <c r="L202">
        <v>3</v>
      </c>
    </row>
    <row r="203" spans="1:12" x14ac:dyDescent="0.25">
      <c r="A203" t="s">
        <v>885</v>
      </c>
      <c r="B203" t="s">
        <v>404</v>
      </c>
      <c r="C203" t="s">
        <v>886</v>
      </c>
      <c r="D203" t="s">
        <v>23</v>
      </c>
      <c r="E203">
        <v>26</v>
      </c>
      <c r="F203" t="s">
        <v>200</v>
      </c>
      <c r="G203" t="s">
        <v>48</v>
      </c>
      <c r="H203">
        <v>84751</v>
      </c>
      <c r="I203" s="1" t="d">
        <v>2013-09-19</v>
      </c>
      <c r="J203" t="s">
        <v>887</v>
      </c>
      <c r="K203" s="17" t="s">
        <v>100</v>
      </c>
      <c r="L203">
        <v>3</v>
      </c>
    </row>
    <row r="204" spans="1:12" x14ac:dyDescent="0.25">
      <c r="A204" t="s">
        <v>888</v>
      </c>
      <c r="B204" t="s">
        <v>889</v>
      </c>
      <c r="C204" t="s">
        <v>631</v>
      </c>
      <c r="D204" t="s">
        <v>23</v>
      </c>
      <c r="E204">
        <v>63</v>
      </c>
      <c r="F204" t="s">
        <v>373</v>
      </c>
      <c r="G204" t="s">
        <v>82</v>
      </c>
      <c r="H204">
        <v>79714</v>
      </c>
      <c r="I204" s="1" t="d">
        <v>2012-11-28</v>
      </c>
      <c r="J204" t="s">
        <v>890</v>
      </c>
      <c r="K204" s="17" t="s">
        <v>184</v>
      </c>
      <c r="L204">
        <v>4</v>
      </c>
    </row>
    <row r="205" spans="1:12" x14ac:dyDescent="0.25">
      <c r="A205" t="s">
        <v>891</v>
      </c>
      <c r="B205" t="s">
        <v>892</v>
      </c>
      <c r="C205" t="s">
        <v>395</v>
      </c>
      <c r="D205" t="s">
        <v>23</v>
      </c>
      <c r="E205">
        <v>54</v>
      </c>
      <c r="F205" t="s">
        <v>559</v>
      </c>
      <c r="G205" t="s">
        <v>32</v>
      </c>
      <c r="H205">
        <v>91809</v>
      </c>
      <c r="I205" s="1" t="d">
        <v>2006-02-12</v>
      </c>
      <c r="J205" t="s">
        <v>893</v>
      </c>
      <c r="K205" s="17" t="s">
        <v>118</v>
      </c>
      <c r="L205">
        <v>3</v>
      </c>
    </row>
    <row r="206" spans="1:12" x14ac:dyDescent="0.25">
      <c r="A206" t="s">
        <v>894</v>
      </c>
      <c r="B206" t="s">
        <v>895</v>
      </c>
      <c r="C206" t="s">
        <v>204</v>
      </c>
      <c r="D206" t="s">
        <v>46</v>
      </c>
      <c r="E206">
        <v>26</v>
      </c>
      <c r="F206" t="s">
        <v>859</v>
      </c>
      <c r="G206" t="s">
        <v>69</v>
      </c>
      <c r="H206">
        <v>67072</v>
      </c>
      <c r="I206" s="1" t="d">
        <v>2011-04-25</v>
      </c>
      <c r="J206" t="s">
        <v>896</v>
      </c>
      <c r="K206" s="17" t="s">
        <v>42</v>
      </c>
      <c r="L206">
        <v>4</v>
      </c>
    </row>
    <row r="207" spans="1:12" x14ac:dyDescent="0.25">
      <c r="A207" t="s">
        <v>897</v>
      </c>
      <c r="B207" t="s">
        <v>874</v>
      </c>
      <c r="C207" t="s">
        <v>898</v>
      </c>
      <c r="D207" t="s">
        <v>23</v>
      </c>
      <c r="E207">
        <v>43</v>
      </c>
      <c r="F207" t="s">
        <v>253</v>
      </c>
      <c r="G207" t="s">
        <v>82</v>
      </c>
      <c r="H207" s="2">
        <v>51595</v>
      </c>
      <c r="I207" s="1" t="d">
        <v>2012-01-19</v>
      </c>
      <c r="J207" t="s">
        <v>899</v>
      </c>
      <c r="K207" s="17" t="s">
        <v>370</v>
      </c>
      <c r="L207">
        <v>3</v>
      </c>
    </row>
    <row r="208" spans="1:12" x14ac:dyDescent="0.25">
      <c r="A208" t="s">
        <v>900</v>
      </c>
      <c r="B208" t="s">
        <v>901</v>
      </c>
      <c r="C208" t="s">
        <v>902</v>
      </c>
      <c r="D208" t="s">
        <v>23</v>
      </c>
      <c r="E208">
        <v>37</v>
      </c>
      <c r="F208" t="s">
        <v>200</v>
      </c>
      <c r="G208" t="s">
        <v>903</v>
      </c>
      <c r="H208">
        <v>83842</v>
      </c>
      <c r="I208" s="1" t="d">
        <v>2014-06-11</v>
      </c>
      <c r="J208" t="s">
        <v>904</v>
      </c>
      <c r="K208" s="17" t="s">
        <v>118</v>
      </c>
      <c r="L208">
        <v>5</v>
      </c>
    </row>
    <row r="209" spans="1:12" x14ac:dyDescent="0.25">
      <c r="A209" t="s">
        <v>905</v>
      </c>
      <c r="B209" t="s">
        <v>906</v>
      </c>
      <c r="C209" t="s">
        <v>624</v>
      </c>
      <c r="D209" t="s">
        <v>23</v>
      </c>
      <c r="E209">
        <v>30</v>
      </c>
      <c r="G209" t="s">
        <v>907</v>
      </c>
      <c r="H209" t="s">
        <v>908</v>
      </c>
      <c r="I209" s="1" t="d">
        <v>2010-07-27</v>
      </c>
      <c r="J209" t="s">
        <v>909</v>
      </c>
      <c r="K209" s="17" t="s">
        <v>370</v>
      </c>
      <c r="L209">
        <v>4</v>
      </c>
    </row>
    <row r="210" spans="1:12" x14ac:dyDescent="0.25">
      <c r="A210" t="s">
        <v>910</v>
      </c>
      <c r="B210" t="s">
        <v>881</v>
      </c>
      <c r="C210" t="s">
        <v>37</v>
      </c>
      <c r="D210" t="s">
        <v>46</v>
      </c>
      <c r="E210">
        <v>34</v>
      </c>
      <c r="F210" t="s">
        <v>911</v>
      </c>
      <c r="G210" t="s">
        <v>912</v>
      </c>
      <c r="H210" s="2">
        <v>55654</v>
      </c>
      <c r="I210" s="1" t="d">
        <v>2005-03-01</v>
      </c>
      <c r="J210" t="s">
        <v>89</v>
      </c>
      <c r="K210" s="17" t="s">
        <v>27</v>
      </c>
      <c r="L210">
        <v>4</v>
      </c>
    </row>
    <row r="211" spans="1:12" x14ac:dyDescent="0.25">
      <c r="A211" t="s">
        <v>913</v>
      </c>
      <c r="B211" t="s">
        <v>914</v>
      </c>
      <c r="C211" t="s">
        <v>521</v>
      </c>
      <c r="D211" t="s">
        <v>23</v>
      </c>
      <c r="E211">
        <v>31</v>
      </c>
      <c r="F211" t="s">
        <v>559</v>
      </c>
      <c r="G211" t="s">
        <v>170</v>
      </c>
      <c r="H211" t="s">
        <v>915</v>
      </c>
      <c r="I211" s="1" t="d">
        <v>2009-05-06</v>
      </c>
      <c r="J211" t="s">
        <v>916</v>
      </c>
      <c r="K211" s="17" t="s">
        <v>19</v>
      </c>
      <c r="L211">
        <v>4</v>
      </c>
    </row>
    <row r="212" spans="1:12" x14ac:dyDescent="0.25">
      <c r="A212" t="s">
        <v>917</v>
      </c>
      <c r="B212" t="s">
        <v>162</v>
      </c>
      <c r="C212" t="s">
        <v>107</v>
      </c>
      <c r="D212" t="s">
        <v>9527</v>
      </c>
      <c r="E212">
        <v>52</v>
      </c>
      <c r="F212" t="s">
        <v>918</v>
      </c>
      <c r="G212" t="s">
        <v>39</v>
      </c>
      <c r="H212">
        <v>75022</v>
      </c>
      <c r="I212" s="1" t="d">
        <v>2024-06-06</v>
      </c>
      <c r="J212" t="s">
        <v>919</v>
      </c>
      <c r="K212" s="17" t="s">
        <v>207</v>
      </c>
      <c r="L212">
        <v>2</v>
      </c>
    </row>
    <row r="213" spans="1:12" x14ac:dyDescent="0.25">
      <c r="A213" t="s">
        <v>920</v>
      </c>
      <c r="B213" t="s">
        <v>60</v>
      </c>
      <c r="C213" t="s">
        <v>295</v>
      </c>
      <c r="D213" t="s">
        <v>46</v>
      </c>
      <c r="E213">
        <v>30</v>
      </c>
      <c r="F213" t="s">
        <v>104</v>
      </c>
      <c r="G213" t="s">
        <v>82</v>
      </c>
      <c r="H213" t="s">
        <v>921</v>
      </c>
      <c r="I213" s="1" t="d">
        <v>2020-03-18</v>
      </c>
      <c r="J213" t="s">
        <v>922</v>
      </c>
      <c r="K213" s="17" t="s">
        <v>58</v>
      </c>
      <c r="L213">
        <v>5</v>
      </c>
    </row>
    <row r="214" spans="1:12" x14ac:dyDescent="0.25">
      <c r="A214" t="s">
        <v>923</v>
      </c>
      <c r="B214" t="s">
        <v>13</v>
      </c>
      <c r="C214" t="s">
        <v>168</v>
      </c>
      <c r="D214" t="s">
        <v>9527</v>
      </c>
      <c r="E214">
        <v>52</v>
      </c>
      <c r="F214" t="s">
        <v>589</v>
      </c>
      <c r="G214" t="s">
        <v>217</v>
      </c>
      <c r="H214" t="s">
        <v>924</v>
      </c>
      <c r="I214" s="1" t="d">
        <v>2005-09-28</v>
      </c>
      <c r="J214" t="s">
        <v>925</v>
      </c>
      <c r="K214" s="17" t="s">
        <v>27</v>
      </c>
      <c r="L214">
        <v>5</v>
      </c>
    </row>
    <row r="215" spans="1:12" x14ac:dyDescent="0.25">
      <c r="A215" t="s">
        <v>926</v>
      </c>
      <c r="B215" t="s">
        <v>157</v>
      </c>
      <c r="C215" t="s">
        <v>927</v>
      </c>
      <c r="D215" t="s">
        <v>23</v>
      </c>
      <c r="E215">
        <v>49</v>
      </c>
      <c r="F215" t="s">
        <v>928</v>
      </c>
      <c r="G215" t="s">
        <v>82</v>
      </c>
      <c r="H215">
        <v>66820</v>
      </c>
      <c r="I215" s="1" t="d">
        <v>2012-09-13</v>
      </c>
      <c r="J215" t="s">
        <v>929</v>
      </c>
      <c r="K215" s="17" t="s">
        <v>207</v>
      </c>
      <c r="L215">
        <v>3</v>
      </c>
    </row>
    <row r="216" spans="1:12" x14ac:dyDescent="0.25">
      <c r="A216" t="s">
        <v>930</v>
      </c>
      <c r="B216" t="s">
        <v>931</v>
      </c>
      <c r="C216" t="s">
        <v>932</v>
      </c>
      <c r="D216" t="s">
        <v>46</v>
      </c>
      <c r="E216">
        <v>22</v>
      </c>
      <c r="F216" t="s">
        <v>15</v>
      </c>
      <c r="G216" t="s">
        <v>217</v>
      </c>
      <c r="H216" t="s">
        <v>933</v>
      </c>
      <c r="I216" s="1" t="d">
        <v>2008-04-06</v>
      </c>
      <c r="J216" t="s">
        <v>934</v>
      </c>
      <c r="K216" s="17" t="s">
        <v>58</v>
      </c>
      <c r="L216">
        <v>3</v>
      </c>
    </row>
    <row r="217" spans="1:12" x14ac:dyDescent="0.25">
      <c r="A217" t="s">
        <v>935</v>
      </c>
      <c r="B217" t="s">
        <v>936</v>
      </c>
      <c r="C217" t="s">
        <v>474</v>
      </c>
      <c r="D217" t="s">
        <v>9527</v>
      </c>
      <c r="E217">
        <v>42</v>
      </c>
      <c r="F217" t="s">
        <v>114</v>
      </c>
      <c r="G217" t="s">
        <v>937</v>
      </c>
      <c r="H217" s="2">
        <v>164038</v>
      </c>
      <c r="I217" s="1" t="d">
        <v>2021-06-13</v>
      </c>
      <c r="J217" t="s">
        <v>938</v>
      </c>
      <c r="K217" s="17" t="s">
        <v>50</v>
      </c>
      <c r="L217">
        <v>5</v>
      </c>
    </row>
    <row r="218" spans="1:12" x14ac:dyDescent="0.25">
      <c r="A218" t="s">
        <v>939</v>
      </c>
      <c r="B218" t="s">
        <v>404</v>
      </c>
      <c r="C218" t="s">
        <v>107</v>
      </c>
      <c r="D218" t="s">
        <v>23</v>
      </c>
      <c r="E218">
        <v>49</v>
      </c>
      <c r="G218" t="s">
        <v>387</v>
      </c>
      <c r="H218" s="2">
        <v>243206</v>
      </c>
      <c r="I218" s="1" t="d">
        <v>2023-11-17</v>
      </c>
      <c r="J218" t="s">
        <v>940</v>
      </c>
      <c r="K218" s="17" t="s">
        <v>207</v>
      </c>
      <c r="L218">
        <v>2</v>
      </c>
    </row>
    <row r="219" spans="1:12" x14ac:dyDescent="0.25">
      <c r="A219" t="s">
        <v>941</v>
      </c>
      <c r="B219" t="s">
        <v>221</v>
      </c>
      <c r="C219" t="s">
        <v>37</v>
      </c>
      <c r="D219" t="s">
        <v>23</v>
      </c>
      <c r="E219">
        <v>48</v>
      </c>
      <c r="F219" t="s">
        <v>942</v>
      </c>
      <c r="G219" t="s">
        <v>127</v>
      </c>
      <c r="I219" s="1" t="d">
        <v>2014-02-12</v>
      </c>
      <c r="J219" t="s">
        <v>943</v>
      </c>
      <c r="K219" s="17" t="s">
        <v>71</v>
      </c>
      <c r="L219">
        <v>3</v>
      </c>
    </row>
    <row r="220" spans="1:12" x14ac:dyDescent="0.25">
      <c r="A220" t="s">
        <v>944</v>
      </c>
      <c r="B220" t="s">
        <v>945</v>
      </c>
      <c r="C220" t="s">
        <v>535</v>
      </c>
      <c r="D220" t="s">
        <v>9527</v>
      </c>
      <c r="E220">
        <v>23</v>
      </c>
      <c r="F220" t="s">
        <v>269</v>
      </c>
      <c r="G220" t="s">
        <v>177</v>
      </c>
      <c r="H220">
        <v>36674</v>
      </c>
      <c r="I220" s="1" t="d">
        <v>2023-12-03</v>
      </c>
      <c r="J220" t="s">
        <v>148</v>
      </c>
      <c r="K220" s="17" t="s">
        <v>100</v>
      </c>
      <c r="L220">
        <v>3</v>
      </c>
    </row>
    <row r="221" spans="1:12" x14ac:dyDescent="0.25">
      <c r="A221" t="s">
        <v>946</v>
      </c>
      <c r="B221" t="s">
        <v>507</v>
      </c>
      <c r="C221" t="s">
        <v>168</v>
      </c>
      <c r="D221" t="s">
        <v>46</v>
      </c>
      <c r="E221">
        <v>33</v>
      </c>
      <c r="F221" t="s">
        <v>146</v>
      </c>
      <c r="G221" t="s">
        <v>48</v>
      </c>
      <c r="H221" s="2">
        <v>89248</v>
      </c>
      <c r="I221" s="1" t="d">
        <v>2019-01-07</v>
      </c>
      <c r="J221" t="s">
        <v>947</v>
      </c>
      <c r="K221" s="17" t="s">
        <v>184</v>
      </c>
      <c r="L221">
        <v>3</v>
      </c>
    </row>
    <row r="222" spans="1:12" x14ac:dyDescent="0.25">
      <c r="A222" t="s">
        <v>948</v>
      </c>
      <c r="B222" t="s">
        <v>949</v>
      </c>
      <c r="C222" t="s">
        <v>950</v>
      </c>
      <c r="D222" t="s">
        <v>9527</v>
      </c>
      <c r="E222">
        <v>27</v>
      </c>
      <c r="F222" t="s">
        <v>108</v>
      </c>
      <c r="G222" t="s">
        <v>164</v>
      </c>
      <c r="H222" t="s">
        <v>951</v>
      </c>
      <c r="I222" s="1" t="d">
        <v>2005-12-11</v>
      </c>
      <c r="J222" t="s">
        <v>952</v>
      </c>
      <c r="K222" s="17" t="s">
        <v>34</v>
      </c>
      <c r="L222">
        <v>4</v>
      </c>
    </row>
    <row r="223" spans="1:12" x14ac:dyDescent="0.25">
      <c r="A223" t="s">
        <v>953</v>
      </c>
      <c r="B223" t="s">
        <v>954</v>
      </c>
      <c r="C223" t="s">
        <v>751</v>
      </c>
      <c r="D223" t="s">
        <v>9527</v>
      </c>
      <c r="E223">
        <v>41</v>
      </c>
      <c r="F223" t="s">
        <v>216</v>
      </c>
      <c r="G223" t="s">
        <v>69</v>
      </c>
      <c r="H223" s="2">
        <v>73797</v>
      </c>
      <c r="I223" s="1" t="d">
        <v>2021-09-04</v>
      </c>
      <c r="J223" t="s">
        <v>955</v>
      </c>
      <c r="K223" s="17" t="s">
        <v>207</v>
      </c>
      <c r="L223">
        <v>4</v>
      </c>
    </row>
    <row r="224" spans="1:12" x14ac:dyDescent="0.25">
      <c r="A224" t="s">
        <v>956</v>
      </c>
      <c r="B224" t="s">
        <v>323</v>
      </c>
      <c r="C224" t="s">
        <v>158</v>
      </c>
      <c r="D224" t="s">
        <v>46</v>
      </c>
      <c r="E224">
        <v>37</v>
      </c>
      <c r="F224" t="s">
        <v>108</v>
      </c>
      <c r="G224" t="s">
        <v>407</v>
      </c>
      <c r="H224" s="2">
        <v>252868</v>
      </c>
      <c r="I224" s="1" t="d">
        <v>2012-01-06</v>
      </c>
      <c r="J224" t="s">
        <v>957</v>
      </c>
      <c r="K224" s="17" t="s">
        <v>50</v>
      </c>
      <c r="L224">
        <v>3</v>
      </c>
    </row>
    <row r="225" spans="1:12" x14ac:dyDescent="0.25">
      <c r="A225" t="s">
        <v>958</v>
      </c>
      <c r="B225" t="s">
        <v>376</v>
      </c>
      <c r="C225" t="s">
        <v>395</v>
      </c>
      <c r="D225" t="s">
        <v>23</v>
      </c>
      <c r="E225">
        <v>43</v>
      </c>
      <c r="F225" t="s">
        <v>75</v>
      </c>
      <c r="G225" t="s">
        <v>115</v>
      </c>
      <c r="I225" s="1" t="d">
        <v>2018-04-02</v>
      </c>
      <c r="J225" t="s">
        <v>959</v>
      </c>
      <c r="K225" s="17" t="s">
        <v>34</v>
      </c>
      <c r="L225">
        <v>4</v>
      </c>
    </row>
    <row r="226" spans="1:12" x14ac:dyDescent="0.25">
      <c r="A226" t="s">
        <v>960</v>
      </c>
      <c r="B226" t="s">
        <v>637</v>
      </c>
      <c r="C226" t="s">
        <v>961</v>
      </c>
      <c r="D226" t="s">
        <v>46</v>
      </c>
      <c r="E226">
        <v>66</v>
      </c>
      <c r="F226" t="s">
        <v>230</v>
      </c>
      <c r="G226" t="s">
        <v>88</v>
      </c>
      <c r="H226" t="s">
        <v>962</v>
      </c>
      <c r="I226" s="1" t="d">
        <v>2020-08-07</v>
      </c>
      <c r="J226" t="s">
        <v>963</v>
      </c>
      <c r="K226" s="17" t="s">
        <v>34</v>
      </c>
      <c r="L226">
        <v>3</v>
      </c>
    </row>
    <row r="227" spans="1:12" x14ac:dyDescent="0.25">
      <c r="A227" t="s">
        <v>964</v>
      </c>
      <c r="B227" t="s">
        <v>965</v>
      </c>
      <c r="C227" t="s">
        <v>966</v>
      </c>
      <c r="D227" t="s">
        <v>23</v>
      </c>
      <c r="E227">
        <v>45</v>
      </c>
      <c r="F227" t="s">
        <v>104</v>
      </c>
      <c r="G227" t="s">
        <v>967</v>
      </c>
      <c r="H227" s="2">
        <v>53648</v>
      </c>
      <c r="I227" s="1" t="d">
        <v>2011-03-26</v>
      </c>
      <c r="J227" t="s">
        <v>968</v>
      </c>
      <c r="K227" s="17" t="s">
        <v>207</v>
      </c>
      <c r="L227">
        <v>3</v>
      </c>
    </row>
    <row r="228" spans="1:12" x14ac:dyDescent="0.25">
      <c r="A228" t="s">
        <v>969</v>
      </c>
      <c r="B228" t="s">
        <v>583</v>
      </c>
      <c r="C228" t="s">
        <v>970</v>
      </c>
      <c r="D228" t="s">
        <v>23</v>
      </c>
      <c r="E228">
        <v>32</v>
      </c>
      <c r="F228" t="s">
        <v>971</v>
      </c>
      <c r="G228" t="s">
        <v>39</v>
      </c>
      <c r="H228" s="2">
        <v>92495</v>
      </c>
      <c r="I228" s="1" t="d">
        <v>2016-09-22</v>
      </c>
      <c r="J228" t="s">
        <v>972</v>
      </c>
      <c r="K228" s="17" t="s">
        <v>90</v>
      </c>
      <c r="L228">
        <v>1</v>
      </c>
    </row>
    <row r="229" spans="1:12" x14ac:dyDescent="0.25">
      <c r="A229" t="s">
        <v>973</v>
      </c>
      <c r="B229" t="s">
        <v>652</v>
      </c>
      <c r="C229" t="s">
        <v>158</v>
      </c>
      <c r="D229" t="s">
        <v>23</v>
      </c>
      <c r="E229">
        <v>44</v>
      </c>
      <c r="F229" t="s">
        <v>974</v>
      </c>
      <c r="G229" t="s">
        <v>55</v>
      </c>
      <c r="H229" t="s">
        <v>975</v>
      </c>
      <c r="I229" s="1" t="d">
        <v>2009-09-27</v>
      </c>
      <c r="J229" t="s">
        <v>976</v>
      </c>
      <c r="K229" s="17" t="s">
        <v>149</v>
      </c>
      <c r="L229">
        <v>3</v>
      </c>
    </row>
    <row r="230" spans="1:12" x14ac:dyDescent="0.25">
      <c r="A230" t="s">
        <v>977</v>
      </c>
      <c r="B230" t="s">
        <v>79</v>
      </c>
      <c r="C230" t="s">
        <v>405</v>
      </c>
      <c r="D230" t="s">
        <v>46</v>
      </c>
      <c r="E230">
        <v>32</v>
      </c>
      <c r="F230" t="s">
        <v>978</v>
      </c>
      <c r="G230" t="s">
        <v>48</v>
      </c>
      <c r="H230">
        <v>92597</v>
      </c>
      <c r="I230" s="1" t="d">
        <v>2022-03-09</v>
      </c>
      <c r="J230" t="s">
        <v>979</v>
      </c>
      <c r="K230" s="17" t="s">
        <v>71</v>
      </c>
      <c r="L230">
        <v>3</v>
      </c>
    </row>
    <row r="231" spans="1:12" x14ac:dyDescent="0.25">
      <c r="A231" t="s">
        <v>980</v>
      </c>
      <c r="B231" t="s">
        <v>981</v>
      </c>
      <c r="C231" t="s">
        <v>516</v>
      </c>
      <c r="D231" t="s">
        <v>23</v>
      </c>
      <c r="E231">
        <v>40</v>
      </c>
      <c r="F231" t="s">
        <v>196</v>
      </c>
      <c r="G231" t="s">
        <v>39</v>
      </c>
      <c r="I231" s="1" t="d">
        <v>2021-12-04</v>
      </c>
      <c r="J231" t="s">
        <v>982</v>
      </c>
      <c r="K231" s="17" t="s">
        <v>27</v>
      </c>
      <c r="L231">
        <v>3</v>
      </c>
    </row>
    <row r="232" spans="1:12" x14ac:dyDescent="0.25">
      <c r="A232" t="s">
        <v>983</v>
      </c>
      <c r="B232" t="s">
        <v>167</v>
      </c>
      <c r="C232" t="s">
        <v>970</v>
      </c>
      <c r="D232" t="s">
        <v>23</v>
      </c>
      <c r="E232">
        <v>37</v>
      </c>
      <c r="F232" t="s">
        <v>984</v>
      </c>
      <c r="G232" t="s">
        <v>205</v>
      </c>
      <c r="H232" t="s">
        <v>985</v>
      </c>
      <c r="I232" s="1" t="d">
        <v>2013-04-21</v>
      </c>
      <c r="J232" t="s">
        <v>986</v>
      </c>
      <c r="K232" s="17" t="s">
        <v>184</v>
      </c>
      <c r="L232">
        <v>4</v>
      </c>
    </row>
    <row r="233" spans="1:12" x14ac:dyDescent="0.25">
      <c r="A233" t="s">
        <v>987</v>
      </c>
      <c r="B233" t="s">
        <v>174</v>
      </c>
      <c r="C233" t="s">
        <v>988</v>
      </c>
      <c r="D233" t="s">
        <v>9527</v>
      </c>
      <c r="E233">
        <v>54</v>
      </c>
      <c r="F233" t="s">
        <v>989</v>
      </c>
      <c r="G233" t="s">
        <v>357</v>
      </c>
      <c r="H233" t="s">
        <v>990</v>
      </c>
      <c r="I233" s="1" t="d">
        <v>2019-06-09</v>
      </c>
      <c r="J233" t="s">
        <v>991</v>
      </c>
      <c r="K233" s="17" t="s">
        <v>19</v>
      </c>
      <c r="L233">
        <v>3</v>
      </c>
    </row>
    <row r="234" spans="1:12" x14ac:dyDescent="0.25">
      <c r="A234" t="s">
        <v>992</v>
      </c>
      <c r="B234" t="s">
        <v>993</v>
      </c>
      <c r="C234" t="s">
        <v>237</v>
      </c>
      <c r="D234" t="s">
        <v>23</v>
      </c>
      <c r="E234">
        <v>43</v>
      </c>
      <c r="F234" t="s">
        <v>230</v>
      </c>
      <c r="G234" t="s">
        <v>191</v>
      </c>
      <c r="H234" s="2">
        <v>57380</v>
      </c>
      <c r="I234" s="1" t="d">
        <v>2013-05-28</v>
      </c>
      <c r="J234" t="s">
        <v>994</v>
      </c>
      <c r="K234" s="17" t="s">
        <v>42</v>
      </c>
      <c r="L234">
        <v>3</v>
      </c>
    </row>
    <row r="235" spans="1:12" x14ac:dyDescent="0.25">
      <c r="A235" t="s">
        <v>995</v>
      </c>
      <c r="B235" t="s">
        <v>112</v>
      </c>
      <c r="C235" t="s">
        <v>22</v>
      </c>
      <c r="D235" t="s">
        <v>23</v>
      </c>
      <c r="E235">
        <v>40</v>
      </c>
      <c r="F235" t="s">
        <v>169</v>
      </c>
      <c r="G235" t="s">
        <v>996</v>
      </c>
      <c r="H235" t="s">
        <v>997</v>
      </c>
      <c r="I235" s="1" t="d">
        <v>2006-04-03</v>
      </c>
      <c r="J235" t="s">
        <v>884</v>
      </c>
      <c r="K235" s="17" t="s">
        <v>42</v>
      </c>
      <c r="L235">
        <v>4</v>
      </c>
    </row>
    <row r="236" spans="1:12" x14ac:dyDescent="0.25">
      <c r="A236" t="s">
        <v>998</v>
      </c>
      <c r="B236" t="s">
        <v>999</v>
      </c>
      <c r="C236" t="s">
        <v>252</v>
      </c>
      <c r="D236" t="s">
        <v>23</v>
      </c>
      <c r="E236">
        <v>38</v>
      </c>
      <c r="F236" t="s">
        <v>411</v>
      </c>
      <c r="G236" t="s">
        <v>177</v>
      </c>
      <c r="H236">
        <v>53693</v>
      </c>
      <c r="I236" s="1" t="d">
        <v>2018-10-16</v>
      </c>
      <c r="J236" t="s">
        <v>1000</v>
      </c>
      <c r="K236" s="17" t="s">
        <v>370</v>
      </c>
      <c r="L236">
        <v>3</v>
      </c>
    </row>
    <row r="237" spans="1:12" x14ac:dyDescent="0.25">
      <c r="A237" t="s">
        <v>1001</v>
      </c>
      <c r="B237" t="s">
        <v>1002</v>
      </c>
      <c r="C237" t="s">
        <v>715</v>
      </c>
      <c r="D237" t="s">
        <v>23</v>
      </c>
      <c r="E237">
        <v>30</v>
      </c>
      <c r="F237" t="s">
        <v>253</v>
      </c>
      <c r="G237" t="s">
        <v>357</v>
      </c>
      <c r="H237" s="2">
        <v>80480</v>
      </c>
      <c r="I237" s="1" t="d">
        <v>2021-12-28</v>
      </c>
      <c r="J237" t="s">
        <v>1003</v>
      </c>
      <c r="K237" s="17" t="s">
        <v>34</v>
      </c>
      <c r="L237">
        <v>4</v>
      </c>
    </row>
    <row r="238" spans="1:12" x14ac:dyDescent="0.25">
      <c r="A238" t="s">
        <v>1004</v>
      </c>
      <c r="B238" t="s">
        <v>410</v>
      </c>
      <c r="C238" t="s">
        <v>631</v>
      </c>
      <c r="D238" t="s">
        <v>9527</v>
      </c>
      <c r="E238">
        <v>25</v>
      </c>
      <c r="F238" t="s">
        <v>264</v>
      </c>
      <c r="G238" t="s">
        <v>95</v>
      </c>
      <c r="H238">
        <v>78290</v>
      </c>
      <c r="I238" s="1" t="d">
        <v>2024-10-21</v>
      </c>
      <c r="J238" t="s">
        <v>1005</v>
      </c>
      <c r="K238" s="17" t="s">
        <v>184</v>
      </c>
      <c r="L238">
        <v>3</v>
      </c>
    </row>
    <row r="239" spans="1:12" x14ac:dyDescent="0.25">
      <c r="A239" t="s">
        <v>1006</v>
      </c>
      <c r="B239" t="s">
        <v>102</v>
      </c>
      <c r="C239" t="s">
        <v>1007</v>
      </c>
      <c r="D239" t="s">
        <v>46</v>
      </c>
      <c r="E239">
        <v>31</v>
      </c>
      <c r="F239" t="s">
        <v>169</v>
      </c>
      <c r="G239" t="s">
        <v>170</v>
      </c>
      <c r="H239" s="2">
        <v>61795</v>
      </c>
      <c r="I239" s="1" t="d">
        <v>2012-09-02</v>
      </c>
      <c r="J239" t="s">
        <v>1008</v>
      </c>
      <c r="K239" s="17" t="s">
        <v>100</v>
      </c>
      <c r="L239">
        <v>3</v>
      </c>
    </row>
    <row r="240" spans="1:12" x14ac:dyDescent="0.25">
      <c r="A240" t="s">
        <v>1009</v>
      </c>
      <c r="B240" t="s">
        <v>520</v>
      </c>
      <c r="C240" t="s">
        <v>1010</v>
      </c>
      <c r="D240" t="s">
        <v>46</v>
      </c>
      <c r="E240">
        <v>36</v>
      </c>
      <c r="F240" t="s">
        <v>216</v>
      </c>
      <c r="G240" t="s">
        <v>141</v>
      </c>
      <c r="H240" s="2">
        <v>63917</v>
      </c>
      <c r="I240" s="1" t="d">
        <v>2007-02-12</v>
      </c>
      <c r="J240" t="s">
        <v>1011</v>
      </c>
      <c r="K240" s="17" t="s">
        <v>207</v>
      </c>
      <c r="L240">
        <v>3</v>
      </c>
    </row>
    <row r="241" spans="1:12" x14ac:dyDescent="0.25">
      <c r="A241" t="s">
        <v>1012</v>
      </c>
      <c r="B241" t="s">
        <v>21</v>
      </c>
      <c r="C241" t="s">
        <v>575</v>
      </c>
      <c r="D241" t="s">
        <v>46</v>
      </c>
      <c r="E241">
        <v>52</v>
      </c>
      <c r="G241" t="s">
        <v>1013</v>
      </c>
      <c r="I241" s="1" t="d">
        <v>2018-03-19</v>
      </c>
      <c r="J241" t="s">
        <v>619</v>
      </c>
      <c r="K241" s="17" t="s">
        <v>184</v>
      </c>
      <c r="L241">
        <v>4</v>
      </c>
    </row>
    <row r="242" spans="1:12" x14ac:dyDescent="0.25">
      <c r="A242" t="s">
        <v>1014</v>
      </c>
      <c r="B242" t="s">
        <v>637</v>
      </c>
      <c r="C242" t="s">
        <v>1015</v>
      </c>
      <c r="D242" t="s">
        <v>46</v>
      </c>
      <c r="E242">
        <v>38</v>
      </c>
      <c r="F242" t="s">
        <v>532</v>
      </c>
      <c r="G242" t="s">
        <v>526</v>
      </c>
      <c r="H242" t="s">
        <v>1016</v>
      </c>
      <c r="I242" s="1" t="d">
        <v>2015-05-05</v>
      </c>
      <c r="J242" t="s">
        <v>1017</v>
      </c>
      <c r="K242" s="17" t="s">
        <v>27</v>
      </c>
      <c r="L242">
        <v>3</v>
      </c>
    </row>
    <row r="243" spans="1:12" x14ac:dyDescent="0.25">
      <c r="A243" t="s">
        <v>1018</v>
      </c>
      <c r="B243" t="s">
        <v>262</v>
      </c>
      <c r="C243" t="s">
        <v>584</v>
      </c>
      <c r="D243" t="s">
        <v>46</v>
      </c>
      <c r="E243">
        <v>28</v>
      </c>
      <c r="F243" t="s">
        <v>422</v>
      </c>
      <c r="G243" t="s">
        <v>217</v>
      </c>
      <c r="H243" s="2">
        <v>109517</v>
      </c>
      <c r="I243" s="1" t="d">
        <v>2024-11-24</v>
      </c>
      <c r="J243" t="s">
        <v>1019</v>
      </c>
      <c r="K243" s="17" t="s">
        <v>90</v>
      </c>
      <c r="L243">
        <v>1</v>
      </c>
    </row>
    <row r="244" spans="1:12" x14ac:dyDescent="0.25">
      <c r="A244" t="s">
        <v>1020</v>
      </c>
      <c r="B244" t="s">
        <v>21</v>
      </c>
      <c r="C244" t="s">
        <v>483</v>
      </c>
      <c r="D244" t="s">
        <v>9527</v>
      </c>
      <c r="E244">
        <v>24</v>
      </c>
      <c r="F244" t="s">
        <v>522</v>
      </c>
      <c r="G244" t="s">
        <v>69</v>
      </c>
      <c r="H244" t="s">
        <v>1021</v>
      </c>
      <c r="I244" s="1" t="d">
        <v>2010-10-28</v>
      </c>
      <c r="J244" t="s">
        <v>1022</v>
      </c>
      <c r="K244" s="17" t="s">
        <v>42</v>
      </c>
      <c r="L244">
        <v>2</v>
      </c>
    </row>
    <row r="245" spans="1:12" x14ac:dyDescent="0.25">
      <c r="A245" t="s">
        <v>1023</v>
      </c>
      <c r="B245" t="s">
        <v>773</v>
      </c>
      <c r="C245" t="s">
        <v>555</v>
      </c>
      <c r="D245" t="s">
        <v>46</v>
      </c>
      <c r="E245">
        <v>34</v>
      </c>
      <c r="F245" t="s">
        <v>169</v>
      </c>
      <c r="G245" t="s">
        <v>182</v>
      </c>
      <c r="H245" t="s">
        <v>1024</v>
      </c>
      <c r="I245" s="1" t="d">
        <v>2007-08-05</v>
      </c>
      <c r="J245" t="s">
        <v>1025</v>
      </c>
      <c r="K245" s="17" t="s">
        <v>27</v>
      </c>
      <c r="L245">
        <v>4</v>
      </c>
    </row>
    <row r="246" spans="1:12" x14ac:dyDescent="0.25">
      <c r="A246" t="s">
        <v>1026</v>
      </c>
      <c r="B246" t="s">
        <v>1027</v>
      </c>
      <c r="C246" t="s">
        <v>152</v>
      </c>
      <c r="D246" t="s">
        <v>9527</v>
      </c>
      <c r="E246">
        <v>31</v>
      </c>
      <c r="F246" t="s">
        <v>589</v>
      </c>
      <c r="G246" t="s">
        <v>504</v>
      </c>
      <c r="I246" s="1" t="d">
        <v>2009-09-22</v>
      </c>
      <c r="J246" t="s">
        <v>1028</v>
      </c>
      <c r="K246" s="17" t="s">
        <v>149</v>
      </c>
      <c r="L246">
        <v>4</v>
      </c>
    </row>
    <row r="247" spans="1:12" x14ac:dyDescent="0.25">
      <c r="A247" t="s">
        <v>1029</v>
      </c>
      <c r="B247" t="s">
        <v>37</v>
      </c>
      <c r="C247" t="s">
        <v>1030</v>
      </c>
      <c r="D247" t="s">
        <v>46</v>
      </c>
      <c r="E247">
        <v>41</v>
      </c>
      <c r="F247" t="s">
        <v>918</v>
      </c>
      <c r="G247" t="s">
        <v>16</v>
      </c>
      <c r="H247">
        <v>113800</v>
      </c>
      <c r="I247" s="1" t="d">
        <v>2018-02-05</v>
      </c>
      <c r="J247" t="s">
        <v>1031</v>
      </c>
      <c r="K247" s="17" t="s">
        <v>58</v>
      </c>
      <c r="L247">
        <v>4</v>
      </c>
    </row>
    <row r="248" spans="1:12" x14ac:dyDescent="0.25">
      <c r="A248" t="s">
        <v>1032</v>
      </c>
      <c r="B248" t="s">
        <v>180</v>
      </c>
      <c r="C248" t="s">
        <v>295</v>
      </c>
      <c r="D248" t="s">
        <v>46</v>
      </c>
      <c r="E248">
        <v>34</v>
      </c>
      <c r="F248" t="s">
        <v>62</v>
      </c>
      <c r="G248" t="s">
        <v>82</v>
      </c>
      <c r="H248" t="s">
        <v>1033</v>
      </c>
      <c r="J248" t="s">
        <v>1034</v>
      </c>
      <c r="K248" s="17" t="s">
        <v>207</v>
      </c>
      <c r="L248">
        <v>4</v>
      </c>
    </row>
    <row r="249" spans="1:12" x14ac:dyDescent="0.25">
      <c r="A249" t="s">
        <v>1035</v>
      </c>
      <c r="B249" t="s">
        <v>936</v>
      </c>
      <c r="C249" t="s">
        <v>512</v>
      </c>
      <c r="D249" t="s">
        <v>9527</v>
      </c>
      <c r="E249">
        <v>35</v>
      </c>
      <c r="F249" t="s">
        <v>68</v>
      </c>
      <c r="G249" t="s">
        <v>191</v>
      </c>
      <c r="H249" t="s">
        <v>1036</v>
      </c>
      <c r="I249" s="1" t="d">
        <v>2021-07-06</v>
      </c>
      <c r="J249" t="s">
        <v>1037</v>
      </c>
      <c r="K249" s="17" t="s">
        <v>149</v>
      </c>
      <c r="L249">
        <v>3</v>
      </c>
    </row>
    <row r="250" spans="1:12" x14ac:dyDescent="0.25">
      <c r="A250" t="s">
        <v>1038</v>
      </c>
      <c r="B250" t="s">
        <v>520</v>
      </c>
      <c r="C250" t="s">
        <v>1039</v>
      </c>
      <c r="D250" t="s">
        <v>23</v>
      </c>
      <c r="E250">
        <v>38</v>
      </c>
      <c r="F250" t="s">
        <v>373</v>
      </c>
      <c r="G250" t="s">
        <v>55</v>
      </c>
      <c r="H250" t="s">
        <v>1040</v>
      </c>
      <c r="I250" s="1" t="d">
        <v>2010-09-11</v>
      </c>
      <c r="J250" t="s">
        <v>1041</v>
      </c>
      <c r="K250" s="17" t="s">
        <v>207</v>
      </c>
      <c r="L250">
        <v>3</v>
      </c>
    </row>
    <row r="251" spans="1:12" x14ac:dyDescent="0.25">
      <c r="A251" t="s">
        <v>1042</v>
      </c>
      <c r="B251" t="s">
        <v>1043</v>
      </c>
      <c r="C251" t="s">
        <v>210</v>
      </c>
      <c r="D251" t="s">
        <v>23</v>
      </c>
      <c r="E251">
        <v>42</v>
      </c>
      <c r="F251" t="s">
        <v>645</v>
      </c>
      <c r="G251" t="s">
        <v>191</v>
      </c>
      <c r="H251" t="s">
        <v>1044</v>
      </c>
      <c r="I251" s="1" t="d">
        <v>2006-09-01</v>
      </c>
      <c r="J251" t="s">
        <v>96</v>
      </c>
      <c r="K251" s="17" t="s">
        <v>90</v>
      </c>
      <c r="L251">
        <v>3</v>
      </c>
    </row>
    <row r="252" spans="1:12" x14ac:dyDescent="0.25">
      <c r="A252" t="s">
        <v>1045</v>
      </c>
      <c r="B252" t="s">
        <v>134</v>
      </c>
      <c r="C252" t="s">
        <v>204</v>
      </c>
      <c r="D252" t="s">
        <v>23</v>
      </c>
      <c r="E252">
        <v>45</v>
      </c>
      <c r="F252" t="s">
        <v>666</v>
      </c>
      <c r="G252" t="s">
        <v>1046</v>
      </c>
      <c r="I252" s="1" t="d">
        <v>2011-03-14</v>
      </c>
      <c r="J252" t="s">
        <v>1047</v>
      </c>
      <c r="K252" s="17" t="s">
        <v>118</v>
      </c>
      <c r="L252">
        <v>4</v>
      </c>
    </row>
    <row r="253" spans="1:12" x14ac:dyDescent="0.25">
      <c r="A253" t="s">
        <v>1048</v>
      </c>
      <c r="B253" t="s">
        <v>144</v>
      </c>
      <c r="C253" t="s">
        <v>684</v>
      </c>
      <c r="D253" t="s">
        <v>9527</v>
      </c>
      <c r="E253">
        <v>28</v>
      </c>
      <c r="F253" t="s">
        <v>645</v>
      </c>
      <c r="G253" t="s">
        <v>231</v>
      </c>
      <c r="H253">
        <v>54086</v>
      </c>
      <c r="I253" s="1" t="d">
        <v>2005-07-03</v>
      </c>
      <c r="J253" t="s">
        <v>1049</v>
      </c>
      <c r="K253" s="17" t="s">
        <v>118</v>
      </c>
      <c r="L253">
        <v>2</v>
      </c>
    </row>
    <row r="254" spans="1:12" x14ac:dyDescent="0.25">
      <c r="A254" t="s">
        <v>1050</v>
      </c>
      <c r="B254" t="s">
        <v>1051</v>
      </c>
      <c r="C254" t="s">
        <v>1052</v>
      </c>
      <c r="D254" t="s">
        <v>46</v>
      </c>
      <c r="E254">
        <v>48</v>
      </c>
      <c r="F254" t="s">
        <v>918</v>
      </c>
      <c r="G254" t="s">
        <v>115</v>
      </c>
      <c r="H254">
        <v>92486</v>
      </c>
      <c r="I254" s="1" t="d">
        <v>2019-08-17</v>
      </c>
      <c r="J254" t="s">
        <v>1053</v>
      </c>
      <c r="K254" s="17" t="s">
        <v>370</v>
      </c>
      <c r="L254">
        <v>3</v>
      </c>
    </row>
    <row r="255" spans="1:12" x14ac:dyDescent="0.25">
      <c r="A255" t="s">
        <v>1054</v>
      </c>
      <c r="B255" t="s">
        <v>21</v>
      </c>
      <c r="C255" t="s">
        <v>1055</v>
      </c>
      <c r="D255" t="s">
        <v>46</v>
      </c>
      <c r="E255">
        <v>32</v>
      </c>
      <c r="F255" t="s">
        <v>422</v>
      </c>
      <c r="G255" t="s">
        <v>16</v>
      </c>
      <c r="H255" t="s">
        <v>1056</v>
      </c>
      <c r="I255" s="1" t="d">
        <v>2007-07-18</v>
      </c>
      <c r="J255" t="s">
        <v>1057</v>
      </c>
      <c r="K255" s="17" t="s">
        <v>34</v>
      </c>
      <c r="L255">
        <v>3</v>
      </c>
    </row>
    <row r="256" spans="1:12" x14ac:dyDescent="0.25">
      <c r="A256" t="s">
        <v>1058</v>
      </c>
      <c r="B256" t="s">
        <v>735</v>
      </c>
      <c r="C256" t="s">
        <v>1059</v>
      </c>
      <c r="D256" t="s">
        <v>46</v>
      </c>
      <c r="E256">
        <v>46</v>
      </c>
      <c r="F256" t="s">
        <v>373</v>
      </c>
      <c r="G256" t="s">
        <v>182</v>
      </c>
      <c r="H256">
        <v>158382</v>
      </c>
      <c r="I256" s="1" t="d">
        <v>2007-03-11</v>
      </c>
      <c r="J256" t="s">
        <v>1060</v>
      </c>
      <c r="K256" s="17" t="s">
        <v>118</v>
      </c>
      <c r="L256">
        <v>5</v>
      </c>
    </row>
    <row r="257" spans="1:12" x14ac:dyDescent="0.25">
      <c r="A257" t="s">
        <v>1061</v>
      </c>
      <c r="B257" t="s">
        <v>199</v>
      </c>
      <c r="C257" t="s">
        <v>1062</v>
      </c>
      <c r="D257" t="s">
        <v>9527</v>
      </c>
      <c r="E257">
        <v>51</v>
      </c>
      <c r="F257" t="s">
        <v>216</v>
      </c>
      <c r="G257" t="s">
        <v>351</v>
      </c>
      <c r="H257" s="2">
        <v>51628</v>
      </c>
      <c r="I257" s="1" t="d">
        <v>2011-05-10</v>
      </c>
      <c r="J257" t="s">
        <v>388</v>
      </c>
      <c r="K257" s="17" t="s">
        <v>50</v>
      </c>
      <c r="L257">
        <v>3</v>
      </c>
    </row>
    <row r="258" spans="1:12" x14ac:dyDescent="0.25">
      <c r="A258" t="s">
        <v>1063</v>
      </c>
      <c r="B258" t="s">
        <v>1064</v>
      </c>
      <c r="C258" t="s">
        <v>349</v>
      </c>
      <c r="D258" t="s">
        <v>46</v>
      </c>
      <c r="E258">
        <v>41</v>
      </c>
      <c r="F258" t="s">
        <v>365</v>
      </c>
      <c r="G258" t="s">
        <v>82</v>
      </c>
      <c r="H258">
        <v>54949</v>
      </c>
      <c r="I258" s="1" t="d">
        <v>2021-01-26</v>
      </c>
      <c r="J258" t="s">
        <v>1065</v>
      </c>
      <c r="K258" s="17" t="s">
        <v>90</v>
      </c>
      <c r="L258">
        <v>4</v>
      </c>
    </row>
    <row r="259" spans="1:12" x14ac:dyDescent="0.25">
      <c r="A259" t="s">
        <v>1066</v>
      </c>
      <c r="B259" t="s">
        <v>79</v>
      </c>
      <c r="C259" t="s">
        <v>961</v>
      </c>
      <c r="D259" t="s">
        <v>46</v>
      </c>
      <c r="E259">
        <v>21</v>
      </c>
      <c r="F259" t="s">
        <v>350</v>
      </c>
      <c r="G259" t="s">
        <v>170</v>
      </c>
      <c r="H259" t="s">
        <v>1067</v>
      </c>
      <c r="I259" s="1" t="d">
        <v>2024-10-12</v>
      </c>
      <c r="J259" t="s">
        <v>84</v>
      </c>
      <c r="K259" s="17" t="s">
        <v>34</v>
      </c>
      <c r="L259">
        <v>3</v>
      </c>
    </row>
    <row r="260" spans="1:12" x14ac:dyDescent="0.25">
      <c r="A260" t="s">
        <v>1068</v>
      </c>
      <c r="B260" t="s">
        <v>571</v>
      </c>
      <c r="C260" t="s">
        <v>1069</v>
      </c>
      <c r="D260" t="s">
        <v>46</v>
      </c>
      <c r="E260">
        <v>49</v>
      </c>
      <c r="F260" t="s">
        <v>108</v>
      </c>
      <c r="G260" t="s">
        <v>69</v>
      </c>
      <c r="I260" s="1" t="d">
        <v>2022-12-04</v>
      </c>
      <c r="J260" t="s">
        <v>1070</v>
      </c>
      <c r="K260" s="17" t="s">
        <v>19</v>
      </c>
      <c r="L260">
        <v>1</v>
      </c>
    </row>
    <row r="261" spans="1:12" x14ac:dyDescent="0.25">
      <c r="A261" t="s">
        <v>1071</v>
      </c>
      <c r="B261" t="s">
        <v>862</v>
      </c>
      <c r="C261" t="s">
        <v>710</v>
      </c>
      <c r="D261" t="s">
        <v>9527</v>
      </c>
      <c r="E261">
        <v>41</v>
      </c>
      <c r="F261" t="s">
        <v>114</v>
      </c>
      <c r="G261" t="s">
        <v>69</v>
      </c>
      <c r="H261" t="s">
        <v>1072</v>
      </c>
      <c r="I261" s="1" t="d">
        <v>2005-03-28</v>
      </c>
      <c r="J261" t="s">
        <v>1073</v>
      </c>
      <c r="K261" s="17" t="s">
        <v>100</v>
      </c>
      <c r="L261">
        <v>3</v>
      </c>
    </row>
    <row r="262" spans="1:12" x14ac:dyDescent="0.25">
      <c r="A262" t="s">
        <v>1074</v>
      </c>
      <c r="B262" t="s">
        <v>594</v>
      </c>
      <c r="C262" t="s">
        <v>710</v>
      </c>
      <c r="D262" t="s">
        <v>9527</v>
      </c>
      <c r="E262">
        <v>43</v>
      </c>
      <c r="F262" t="s">
        <v>399</v>
      </c>
      <c r="G262" t="s">
        <v>283</v>
      </c>
      <c r="H262" t="s">
        <v>1075</v>
      </c>
      <c r="I262" s="1" t="d">
        <v>2011-05-03</v>
      </c>
      <c r="J262" t="s">
        <v>1076</v>
      </c>
      <c r="K262" s="17" t="s">
        <v>207</v>
      </c>
      <c r="L262">
        <v>3</v>
      </c>
    </row>
    <row r="263" spans="1:12" x14ac:dyDescent="0.25">
      <c r="A263" t="s">
        <v>1077</v>
      </c>
      <c r="B263" t="s">
        <v>294</v>
      </c>
      <c r="C263" t="s">
        <v>361</v>
      </c>
      <c r="D263" t="s">
        <v>23</v>
      </c>
      <c r="E263">
        <v>38</v>
      </c>
      <c r="F263" t="s">
        <v>399</v>
      </c>
      <c r="G263" t="s">
        <v>82</v>
      </c>
      <c r="H263" t="s">
        <v>1078</v>
      </c>
      <c r="I263" s="1" t="d">
        <v>2005-07-22</v>
      </c>
      <c r="J263" t="s">
        <v>834</v>
      </c>
      <c r="K263" s="17" t="s">
        <v>184</v>
      </c>
      <c r="L263">
        <v>3</v>
      </c>
    </row>
    <row r="264" spans="1:12" x14ac:dyDescent="0.25">
      <c r="A264" t="s">
        <v>1079</v>
      </c>
      <c r="B264" t="s">
        <v>906</v>
      </c>
      <c r="C264" t="s">
        <v>215</v>
      </c>
      <c r="D264" t="s">
        <v>46</v>
      </c>
      <c r="E264">
        <v>44</v>
      </c>
      <c r="F264" t="s">
        <v>269</v>
      </c>
      <c r="G264" t="s">
        <v>16</v>
      </c>
      <c r="H264" t="s">
        <v>1080</v>
      </c>
      <c r="I264" s="1" t="d">
        <v>2010-06-26</v>
      </c>
      <c r="J264" t="s">
        <v>1081</v>
      </c>
      <c r="K264" s="17" t="s">
        <v>34</v>
      </c>
      <c r="L264">
        <v>1</v>
      </c>
    </row>
    <row r="265" spans="1:12" x14ac:dyDescent="0.25">
      <c r="A265" t="s">
        <v>1082</v>
      </c>
      <c r="B265" t="s">
        <v>340</v>
      </c>
      <c r="C265" t="s">
        <v>696</v>
      </c>
      <c r="D265" t="s">
        <v>9527</v>
      </c>
      <c r="E265">
        <v>40</v>
      </c>
      <c r="F265" t="s">
        <v>411</v>
      </c>
      <c r="G265" t="s">
        <v>967</v>
      </c>
      <c r="H265" t="s">
        <v>1083</v>
      </c>
      <c r="I265" s="1" t="d">
        <v>2020-03-05</v>
      </c>
      <c r="J265" t="s">
        <v>1084</v>
      </c>
      <c r="K265" s="17" t="s">
        <v>370</v>
      </c>
      <c r="L265">
        <v>5</v>
      </c>
    </row>
    <row r="266" spans="1:12" x14ac:dyDescent="0.25">
      <c r="A266" t="s">
        <v>1085</v>
      </c>
      <c r="B266" t="s">
        <v>1086</v>
      </c>
      <c r="C266" t="s">
        <v>140</v>
      </c>
      <c r="D266" t="s">
        <v>23</v>
      </c>
      <c r="E266">
        <v>37</v>
      </c>
      <c r="F266" t="s">
        <v>484</v>
      </c>
      <c r="G266" t="s">
        <v>458</v>
      </c>
      <c r="H266">
        <v>50821</v>
      </c>
      <c r="I266" s="1" t="d">
        <v>2023-01-29</v>
      </c>
      <c r="J266" t="s">
        <v>1087</v>
      </c>
      <c r="K266" s="17" t="s">
        <v>149</v>
      </c>
      <c r="L266">
        <v>2</v>
      </c>
    </row>
    <row r="267" spans="1:12" x14ac:dyDescent="0.25">
      <c r="A267" t="s">
        <v>1088</v>
      </c>
      <c r="B267" t="s">
        <v>945</v>
      </c>
      <c r="C267" t="s">
        <v>268</v>
      </c>
      <c r="D267" t="s">
        <v>23</v>
      </c>
      <c r="E267">
        <v>51</v>
      </c>
      <c r="F267" t="s">
        <v>399</v>
      </c>
      <c r="G267" t="s">
        <v>88</v>
      </c>
      <c r="H267">
        <v>67722</v>
      </c>
      <c r="I267" s="1" t="d">
        <v>2005-07-27</v>
      </c>
      <c r="J267" t="s">
        <v>1089</v>
      </c>
      <c r="K267" s="17" t="s">
        <v>149</v>
      </c>
      <c r="L267">
        <v>3</v>
      </c>
    </row>
    <row r="268" spans="1:12" x14ac:dyDescent="0.25">
      <c r="A268" t="s">
        <v>1090</v>
      </c>
      <c r="B268" t="s">
        <v>583</v>
      </c>
      <c r="C268" t="s">
        <v>107</v>
      </c>
      <c r="D268" t="s">
        <v>23</v>
      </c>
      <c r="E268">
        <v>27</v>
      </c>
      <c r="F268" t="s">
        <v>62</v>
      </c>
      <c r="G268" t="s">
        <v>16</v>
      </c>
      <c r="H268">
        <v>107682</v>
      </c>
      <c r="I268" s="1" t="d">
        <v>2019-04-26</v>
      </c>
      <c r="J268" t="s">
        <v>1091</v>
      </c>
      <c r="K268" s="17" t="s">
        <v>42</v>
      </c>
      <c r="L268">
        <v>4</v>
      </c>
    </row>
    <row r="269" spans="1:12" x14ac:dyDescent="0.25">
      <c r="A269" t="s">
        <v>1092</v>
      </c>
      <c r="B269" t="s">
        <v>410</v>
      </c>
      <c r="C269" t="s">
        <v>1093</v>
      </c>
      <c r="D269" t="s">
        <v>46</v>
      </c>
      <c r="E269">
        <v>26</v>
      </c>
      <c r="F269" t="s">
        <v>200</v>
      </c>
      <c r="G269" t="s">
        <v>458</v>
      </c>
      <c r="H269">
        <v>91994</v>
      </c>
      <c r="I269" s="1" t="d">
        <v>2013-07-27</v>
      </c>
      <c r="J269" t="s">
        <v>1094</v>
      </c>
      <c r="K269" s="17" t="s">
        <v>19</v>
      </c>
      <c r="L269">
        <v>3</v>
      </c>
    </row>
    <row r="270" spans="1:12" x14ac:dyDescent="0.25">
      <c r="A270" t="s">
        <v>1095</v>
      </c>
      <c r="B270" t="s">
        <v>1096</v>
      </c>
      <c r="C270" t="s">
        <v>739</v>
      </c>
      <c r="D270" t="s">
        <v>46</v>
      </c>
      <c r="E270">
        <v>57</v>
      </c>
      <c r="F270" t="s">
        <v>216</v>
      </c>
      <c r="G270" t="s">
        <v>39</v>
      </c>
      <c r="H270" t="s">
        <v>1097</v>
      </c>
      <c r="I270" s="1" t="d">
        <v>2009-03-30</v>
      </c>
      <c r="J270" t="s">
        <v>1065</v>
      </c>
      <c r="K270" s="17" t="s">
        <v>50</v>
      </c>
      <c r="L270">
        <v>4</v>
      </c>
    </row>
    <row r="271" spans="1:12" x14ac:dyDescent="0.25">
      <c r="A271" t="s">
        <v>1098</v>
      </c>
      <c r="B271" t="s">
        <v>1099</v>
      </c>
      <c r="C271" t="s">
        <v>1100</v>
      </c>
      <c r="D271" t="s">
        <v>9527</v>
      </c>
      <c r="E271">
        <v>44</v>
      </c>
      <c r="F271" t="s">
        <v>350</v>
      </c>
      <c r="G271" t="s">
        <v>88</v>
      </c>
      <c r="H271" t="s">
        <v>1101</v>
      </c>
      <c r="I271" s="1" t="d">
        <v>2019-07-01</v>
      </c>
      <c r="J271" t="s">
        <v>1102</v>
      </c>
      <c r="K271" s="17" t="s">
        <v>58</v>
      </c>
      <c r="L271">
        <v>3</v>
      </c>
    </row>
    <row r="272" spans="1:12" x14ac:dyDescent="0.25">
      <c r="A272" t="s">
        <v>1103</v>
      </c>
      <c r="B272" t="s">
        <v>804</v>
      </c>
      <c r="C272" t="s">
        <v>521</v>
      </c>
      <c r="D272" t="s">
        <v>46</v>
      </c>
      <c r="E272">
        <v>45</v>
      </c>
      <c r="F272" t="s">
        <v>406</v>
      </c>
      <c r="G272" t="s">
        <v>170</v>
      </c>
      <c r="H272" t="s">
        <v>1104</v>
      </c>
      <c r="I272" s="1" t="d">
        <v>2009-12-25</v>
      </c>
      <c r="J272" t="s">
        <v>1105</v>
      </c>
      <c r="K272" s="17" t="s">
        <v>118</v>
      </c>
      <c r="L272">
        <v>4</v>
      </c>
    </row>
    <row r="273" spans="1:12" x14ac:dyDescent="0.25">
      <c r="A273" t="s">
        <v>1106</v>
      </c>
      <c r="B273" t="s">
        <v>52</v>
      </c>
      <c r="C273" t="s">
        <v>898</v>
      </c>
      <c r="D273" t="s">
        <v>46</v>
      </c>
      <c r="E273">
        <v>34</v>
      </c>
      <c r="F273" t="s">
        <v>1107</v>
      </c>
      <c r="G273" t="s">
        <v>48</v>
      </c>
      <c r="H273">
        <v>90793</v>
      </c>
      <c r="I273" s="1" t="d">
        <v>2011-07-10</v>
      </c>
      <c r="J273" t="s">
        <v>1108</v>
      </c>
      <c r="K273" s="17" t="s">
        <v>118</v>
      </c>
      <c r="L273">
        <v>4</v>
      </c>
    </row>
    <row r="274" spans="1:12" x14ac:dyDescent="0.25">
      <c r="A274" t="s">
        <v>1109</v>
      </c>
      <c r="B274" t="s">
        <v>248</v>
      </c>
      <c r="C274" t="s">
        <v>318</v>
      </c>
      <c r="D274" t="s">
        <v>23</v>
      </c>
      <c r="E274">
        <v>46</v>
      </c>
      <c r="F274" t="s">
        <v>1110</v>
      </c>
      <c r="G274" t="s">
        <v>88</v>
      </c>
      <c r="H274" s="2">
        <v>91866</v>
      </c>
      <c r="I274" s="1" t="d">
        <v>2022-12-09</v>
      </c>
      <c r="J274" t="s">
        <v>1111</v>
      </c>
      <c r="K274" s="17" t="s">
        <v>100</v>
      </c>
      <c r="L274">
        <v>3</v>
      </c>
    </row>
    <row r="275" spans="1:12" x14ac:dyDescent="0.25">
      <c r="A275" t="s">
        <v>1112</v>
      </c>
      <c r="B275" t="s">
        <v>563</v>
      </c>
      <c r="C275" t="s">
        <v>715</v>
      </c>
      <c r="D275" t="s">
        <v>9527</v>
      </c>
      <c r="E275">
        <v>39</v>
      </c>
      <c r="F275" t="s">
        <v>200</v>
      </c>
      <c r="G275" t="s">
        <v>25</v>
      </c>
      <c r="H275" t="s">
        <v>1113</v>
      </c>
      <c r="I275" s="1" t="d">
        <v>2016-03-13</v>
      </c>
      <c r="J275" t="s">
        <v>1114</v>
      </c>
      <c r="K275" s="17" t="s">
        <v>207</v>
      </c>
      <c r="L275">
        <v>5</v>
      </c>
    </row>
    <row r="276" spans="1:12" x14ac:dyDescent="0.25">
      <c r="A276" t="s">
        <v>1115</v>
      </c>
      <c r="B276" t="s">
        <v>439</v>
      </c>
      <c r="C276" t="s">
        <v>1030</v>
      </c>
      <c r="D276" t="s">
        <v>9527</v>
      </c>
      <c r="E276">
        <v>43</v>
      </c>
      <c r="F276" t="s">
        <v>1116</v>
      </c>
      <c r="G276" t="s">
        <v>1117</v>
      </c>
      <c r="H276">
        <v>156871</v>
      </c>
      <c r="I276" s="1" t="d">
        <v>2011-02-11</v>
      </c>
      <c r="J276" t="s">
        <v>1118</v>
      </c>
      <c r="K276" s="17" t="s">
        <v>71</v>
      </c>
      <c r="L276">
        <v>4</v>
      </c>
    </row>
    <row r="277" spans="1:12" x14ac:dyDescent="0.25">
      <c r="A277" t="s">
        <v>1119</v>
      </c>
      <c r="B277" t="s">
        <v>507</v>
      </c>
      <c r="C277" t="s">
        <v>74</v>
      </c>
      <c r="D277" t="s">
        <v>23</v>
      </c>
      <c r="E277">
        <v>49</v>
      </c>
      <c r="F277" t="s">
        <v>1120</v>
      </c>
      <c r="G277" t="s">
        <v>1121</v>
      </c>
      <c r="I277" s="1" t="d">
        <v>2006-01-01</v>
      </c>
      <c r="J277" t="s">
        <v>1122</v>
      </c>
      <c r="K277" s="17" t="s">
        <v>184</v>
      </c>
      <c r="L277">
        <v>1</v>
      </c>
    </row>
    <row r="278" spans="1:12" x14ac:dyDescent="0.25">
      <c r="A278" t="s">
        <v>1123</v>
      </c>
      <c r="B278" t="s">
        <v>1124</v>
      </c>
      <c r="C278" t="s">
        <v>624</v>
      </c>
      <c r="D278" t="s">
        <v>23</v>
      </c>
      <c r="E278">
        <v>40</v>
      </c>
      <c r="F278" t="s">
        <v>190</v>
      </c>
      <c r="G278" t="s">
        <v>351</v>
      </c>
      <c r="H278" t="s">
        <v>1125</v>
      </c>
      <c r="I278" s="1" t="d">
        <v>2005-08-05</v>
      </c>
      <c r="J278" t="s">
        <v>1126</v>
      </c>
      <c r="K278" s="17" t="s">
        <v>58</v>
      </c>
      <c r="L278">
        <v>3</v>
      </c>
    </row>
    <row r="279" spans="1:12" x14ac:dyDescent="0.25">
      <c r="A279" t="s">
        <v>1127</v>
      </c>
      <c r="B279" t="s">
        <v>563</v>
      </c>
      <c r="C279" t="s">
        <v>457</v>
      </c>
      <c r="D279" t="s">
        <v>46</v>
      </c>
      <c r="E279">
        <v>51</v>
      </c>
      <c r="F279" t="s">
        <v>649</v>
      </c>
      <c r="G279" t="s">
        <v>63</v>
      </c>
      <c r="H279">
        <v>159772</v>
      </c>
      <c r="I279" s="1" t="d">
        <v>2022-11-23</v>
      </c>
      <c r="J279" t="s">
        <v>1128</v>
      </c>
      <c r="K279" s="17" t="s">
        <v>100</v>
      </c>
      <c r="L279">
        <v>5</v>
      </c>
    </row>
    <row r="280" spans="1:12" x14ac:dyDescent="0.25">
      <c r="A280" t="s">
        <v>1129</v>
      </c>
      <c r="B280" t="s">
        <v>448</v>
      </c>
      <c r="C280" t="s">
        <v>341</v>
      </c>
      <c r="D280" t="s">
        <v>23</v>
      </c>
      <c r="E280">
        <v>21</v>
      </c>
      <c r="F280" t="s">
        <v>62</v>
      </c>
      <c r="G280" t="s">
        <v>1130</v>
      </c>
      <c r="H280">
        <v>69976</v>
      </c>
      <c r="I280" s="1" t="d">
        <v>2022-09-03</v>
      </c>
      <c r="J280" t="s">
        <v>313</v>
      </c>
      <c r="K280" s="17" t="s">
        <v>100</v>
      </c>
      <c r="L280">
        <v>3</v>
      </c>
    </row>
    <row r="281" spans="1:12" x14ac:dyDescent="0.25">
      <c r="A281" t="s">
        <v>1131</v>
      </c>
      <c r="B281" t="s">
        <v>945</v>
      </c>
      <c r="C281" t="s">
        <v>427</v>
      </c>
      <c r="D281" t="s">
        <v>46</v>
      </c>
      <c r="E281">
        <v>32</v>
      </c>
      <c r="G281" t="s">
        <v>526</v>
      </c>
      <c r="I281" s="1" t="d">
        <v>2018-06-14</v>
      </c>
      <c r="J281" t="s">
        <v>1057</v>
      </c>
      <c r="K281" s="17" t="s">
        <v>34</v>
      </c>
      <c r="L281">
        <v>4</v>
      </c>
    </row>
    <row r="282" spans="1:12" x14ac:dyDescent="0.25">
      <c r="A282" t="s">
        <v>1132</v>
      </c>
      <c r="B282" t="s">
        <v>786</v>
      </c>
      <c r="C282" t="s">
        <v>618</v>
      </c>
      <c r="D282" t="s">
        <v>46</v>
      </c>
      <c r="E282">
        <v>28</v>
      </c>
      <c r="F282" t="s">
        <v>190</v>
      </c>
      <c r="G282" t="s">
        <v>1133</v>
      </c>
      <c r="H282" t="s">
        <v>1134</v>
      </c>
      <c r="I282" s="1" t="d">
        <v>2007-11-05</v>
      </c>
      <c r="J282" t="s">
        <v>1135</v>
      </c>
      <c r="K282" s="17" t="s">
        <v>118</v>
      </c>
      <c r="L282">
        <v>3</v>
      </c>
    </row>
    <row r="283" spans="1:12" x14ac:dyDescent="0.25">
      <c r="A283" t="s">
        <v>1136</v>
      </c>
      <c r="B283" t="s">
        <v>52</v>
      </c>
      <c r="C283" t="s">
        <v>715</v>
      </c>
      <c r="D283" t="s">
        <v>9527</v>
      </c>
      <c r="E283">
        <v>21</v>
      </c>
      <c r="F283" t="s">
        <v>245</v>
      </c>
      <c r="G283" t="s">
        <v>526</v>
      </c>
      <c r="H283" t="s">
        <v>1137</v>
      </c>
      <c r="I283" s="1" t="d">
        <v>2020-09-01</v>
      </c>
      <c r="J283" t="s">
        <v>1108</v>
      </c>
      <c r="K283" s="17" t="s">
        <v>58</v>
      </c>
      <c r="L283">
        <v>3</v>
      </c>
    </row>
    <row r="284" spans="1:12" x14ac:dyDescent="0.25">
      <c r="A284" t="s">
        <v>1138</v>
      </c>
      <c r="B284" t="s">
        <v>520</v>
      </c>
      <c r="C284" t="s">
        <v>552</v>
      </c>
      <c r="D284" t="s">
        <v>9527</v>
      </c>
      <c r="E284">
        <v>29</v>
      </c>
      <c r="F284" t="s">
        <v>450</v>
      </c>
      <c r="G284" t="s">
        <v>82</v>
      </c>
      <c r="H284" s="2">
        <v>51819</v>
      </c>
      <c r="I284" s="1" t="d">
        <v>2018-12-30</v>
      </c>
      <c r="J284" t="s">
        <v>1139</v>
      </c>
      <c r="K284" s="17" t="s">
        <v>27</v>
      </c>
      <c r="L284">
        <v>4</v>
      </c>
    </row>
    <row r="285" spans="1:12" x14ac:dyDescent="0.25">
      <c r="A285" t="s">
        <v>1140</v>
      </c>
      <c r="B285" t="s">
        <v>157</v>
      </c>
      <c r="C285" t="s">
        <v>53</v>
      </c>
      <c r="D285" t="s">
        <v>9527</v>
      </c>
      <c r="E285">
        <v>25</v>
      </c>
      <c r="F285" t="s">
        <v>373</v>
      </c>
      <c r="G285" t="s">
        <v>996</v>
      </c>
      <c r="H285" s="2">
        <v>187464</v>
      </c>
      <c r="J285" t="s">
        <v>105</v>
      </c>
      <c r="K285" s="17" t="s">
        <v>90</v>
      </c>
      <c r="L285">
        <v>5</v>
      </c>
    </row>
    <row r="286" spans="1:12" x14ac:dyDescent="0.25">
      <c r="A286" t="s">
        <v>1141</v>
      </c>
      <c r="B286" t="s">
        <v>520</v>
      </c>
      <c r="C286" t="s">
        <v>1142</v>
      </c>
      <c r="D286" t="s">
        <v>23</v>
      </c>
      <c r="E286">
        <v>44</v>
      </c>
      <c r="F286" t="s">
        <v>38</v>
      </c>
      <c r="G286" t="s">
        <v>16</v>
      </c>
      <c r="H286" t="s">
        <v>1143</v>
      </c>
      <c r="I286" s="1" t="d">
        <v>2010-01-13</v>
      </c>
      <c r="J286" t="s">
        <v>1144</v>
      </c>
      <c r="K286" s="17" t="s">
        <v>42</v>
      </c>
      <c r="L286">
        <v>3</v>
      </c>
    </row>
    <row r="287" spans="1:12" x14ac:dyDescent="0.25">
      <c r="A287" t="s">
        <v>1145</v>
      </c>
      <c r="B287" t="s">
        <v>507</v>
      </c>
      <c r="C287" t="s">
        <v>1146</v>
      </c>
      <c r="D287" t="s">
        <v>46</v>
      </c>
      <c r="E287">
        <v>28</v>
      </c>
      <c r="F287" t="s">
        <v>1147</v>
      </c>
      <c r="G287" t="s">
        <v>182</v>
      </c>
      <c r="H287" t="s">
        <v>1148</v>
      </c>
      <c r="I287" s="1" t="d">
        <v>2005-11-08</v>
      </c>
      <c r="J287" t="s">
        <v>1149</v>
      </c>
      <c r="K287" s="17" t="s">
        <v>149</v>
      </c>
      <c r="L287">
        <v>3</v>
      </c>
    </row>
    <row r="288" spans="1:12" x14ac:dyDescent="0.25">
      <c r="A288" t="s">
        <v>1150</v>
      </c>
      <c r="B288" t="s">
        <v>563</v>
      </c>
      <c r="C288" t="s">
        <v>684</v>
      </c>
      <c r="D288" t="s">
        <v>23</v>
      </c>
      <c r="E288">
        <v>49</v>
      </c>
      <c r="F288" t="s">
        <v>532</v>
      </c>
      <c r="G288" t="s">
        <v>16</v>
      </c>
      <c r="H288" t="s">
        <v>1151</v>
      </c>
      <c r="I288" s="1" t="d">
        <v>2019-02-13</v>
      </c>
      <c r="J288" t="s">
        <v>1152</v>
      </c>
      <c r="K288" s="17" t="s">
        <v>118</v>
      </c>
      <c r="L288">
        <v>3</v>
      </c>
    </row>
    <row r="289" spans="1:12" x14ac:dyDescent="0.25">
      <c r="A289" t="s">
        <v>1153</v>
      </c>
      <c r="B289" t="s">
        <v>1154</v>
      </c>
      <c r="C289" t="s">
        <v>1155</v>
      </c>
      <c r="D289" t="s">
        <v>9527</v>
      </c>
      <c r="E289">
        <v>44</v>
      </c>
      <c r="F289" t="s">
        <v>417</v>
      </c>
      <c r="G289" t="s">
        <v>526</v>
      </c>
      <c r="H289" t="s">
        <v>1156</v>
      </c>
      <c r="I289" s="1" t="d">
        <v>2021-08-22</v>
      </c>
      <c r="J289" t="s">
        <v>1157</v>
      </c>
      <c r="K289" s="17" t="s">
        <v>184</v>
      </c>
      <c r="L289">
        <v>5</v>
      </c>
    </row>
    <row r="290" spans="1:12" x14ac:dyDescent="0.25">
      <c r="A290" t="s">
        <v>1158</v>
      </c>
      <c r="B290" t="s">
        <v>86</v>
      </c>
      <c r="C290" t="s">
        <v>932</v>
      </c>
      <c r="D290" t="s">
        <v>46</v>
      </c>
      <c r="E290">
        <v>47</v>
      </c>
      <c r="F290" t="s">
        <v>169</v>
      </c>
      <c r="G290" t="s">
        <v>16</v>
      </c>
      <c r="H290" t="s">
        <v>1159</v>
      </c>
      <c r="I290" s="1" t="d">
        <v>2019-05-13</v>
      </c>
      <c r="J290" t="s">
        <v>1160</v>
      </c>
      <c r="K290" s="17" t="s">
        <v>184</v>
      </c>
      <c r="L290">
        <v>3</v>
      </c>
    </row>
    <row r="291" spans="1:12" x14ac:dyDescent="0.25">
      <c r="A291" t="s">
        <v>1161</v>
      </c>
      <c r="B291" t="s">
        <v>1162</v>
      </c>
      <c r="C291" t="s">
        <v>710</v>
      </c>
      <c r="D291" t="s">
        <v>9527</v>
      </c>
      <c r="E291">
        <v>27</v>
      </c>
      <c r="F291" t="s">
        <v>1163</v>
      </c>
      <c r="G291" t="s">
        <v>1164</v>
      </c>
      <c r="H291" s="2">
        <v>129554</v>
      </c>
      <c r="I291" s="1" t="d">
        <v>2012-06-01</v>
      </c>
      <c r="J291" t="s">
        <v>1165</v>
      </c>
      <c r="K291" s="17" t="s">
        <v>207</v>
      </c>
      <c r="L291">
        <v>4</v>
      </c>
    </row>
    <row r="292" spans="1:12" x14ac:dyDescent="0.25">
      <c r="A292" t="s">
        <v>1166</v>
      </c>
      <c r="B292" t="s">
        <v>251</v>
      </c>
      <c r="C292" t="s">
        <v>858</v>
      </c>
      <c r="D292" t="s">
        <v>23</v>
      </c>
      <c r="E292">
        <v>37</v>
      </c>
      <c r="F292" t="s">
        <v>108</v>
      </c>
      <c r="G292" t="s">
        <v>141</v>
      </c>
      <c r="H292" s="2">
        <v>94940</v>
      </c>
      <c r="I292" s="1" t="d">
        <v>2008-10-31</v>
      </c>
      <c r="J292" t="s">
        <v>1025</v>
      </c>
      <c r="K292" s="17" t="s">
        <v>100</v>
      </c>
      <c r="L292">
        <v>3</v>
      </c>
    </row>
    <row r="293" spans="1:12" x14ac:dyDescent="0.25">
      <c r="A293" t="s">
        <v>1167</v>
      </c>
      <c r="B293" t="s">
        <v>120</v>
      </c>
      <c r="C293" t="s">
        <v>966</v>
      </c>
      <c r="D293" t="s">
        <v>23</v>
      </c>
      <c r="E293">
        <v>29</v>
      </c>
      <c r="F293" t="s">
        <v>1168</v>
      </c>
      <c r="G293" t="s">
        <v>191</v>
      </c>
      <c r="H293" t="s">
        <v>1169</v>
      </c>
      <c r="I293" s="1" t="d">
        <v>2011-01-23</v>
      </c>
      <c r="J293" t="s">
        <v>1170</v>
      </c>
      <c r="K293" s="17" t="s">
        <v>42</v>
      </c>
      <c r="L293">
        <v>5</v>
      </c>
    </row>
    <row r="294" spans="1:12" x14ac:dyDescent="0.25">
      <c r="A294" t="s">
        <v>1171</v>
      </c>
      <c r="B294" t="s">
        <v>1172</v>
      </c>
      <c r="C294" t="s">
        <v>140</v>
      </c>
      <c r="D294" t="s">
        <v>9527</v>
      </c>
      <c r="E294">
        <v>29</v>
      </c>
      <c r="F294" t="s">
        <v>238</v>
      </c>
      <c r="G294" t="s">
        <v>141</v>
      </c>
      <c r="H294" t="s">
        <v>1173</v>
      </c>
      <c r="I294" s="1" t="d">
        <v>2017-04-21</v>
      </c>
      <c r="J294" t="s">
        <v>1174</v>
      </c>
      <c r="K294" s="17" t="s">
        <v>71</v>
      </c>
      <c r="L294">
        <v>4</v>
      </c>
    </row>
    <row r="295" spans="1:12" x14ac:dyDescent="0.25">
      <c r="A295" t="s">
        <v>1175</v>
      </c>
      <c r="B295" t="s">
        <v>394</v>
      </c>
      <c r="C295" t="s">
        <v>45</v>
      </c>
      <c r="D295" t="s">
        <v>9527</v>
      </c>
      <c r="E295">
        <v>46</v>
      </c>
      <c r="F295" t="s">
        <v>666</v>
      </c>
      <c r="G295" t="s">
        <v>177</v>
      </c>
      <c r="H295">
        <v>48311</v>
      </c>
      <c r="I295" s="1" t="d">
        <v>2024-08-09</v>
      </c>
      <c r="J295" t="s">
        <v>1176</v>
      </c>
      <c r="K295" s="17" t="s">
        <v>71</v>
      </c>
      <c r="L295">
        <v>5</v>
      </c>
    </row>
    <row r="296" spans="1:12" x14ac:dyDescent="0.25">
      <c r="A296" t="s">
        <v>1177</v>
      </c>
      <c r="B296" t="s">
        <v>507</v>
      </c>
      <c r="C296" t="s">
        <v>45</v>
      </c>
      <c r="D296" t="s">
        <v>46</v>
      </c>
      <c r="E296">
        <v>23</v>
      </c>
      <c r="F296" t="s">
        <v>373</v>
      </c>
      <c r="G296" t="s">
        <v>115</v>
      </c>
      <c r="H296" t="s">
        <v>1178</v>
      </c>
      <c r="I296" s="1" t="d">
        <v>2005-02-08</v>
      </c>
      <c r="J296" t="s">
        <v>369</v>
      </c>
      <c r="K296" s="17" t="s">
        <v>370</v>
      </c>
      <c r="L296">
        <v>5</v>
      </c>
    </row>
    <row r="297" spans="1:12" x14ac:dyDescent="0.25">
      <c r="A297" t="s">
        <v>1179</v>
      </c>
      <c r="B297" t="s">
        <v>789</v>
      </c>
      <c r="C297" t="s">
        <v>318</v>
      </c>
      <c r="D297" t="s">
        <v>46</v>
      </c>
      <c r="E297">
        <v>24</v>
      </c>
      <c r="F297" t="s">
        <v>245</v>
      </c>
      <c r="G297" t="s">
        <v>16</v>
      </c>
      <c r="H297" s="2">
        <v>80667</v>
      </c>
      <c r="J297" t="s">
        <v>635</v>
      </c>
      <c r="K297" s="17" t="s">
        <v>19</v>
      </c>
      <c r="L297">
        <v>3</v>
      </c>
    </row>
    <row r="298" spans="1:12" x14ac:dyDescent="0.25">
      <c r="A298" t="s">
        <v>1180</v>
      </c>
      <c r="B298" t="s">
        <v>1181</v>
      </c>
      <c r="C298" t="s">
        <v>1182</v>
      </c>
      <c r="D298" t="s">
        <v>23</v>
      </c>
      <c r="E298">
        <v>38</v>
      </c>
      <c r="F298" t="s">
        <v>1183</v>
      </c>
      <c r="G298" t="s">
        <v>39</v>
      </c>
      <c r="H298" t="s">
        <v>1184</v>
      </c>
      <c r="I298" s="1" t="d">
        <v>2024-09-22</v>
      </c>
      <c r="J298" t="s">
        <v>1185</v>
      </c>
      <c r="K298" s="17" t="s">
        <v>207</v>
      </c>
      <c r="L298">
        <v>4</v>
      </c>
    </row>
    <row r="299" spans="1:12" x14ac:dyDescent="0.25">
      <c r="A299" t="s">
        <v>1186</v>
      </c>
      <c r="B299" t="s">
        <v>1051</v>
      </c>
      <c r="C299" t="s">
        <v>699</v>
      </c>
      <c r="D299" t="s">
        <v>9527</v>
      </c>
      <c r="E299">
        <v>33</v>
      </c>
      <c r="F299" t="s">
        <v>108</v>
      </c>
      <c r="G299" t="s">
        <v>55</v>
      </c>
      <c r="H299" t="s">
        <v>1187</v>
      </c>
      <c r="I299" s="1" t="d">
        <v>2018-02-19</v>
      </c>
      <c r="J299" t="s">
        <v>1188</v>
      </c>
      <c r="K299" s="17" t="s">
        <v>19</v>
      </c>
      <c r="L299">
        <v>5</v>
      </c>
    </row>
    <row r="300" spans="1:12" x14ac:dyDescent="0.25">
      <c r="A300" t="s">
        <v>1189</v>
      </c>
      <c r="B300" t="s">
        <v>1190</v>
      </c>
      <c r="C300" t="s">
        <v>1191</v>
      </c>
      <c r="D300" t="s">
        <v>9527</v>
      </c>
      <c r="E300">
        <v>33</v>
      </c>
      <c r="G300" t="s">
        <v>212</v>
      </c>
      <c r="J300" t="s">
        <v>1192</v>
      </c>
      <c r="K300" s="17" t="s">
        <v>58</v>
      </c>
      <c r="L300">
        <v>4</v>
      </c>
    </row>
    <row r="301" spans="1:12" x14ac:dyDescent="0.25">
      <c r="A301" t="s">
        <v>1193</v>
      </c>
      <c r="B301" t="s">
        <v>1096</v>
      </c>
      <c r="C301" t="s">
        <v>1194</v>
      </c>
      <c r="D301" t="s">
        <v>46</v>
      </c>
      <c r="E301">
        <v>42</v>
      </c>
      <c r="F301" t="s">
        <v>1195</v>
      </c>
      <c r="G301" t="s">
        <v>191</v>
      </c>
      <c r="H301" t="s">
        <v>1196</v>
      </c>
      <c r="I301" s="1" t="d">
        <v>2005-03-18</v>
      </c>
      <c r="J301" t="s">
        <v>1197</v>
      </c>
      <c r="K301" s="17" t="s">
        <v>42</v>
      </c>
      <c r="L301">
        <v>4</v>
      </c>
    </row>
    <row r="302" spans="1:12" x14ac:dyDescent="0.25">
      <c r="A302" t="s">
        <v>1198</v>
      </c>
      <c r="B302" t="s">
        <v>520</v>
      </c>
      <c r="C302" t="s">
        <v>14</v>
      </c>
      <c r="D302" t="s">
        <v>46</v>
      </c>
      <c r="E302">
        <v>25</v>
      </c>
      <c r="F302" t="s">
        <v>146</v>
      </c>
      <c r="G302" t="s">
        <v>1199</v>
      </c>
      <c r="H302" t="s">
        <v>1200</v>
      </c>
      <c r="I302" s="1" t="d">
        <v>2024-03-07</v>
      </c>
      <c r="J302" t="s">
        <v>1201</v>
      </c>
      <c r="K302" s="17" t="s">
        <v>42</v>
      </c>
      <c r="L302">
        <v>5</v>
      </c>
    </row>
    <row r="303" spans="1:12" x14ac:dyDescent="0.25">
      <c r="A303" t="s">
        <v>1202</v>
      </c>
      <c r="B303" t="s">
        <v>79</v>
      </c>
      <c r="C303" t="s">
        <v>552</v>
      </c>
      <c r="D303" t="s">
        <v>23</v>
      </c>
      <c r="E303">
        <v>37</v>
      </c>
      <c r="F303" t="s">
        <v>1203</v>
      </c>
      <c r="G303" t="s">
        <v>131</v>
      </c>
      <c r="H303" s="2">
        <v>50497</v>
      </c>
      <c r="I303" s="1" t="d">
        <v>2007-01-10</v>
      </c>
      <c r="J303" t="s">
        <v>528</v>
      </c>
      <c r="K303" s="17" t="s">
        <v>58</v>
      </c>
      <c r="L303">
        <v>3</v>
      </c>
    </row>
    <row r="304" spans="1:12" x14ac:dyDescent="0.25">
      <c r="A304" t="s">
        <v>1204</v>
      </c>
      <c r="B304" t="s">
        <v>340</v>
      </c>
      <c r="C304" t="s">
        <v>1205</v>
      </c>
      <c r="D304" t="s">
        <v>46</v>
      </c>
      <c r="E304">
        <v>47</v>
      </c>
      <c r="F304" t="s">
        <v>15</v>
      </c>
      <c r="G304" t="s">
        <v>1206</v>
      </c>
      <c r="H304" t="s">
        <v>1207</v>
      </c>
      <c r="I304" s="1" t="d">
        <v>2010-09-18</v>
      </c>
      <c r="J304" t="s">
        <v>1208</v>
      </c>
      <c r="K304" s="17" t="s">
        <v>34</v>
      </c>
      <c r="L304">
        <v>3</v>
      </c>
    </row>
    <row r="305" spans="1:12" x14ac:dyDescent="0.25">
      <c r="A305" t="s">
        <v>1209</v>
      </c>
      <c r="B305" t="s">
        <v>841</v>
      </c>
      <c r="C305" t="s">
        <v>175</v>
      </c>
      <c r="D305" t="s">
        <v>23</v>
      </c>
      <c r="E305">
        <v>31</v>
      </c>
      <c r="F305" t="s">
        <v>319</v>
      </c>
      <c r="G305" t="s">
        <v>387</v>
      </c>
      <c r="H305" t="s">
        <v>1210</v>
      </c>
      <c r="I305" s="1" t="d">
        <v>2005-01-12</v>
      </c>
      <c r="J305" t="s">
        <v>1211</v>
      </c>
      <c r="K305" s="17" t="s">
        <v>100</v>
      </c>
      <c r="L305">
        <v>3</v>
      </c>
    </row>
    <row r="306" spans="1:12" x14ac:dyDescent="0.25">
      <c r="A306" t="s">
        <v>1212</v>
      </c>
      <c r="B306" t="s">
        <v>1213</v>
      </c>
      <c r="C306" t="s">
        <v>121</v>
      </c>
      <c r="D306" t="s">
        <v>9527</v>
      </c>
      <c r="E306">
        <v>24</v>
      </c>
      <c r="F306" t="s">
        <v>1214</v>
      </c>
      <c r="G306" t="s">
        <v>1215</v>
      </c>
      <c r="H306" t="s">
        <v>1216</v>
      </c>
      <c r="I306" s="1" t="d">
        <v>2023-08-11</v>
      </c>
      <c r="J306" t="s">
        <v>1217</v>
      </c>
      <c r="K306" s="17" t="s">
        <v>90</v>
      </c>
      <c r="L306">
        <v>4</v>
      </c>
    </row>
    <row r="307" spans="1:12" x14ac:dyDescent="0.25">
      <c r="A307" t="s">
        <v>1218</v>
      </c>
      <c r="B307" t="s">
        <v>281</v>
      </c>
      <c r="C307" t="s">
        <v>1219</v>
      </c>
      <c r="D307" t="s">
        <v>46</v>
      </c>
      <c r="E307">
        <v>49</v>
      </c>
      <c r="G307" t="s">
        <v>191</v>
      </c>
      <c r="H307">
        <v>56599</v>
      </c>
      <c r="I307" s="1" t="d">
        <v>2015-10-25</v>
      </c>
      <c r="J307" t="s">
        <v>284</v>
      </c>
      <c r="K307" s="17" t="s">
        <v>71</v>
      </c>
      <c r="L307">
        <v>2</v>
      </c>
    </row>
    <row r="308" spans="1:12" x14ac:dyDescent="0.25">
      <c r="A308" t="s">
        <v>1220</v>
      </c>
      <c r="B308" t="s">
        <v>1221</v>
      </c>
      <c r="C308" t="s">
        <v>1010</v>
      </c>
      <c r="D308" t="s">
        <v>46</v>
      </c>
      <c r="E308">
        <v>41</v>
      </c>
      <c r="F308" t="s">
        <v>122</v>
      </c>
      <c r="G308" t="s">
        <v>170</v>
      </c>
      <c r="H308">
        <v>52054</v>
      </c>
      <c r="I308" s="1" t="d">
        <v>2012-07-31</v>
      </c>
      <c r="J308" t="s">
        <v>1222</v>
      </c>
      <c r="K308" s="17" t="s">
        <v>149</v>
      </c>
      <c r="L308">
        <v>4</v>
      </c>
    </row>
    <row r="309" spans="1:12" x14ac:dyDescent="0.25">
      <c r="A309" t="s">
        <v>1223</v>
      </c>
      <c r="B309" t="s">
        <v>52</v>
      </c>
      <c r="C309" t="s">
        <v>215</v>
      </c>
      <c r="D309" t="s">
        <v>23</v>
      </c>
      <c r="E309">
        <v>49</v>
      </c>
      <c r="F309" t="s">
        <v>186</v>
      </c>
      <c r="G309" t="s">
        <v>177</v>
      </c>
      <c r="H309" t="s">
        <v>1224</v>
      </c>
      <c r="I309" s="1" t="d">
        <v>2012-03-04</v>
      </c>
      <c r="J309" t="s">
        <v>1225</v>
      </c>
      <c r="K309" s="17" t="s">
        <v>71</v>
      </c>
      <c r="L309">
        <v>4</v>
      </c>
    </row>
    <row r="310" spans="1:12" x14ac:dyDescent="0.25">
      <c r="A310" t="s">
        <v>1226</v>
      </c>
      <c r="B310" t="s">
        <v>1002</v>
      </c>
      <c r="C310" t="s">
        <v>306</v>
      </c>
      <c r="D310" t="s">
        <v>46</v>
      </c>
      <c r="E310">
        <v>21</v>
      </c>
      <c r="F310" t="s">
        <v>75</v>
      </c>
      <c r="G310" t="s">
        <v>164</v>
      </c>
      <c r="H310">
        <v>83175</v>
      </c>
      <c r="J310" t="s">
        <v>1227</v>
      </c>
      <c r="K310" s="17" t="s">
        <v>50</v>
      </c>
      <c r="L310">
        <v>3</v>
      </c>
    </row>
    <row r="311" spans="1:12" x14ac:dyDescent="0.25">
      <c r="A311" t="s">
        <v>1228</v>
      </c>
      <c r="B311" t="s">
        <v>507</v>
      </c>
      <c r="C311" t="s">
        <v>763</v>
      </c>
      <c r="D311" t="s">
        <v>23</v>
      </c>
      <c r="E311">
        <v>24</v>
      </c>
      <c r="F311" t="s">
        <v>216</v>
      </c>
      <c r="G311" t="s">
        <v>55</v>
      </c>
      <c r="H311">
        <v>54146</v>
      </c>
      <c r="J311" t="s">
        <v>1229</v>
      </c>
      <c r="K311" s="17" t="s">
        <v>50</v>
      </c>
      <c r="L311">
        <v>4</v>
      </c>
    </row>
    <row r="312" spans="1:12" x14ac:dyDescent="0.25">
      <c r="A312" t="s">
        <v>1230</v>
      </c>
      <c r="B312" t="s">
        <v>134</v>
      </c>
      <c r="C312" t="s">
        <v>988</v>
      </c>
      <c r="D312" t="s">
        <v>46</v>
      </c>
      <c r="E312">
        <v>31</v>
      </c>
      <c r="F312" t="s">
        <v>38</v>
      </c>
      <c r="G312" t="s">
        <v>842</v>
      </c>
      <c r="H312" t="s">
        <v>1231</v>
      </c>
      <c r="I312" s="1" t="d">
        <v>2011-12-31</v>
      </c>
      <c r="J312" t="s">
        <v>1232</v>
      </c>
      <c r="K312" s="17" t="s">
        <v>71</v>
      </c>
      <c r="L312">
        <v>3</v>
      </c>
    </row>
    <row r="313" spans="1:12" x14ac:dyDescent="0.25">
      <c r="A313" t="s">
        <v>1233</v>
      </c>
      <c r="B313" t="s">
        <v>1154</v>
      </c>
      <c r="C313" t="s">
        <v>1234</v>
      </c>
      <c r="D313" t="s">
        <v>23</v>
      </c>
      <c r="E313">
        <v>30</v>
      </c>
      <c r="F313" t="s">
        <v>918</v>
      </c>
      <c r="G313" t="s">
        <v>82</v>
      </c>
      <c r="H313" t="s">
        <v>1235</v>
      </c>
      <c r="I313" s="1" t="d">
        <v>2022-02-02</v>
      </c>
      <c r="J313" t="s">
        <v>1236</v>
      </c>
      <c r="K313" s="17" t="s">
        <v>100</v>
      </c>
      <c r="L313">
        <v>5</v>
      </c>
    </row>
    <row r="314" spans="1:12" x14ac:dyDescent="0.25">
      <c r="A314" t="s">
        <v>1237</v>
      </c>
      <c r="B314" t="s">
        <v>482</v>
      </c>
      <c r="C314" t="s">
        <v>181</v>
      </c>
      <c r="D314" t="s">
        <v>46</v>
      </c>
      <c r="E314">
        <v>50</v>
      </c>
      <c r="F314" t="s">
        <v>269</v>
      </c>
      <c r="G314" t="s">
        <v>351</v>
      </c>
      <c r="H314" t="s">
        <v>1238</v>
      </c>
      <c r="I314" s="1" t="d">
        <v>2012-12-03</v>
      </c>
      <c r="J314" t="s">
        <v>1239</v>
      </c>
      <c r="K314" s="17" t="s">
        <v>42</v>
      </c>
      <c r="L314">
        <v>4</v>
      </c>
    </row>
    <row r="315" spans="1:12" x14ac:dyDescent="0.25">
      <c r="A315" t="s">
        <v>1240</v>
      </c>
      <c r="B315" t="s">
        <v>1241</v>
      </c>
      <c r="C315" t="s">
        <v>898</v>
      </c>
      <c r="D315" t="s">
        <v>46</v>
      </c>
      <c r="E315">
        <v>45</v>
      </c>
      <c r="F315" t="s">
        <v>68</v>
      </c>
      <c r="G315" t="s">
        <v>16</v>
      </c>
      <c r="H315" t="s">
        <v>1242</v>
      </c>
      <c r="I315" s="1" t="d">
        <v>2010-02-08</v>
      </c>
      <c r="J315" t="s">
        <v>899</v>
      </c>
      <c r="K315" s="17" t="s">
        <v>118</v>
      </c>
      <c r="L315">
        <v>2</v>
      </c>
    </row>
    <row r="316" spans="1:12" x14ac:dyDescent="0.25">
      <c r="A316" t="s">
        <v>1243</v>
      </c>
      <c r="B316" t="s">
        <v>199</v>
      </c>
      <c r="C316" t="s">
        <v>1244</v>
      </c>
      <c r="D316" t="s">
        <v>46</v>
      </c>
      <c r="E316">
        <v>25</v>
      </c>
      <c r="F316" t="s">
        <v>146</v>
      </c>
      <c r="G316" t="s">
        <v>48</v>
      </c>
      <c r="H316" s="2">
        <v>102116</v>
      </c>
      <c r="I316" s="1" t="d">
        <v>2011-10-22</v>
      </c>
      <c r="J316" t="s">
        <v>1245</v>
      </c>
      <c r="K316" s="17" t="s">
        <v>118</v>
      </c>
      <c r="L316">
        <v>4</v>
      </c>
    </row>
    <row r="317" spans="1:12" x14ac:dyDescent="0.25">
      <c r="A317" t="s">
        <v>1246</v>
      </c>
      <c r="B317" t="s">
        <v>1247</v>
      </c>
      <c r="C317" t="s">
        <v>1248</v>
      </c>
      <c r="D317" t="s">
        <v>9527</v>
      </c>
      <c r="E317">
        <v>42</v>
      </c>
      <c r="F317" t="s">
        <v>186</v>
      </c>
      <c r="G317" t="s">
        <v>48</v>
      </c>
      <c r="H317" t="s">
        <v>1249</v>
      </c>
      <c r="I317" s="1" t="d">
        <v>2008-10-14</v>
      </c>
      <c r="J317" t="s">
        <v>1250</v>
      </c>
      <c r="K317" s="17" t="s">
        <v>19</v>
      </c>
      <c r="L317">
        <v>3</v>
      </c>
    </row>
    <row r="318" spans="1:12" x14ac:dyDescent="0.25">
      <c r="A318" t="s">
        <v>1251</v>
      </c>
      <c r="B318" t="s">
        <v>1252</v>
      </c>
      <c r="C318" t="s">
        <v>1253</v>
      </c>
      <c r="D318" t="s">
        <v>46</v>
      </c>
      <c r="E318">
        <v>48</v>
      </c>
      <c r="F318" t="s">
        <v>350</v>
      </c>
      <c r="G318" t="s">
        <v>170</v>
      </c>
      <c r="H318" t="s">
        <v>1254</v>
      </c>
      <c r="I318" s="1" t="d">
        <v>2018-03-10</v>
      </c>
      <c r="J318" t="s">
        <v>1255</v>
      </c>
      <c r="K318" s="17" t="s">
        <v>207</v>
      </c>
      <c r="L318">
        <v>4</v>
      </c>
    </row>
    <row r="319" spans="1:12" x14ac:dyDescent="0.25">
      <c r="A319" t="s">
        <v>1256</v>
      </c>
      <c r="B319" t="s">
        <v>1257</v>
      </c>
      <c r="C319" t="s">
        <v>1258</v>
      </c>
      <c r="D319" t="s">
        <v>23</v>
      </c>
      <c r="E319">
        <v>42</v>
      </c>
      <c r="F319" t="s">
        <v>1214</v>
      </c>
      <c r="G319" t="s">
        <v>82</v>
      </c>
      <c r="H319" s="2">
        <v>94088</v>
      </c>
      <c r="I319" s="1" t="d">
        <v>2008-12-19</v>
      </c>
      <c r="J319" t="s">
        <v>1259</v>
      </c>
      <c r="K319" s="17" t="s">
        <v>50</v>
      </c>
      <c r="L319">
        <v>4</v>
      </c>
    </row>
    <row r="320" spans="1:12" x14ac:dyDescent="0.25">
      <c r="A320" t="s">
        <v>1260</v>
      </c>
      <c r="B320" t="s">
        <v>139</v>
      </c>
      <c r="C320" t="s">
        <v>74</v>
      </c>
      <c r="D320" t="s">
        <v>9527</v>
      </c>
      <c r="E320">
        <v>31</v>
      </c>
      <c r="G320" t="s">
        <v>526</v>
      </c>
      <c r="I320" s="1" t="d">
        <v>2007-08-28</v>
      </c>
      <c r="J320" t="s">
        <v>1261</v>
      </c>
      <c r="K320" s="17" t="s">
        <v>184</v>
      </c>
      <c r="L320">
        <v>3</v>
      </c>
    </row>
    <row r="321" spans="1:12" x14ac:dyDescent="0.25">
      <c r="A321" t="s">
        <v>1262</v>
      </c>
      <c r="B321" t="s">
        <v>125</v>
      </c>
      <c r="C321" t="s">
        <v>766</v>
      </c>
      <c r="D321" t="s">
        <v>23</v>
      </c>
      <c r="E321">
        <v>28</v>
      </c>
      <c r="F321" t="s">
        <v>31</v>
      </c>
      <c r="G321" t="s">
        <v>212</v>
      </c>
      <c r="H321" t="s">
        <v>1263</v>
      </c>
      <c r="I321" s="1" t="d">
        <v>2018-04-23</v>
      </c>
      <c r="J321" t="s">
        <v>1264</v>
      </c>
      <c r="K321" s="17" t="s">
        <v>184</v>
      </c>
      <c r="L321">
        <v>2</v>
      </c>
    </row>
    <row r="322" spans="1:12" x14ac:dyDescent="0.25">
      <c r="A322" t="s">
        <v>1265</v>
      </c>
      <c r="B322" t="s">
        <v>134</v>
      </c>
      <c r="C322" t="s">
        <v>1266</v>
      </c>
      <c r="D322" t="s">
        <v>9527</v>
      </c>
      <c r="E322">
        <v>21</v>
      </c>
      <c r="F322" t="s">
        <v>31</v>
      </c>
      <c r="G322" t="s">
        <v>907</v>
      </c>
      <c r="H322" s="2">
        <v>111675</v>
      </c>
      <c r="I322" s="1" t="d">
        <v>2018-09-15</v>
      </c>
      <c r="J322" t="s">
        <v>1267</v>
      </c>
      <c r="K322" s="17" t="s">
        <v>370</v>
      </c>
      <c r="L322">
        <v>5</v>
      </c>
    </row>
    <row r="323" spans="1:12" x14ac:dyDescent="0.25">
      <c r="A323" t="s">
        <v>1268</v>
      </c>
      <c r="B323" t="s">
        <v>914</v>
      </c>
      <c r="C323" t="s">
        <v>1269</v>
      </c>
      <c r="D323" t="s">
        <v>46</v>
      </c>
      <c r="E323">
        <v>40</v>
      </c>
      <c r="F323" t="s">
        <v>38</v>
      </c>
      <c r="G323" t="s">
        <v>88</v>
      </c>
      <c r="H323">
        <v>-62430</v>
      </c>
      <c r="I323" s="1" t="d">
        <v>2020-12-05</v>
      </c>
      <c r="J323" t="s">
        <v>916</v>
      </c>
      <c r="K323" s="17" t="s">
        <v>27</v>
      </c>
      <c r="L323">
        <v>3</v>
      </c>
    </row>
    <row r="324" spans="1:12" x14ac:dyDescent="0.25">
      <c r="A324" t="s">
        <v>1270</v>
      </c>
      <c r="B324" t="s">
        <v>936</v>
      </c>
      <c r="C324" t="s">
        <v>181</v>
      </c>
      <c r="D324" t="s">
        <v>23</v>
      </c>
      <c r="E324">
        <v>43</v>
      </c>
      <c r="F324" t="s">
        <v>559</v>
      </c>
      <c r="G324" t="s">
        <v>191</v>
      </c>
      <c r="H324" t="s">
        <v>1271</v>
      </c>
      <c r="I324" s="1" t="d">
        <v>2024-04-19</v>
      </c>
      <c r="J324" t="s">
        <v>1272</v>
      </c>
      <c r="K324" s="17" t="s">
        <v>370</v>
      </c>
      <c r="L324">
        <v>3</v>
      </c>
    </row>
    <row r="325" spans="1:12" x14ac:dyDescent="0.25">
      <c r="A325" t="s">
        <v>1273</v>
      </c>
      <c r="B325" t="s">
        <v>874</v>
      </c>
      <c r="C325" t="s">
        <v>988</v>
      </c>
      <c r="D325" t="s">
        <v>23</v>
      </c>
      <c r="E325">
        <v>37</v>
      </c>
      <c r="F325" t="s">
        <v>186</v>
      </c>
      <c r="G325" t="s">
        <v>231</v>
      </c>
      <c r="H325" t="s">
        <v>1274</v>
      </c>
      <c r="I325" s="1" t="d">
        <v>2006-11-11</v>
      </c>
      <c r="J325" t="s">
        <v>1275</v>
      </c>
      <c r="K325" s="17" t="s">
        <v>34</v>
      </c>
      <c r="L325">
        <v>4</v>
      </c>
    </row>
    <row r="326" spans="1:12" x14ac:dyDescent="0.25">
      <c r="A326" t="s">
        <v>1276</v>
      </c>
      <c r="B326" t="s">
        <v>139</v>
      </c>
      <c r="C326" t="s">
        <v>453</v>
      </c>
      <c r="D326" t="s">
        <v>23</v>
      </c>
      <c r="E326">
        <v>30</v>
      </c>
      <c r="F326" t="s">
        <v>589</v>
      </c>
      <c r="G326" t="s">
        <v>1277</v>
      </c>
      <c r="I326" s="1" t="d">
        <v>2013-08-05</v>
      </c>
      <c r="J326" t="s">
        <v>1278</v>
      </c>
      <c r="K326" s="17" t="s">
        <v>19</v>
      </c>
      <c r="L326">
        <v>4</v>
      </c>
    </row>
    <row r="327" spans="1:12" x14ac:dyDescent="0.25">
      <c r="A327" t="s">
        <v>1279</v>
      </c>
      <c r="B327" t="s">
        <v>228</v>
      </c>
      <c r="C327" t="s">
        <v>1280</v>
      </c>
      <c r="D327" t="s">
        <v>23</v>
      </c>
      <c r="E327">
        <v>51</v>
      </c>
      <c r="F327" t="s">
        <v>399</v>
      </c>
      <c r="G327" t="s">
        <v>39</v>
      </c>
      <c r="H327" s="2">
        <v>53141</v>
      </c>
      <c r="I327" s="1" t="d">
        <v>2005-05-23</v>
      </c>
      <c r="J327" t="s">
        <v>1281</v>
      </c>
      <c r="K327" s="17" t="s">
        <v>71</v>
      </c>
      <c r="L327">
        <v>3</v>
      </c>
    </row>
    <row r="328" spans="1:12" x14ac:dyDescent="0.25">
      <c r="A328" t="s">
        <v>1282</v>
      </c>
      <c r="B328" t="s">
        <v>130</v>
      </c>
      <c r="C328" t="s">
        <v>37</v>
      </c>
      <c r="D328" t="s">
        <v>23</v>
      </c>
      <c r="E328">
        <v>38</v>
      </c>
      <c r="F328" t="s">
        <v>190</v>
      </c>
      <c r="G328" t="s">
        <v>164</v>
      </c>
      <c r="I328" s="1" t="d">
        <v>2012-05-30</v>
      </c>
      <c r="J328" t="s">
        <v>1283</v>
      </c>
      <c r="K328" s="17" t="s">
        <v>90</v>
      </c>
      <c r="L328">
        <v>2</v>
      </c>
    </row>
    <row r="329" spans="1:12" x14ac:dyDescent="0.25">
      <c r="A329" t="s">
        <v>1284</v>
      </c>
      <c r="B329" t="s">
        <v>789</v>
      </c>
      <c r="C329" t="s">
        <v>286</v>
      </c>
      <c r="D329" t="s">
        <v>23</v>
      </c>
      <c r="E329">
        <v>39</v>
      </c>
      <c r="F329" t="s">
        <v>196</v>
      </c>
      <c r="G329" t="s">
        <v>1285</v>
      </c>
      <c r="H329" t="s">
        <v>1286</v>
      </c>
      <c r="I329" s="1" t="d">
        <v>2011-03-07</v>
      </c>
      <c r="J329" t="s">
        <v>1287</v>
      </c>
      <c r="K329" s="17" t="s">
        <v>207</v>
      </c>
      <c r="L329">
        <v>3</v>
      </c>
    </row>
    <row r="330" spans="1:12" x14ac:dyDescent="0.25">
      <c r="A330" t="s">
        <v>1288</v>
      </c>
      <c r="B330" t="s">
        <v>804</v>
      </c>
      <c r="C330" t="s">
        <v>140</v>
      </c>
      <c r="D330" t="s">
        <v>9527</v>
      </c>
      <c r="E330">
        <v>45</v>
      </c>
      <c r="F330" t="s">
        <v>759</v>
      </c>
      <c r="G330" t="s">
        <v>55</v>
      </c>
      <c r="H330" s="2">
        <v>46074</v>
      </c>
      <c r="I330" s="1" t="d">
        <v>2014-03-03</v>
      </c>
      <c r="J330" t="s">
        <v>1289</v>
      </c>
      <c r="K330" s="17" t="s">
        <v>207</v>
      </c>
      <c r="L330">
        <v>2</v>
      </c>
    </row>
    <row r="331" spans="1:12" x14ac:dyDescent="0.25">
      <c r="A331" t="s">
        <v>1290</v>
      </c>
      <c r="B331" t="s">
        <v>1086</v>
      </c>
      <c r="C331" t="s">
        <v>1291</v>
      </c>
      <c r="D331" t="s">
        <v>9527</v>
      </c>
      <c r="E331">
        <v>43</v>
      </c>
      <c r="F331" t="s">
        <v>532</v>
      </c>
      <c r="G331" t="s">
        <v>69</v>
      </c>
      <c r="H331">
        <v>81920</v>
      </c>
      <c r="I331" s="1" t="d">
        <v>2024-05-26</v>
      </c>
      <c r="J331" t="s">
        <v>1292</v>
      </c>
      <c r="K331" s="17" t="s">
        <v>27</v>
      </c>
      <c r="L331">
        <v>2</v>
      </c>
    </row>
    <row r="332" spans="1:12" x14ac:dyDescent="0.25">
      <c r="A332" t="s">
        <v>1293</v>
      </c>
      <c r="B332" t="s">
        <v>456</v>
      </c>
      <c r="C332" t="s">
        <v>961</v>
      </c>
      <c r="D332" t="s">
        <v>46</v>
      </c>
      <c r="E332">
        <v>37</v>
      </c>
      <c r="F332" t="s">
        <v>24</v>
      </c>
      <c r="G332" t="s">
        <v>212</v>
      </c>
      <c r="I332" s="1" t="d">
        <v>2018-06-03</v>
      </c>
      <c r="J332" t="s">
        <v>963</v>
      </c>
      <c r="K332" s="17" t="s">
        <v>42</v>
      </c>
      <c r="L332">
        <v>3</v>
      </c>
    </row>
    <row r="333" spans="1:12" x14ac:dyDescent="0.25">
      <c r="A333" t="s">
        <v>1294</v>
      </c>
      <c r="B333" t="s">
        <v>221</v>
      </c>
      <c r="C333" t="s">
        <v>1248</v>
      </c>
      <c r="D333" t="s">
        <v>23</v>
      </c>
      <c r="E333">
        <v>35</v>
      </c>
      <c r="F333" t="s">
        <v>1295</v>
      </c>
      <c r="G333" t="s">
        <v>69</v>
      </c>
      <c r="H333" s="2">
        <v>58853</v>
      </c>
      <c r="I333" s="1" t="d">
        <v>2009-10-15</v>
      </c>
      <c r="J333" t="s">
        <v>1296</v>
      </c>
      <c r="K333" s="17" t="s">
        <v>71</v>
      </c>
      <c r="L333">
        <v>2</v>
      </c>
    </row>
    <row r="334" spans="1:12" x14ac:dyDescent="0.25">
      <c r="A334" t="s">
        <v>1297</v>
      </c>
      <c r="B334" t="s">
        <v>36</v>
      </c>
      <c r="C334" t="s">
        <v>1298</v>
      </c>
      <c r="D334" t="s">
        <v>23</v>
      </c>
      <c r="E334">
        <v>41</v>
      </c>
      <c r="F334" t="s">
        <v>146</v>
      </c>
      <c r="G334" t="s">
        <v>39</v>
      </c>
      <c r="H334" s="2">
        <v>109424</v>
      </c>
      <c r="I334" s="1" t="d">
        <v>2012-09-07</v>
      </c>
      <c r="J334" t="s">
        <v>1299</v>
      </c>
      <c r="K334" s="17" t="s">
        <v>50</v>
      </c>
      <c r="L334">
        <v>4</v>
      </c>
    </row>
    <row r="335" spans="1:12" x14ac:dyDescent="0.25">
      <c r="A335" t="s">
        <v>1300</v>
      </c>
      <c r="B335" t="s">
        <v>1301</v>
      </c>
      <c r="C335" t="s">
        <v>1248</v>
      </c>
      <c r="D335" t="s">
        <v>46</v>
      </c>
      <c r="E335">
        <v>21</v>
      </c>
      <c r="F335" t="s">
        <v>422</v>
      </c>
      <c r="G335" t="s">
        <v>217</v>
      </c>
      <c r="H335" s="2">
        <v>105764</v>
      </c>
      <c r="I335" s="1" t="d">
        <v>2010-07-05</v>
      </c>
      <c r="J335" t="s">
        <v>1302</v>
      </c>
      <c r="K335" s="17" t="s">
        <v>370</v>
      </c>
      <c r="L335">
        <v>4</v>
      </c>
    </row>
    <row r="336" spans="1:12" x14ac:dyDescent="0.25">
      <c r="A336" t="s">
        <v>1303</v>
      </c>
      <c r="B336" t="s">
        <v>563</v>
      </c>
      <c r="C336" t="s">
        <v>474</v>
      </c>
      <c r="D336" t="s">
        <v>23</v>
      </c>
      <c r="E336">
        <v>31</v>
      </c>
      <c r="F336" t="s">
        <v>859</v>
      </c>
      <c r="G336" t="s">
        <v>55</v>
      </c>
      <c r="H336">
        <v>59100</v>
      </c>
      <c r="I336" s="1" t="d">
        <v>2006-08-31</v>
      </c>
      <c r="J336" t="s">
        <v>1304</v>
      </c>
      <c r="K336" s="17" t="s">
        <v>370</v>
      </c>
      <c r="L336">
        <v>3</v>
      </c>
    </row>
    <row r="337" spans="1:12" x14ac:dyDescent="0.25">
      <c r="A337" t="s">
        <v>1305</v>
      </c>
      <c r="B337" t="s">
        <v>199</v>
      </c>
      <c r="C337" t="s">
        <v>1306</v>
      </c>
      <c r="D337" t="s">
        <v>23</v>
      </c>
      <c r="E337">
        <v>30</v>
      </c>
      <c r="F337" t="s">
        <v>1307</v>
      </c>
      <c r="G337" t="s">
        <v>115</v>
      </c>
      <c r="H337">
        <v>60466</v>
      </c>
      <c r="I337" s="1" t="d">
        <v>2024-11-08</v>
      </c>
      <c r="J337" t="s">
        <v>1019</v>
      </c>
      <c r="K337" s="17" t="s">
        <v>100</v>
      </c>
      <c r="L337">
        <v>3</v>
      </c>
    </row>
    <row r="338" spans="1:12" x14ac:dyDescent="0.25">
      <c r="A338" t="s">
        <v>1308</v>
      </c>
      <c r="B338" t="s">
        <v>86</v>
      </c>
      <c r="C338" t="s">
        <v>1052</v>
      </c>
      <c r="D338" t="s">
        <v>9527</v>
      </c>
      <c r="E338">
        <v>22</v>
      </c>
      <c r="F338" t="s">
        <v>31</v>
      </c>
      <c r="G338" t="s">
        <v>170</v>
      </c>
      <c r="H338" t="s">
        <v>1309</v>
      </c>
      <c r="I338" s="1" t="d">
        <v>2014-04-13</v>
      </c>
      <c r="J338" t="s">
        <v>1310</v>
      </c>
      <c r="K338" s="17" t="s">
        <v>184</v>
      </c>
      <c r="L338">
        <v>3</v>
      </c>
    </row>
    <row r="339" spans="1:12" x14ac:dyDescent="0.25">
      <c r="A339" t="s">
        <v>1311</v>
      </c>
      <c r="B339" t="s">
        <v>1312</v>
      </c>
      <c r="C339" t="s">
        <v>521</v>
      </c>
      <c r="D339" t="s">
        <v>9527</v>
      </c>
      <c r="E339">
        <v>40</v>
      </c>
      <c r="F339" t="s">
        <v>296</v>
      </c>
      <c r="G339" t="s">
        <v>182</v>
      </c>
      <c r="H339" t="s">
        <v>1313</v>
      </c>
      <c r="I339" s="1" t="d">
        <v>2007-02-01</v>
      </c>
      <c r="J339" t="s">
        <v>1314</v>
      </c>
      <c r="K339" s="17" t="s">
        <v>370</v>
      </c>
      <c r="L339">
        <v>4</v>
      </c>
    </row>
    <row r="340" spans="1:12" x14ac:dyDescent="0.25">
      <c r="A340" t="s">
        <v>1315</v>
      </c>
      <c r="B340" t="s">
        <v>1316</v>
      </c>
      <c r="C340" t="s">
        <v>1317</v>
      </c>
      <c r="D340" t="s">
        <v>23</v>
      </c>
      <c r="E340">
        <v>34</v>
      </c>
      <c r="F340" t="s">
        <v>200</v>
      </c>
      <c r="G340" t="s">
        <v>177</v>
      </c>
      <c r="I340" s="1" t="d">
        <v>2010-11-21</v>
      </c>
      <c r="J340" t="s">
        <v>1318</v>
      </c>
      <c r="K340" s="17" t="s">
        <v>27</v>
      </c>
      <c r="L340">
        <v>3</v>
      </c>
    </row>
    <row r="341" spans="1:12" x14ac:dyDescent="0.25">
      <c r="A341" t="s">
        <v>1319</v>
      </c>
      <c r="B341" t="s">
        <v>157</v>
      </c>
      <c r="C341" t="s">
        <v>1320</v>
      </c>
      <c r="D341" t="s">
        <v>9527</v>
      </c>
      <c r="E341">
        <v>23</v>
      </c>
      <c r="F341" t="s">
        <v>258</v>
      </c>
      <c r="G341" t="s">
        <v>217</v>
      </c>
      <c r="H341">
        <v>74897</v>
      </c>
      <c r="I341" s="1" t="d">
        <v>2015-03-09</v>
      </c>
      <c r="J341" t="s">
        <v>1321</v>
      </c>
      <c r="K341" s="17" t="s">
        <v>27</v>
      </c>
      <c r="L341">
        <v>4</v>
      </c>
    </row>
    <row r="342" spans="1:12" x14ac:dyDescent="0.25">
      <c r="A342" t="s">
        <v>1322</v>
      </c>
      <c r="B342" t="s">
        <v>162</v>
      </c>
      <c r="C342" t="s">
        <v>152</v>
      </c>
      <c r="D342" t="s">
        <v>9527</v>
      </c>
      <c r="E342">
        <v>29</v>
      </c>
      <c r="F342" t="s">
        <v>169</v>
      </c>
      <c r="G342" t="s">
        <v>82</v>
      </c>
      <c r="H342" s="2">
        <v>57119</v>
      </c>
      <c r="I342" s="1" t="d">
        <v>2008-07-28</v>
      </c>
      <c r="J342" t="s">
        <v>1323</v>
      </c>
      <c r="K342" s="17" t="s">
        <v>27</v>
      </c>
      <c r="L342">
        <v>4</v>
      </c>
    </row>
    <row r="343" spans="1:12" x14ac:dyDescent="0.25">
      <c r="A343" t="s">
        <v>1324</v>
      </c>
      <c r="B343" t="s">
        <v>1325</v>
      </c>
      <c r="C343" t="s">
        <v>1326</v>
      </c>
      <c r="D343" t="s">
        <v>23</v>
      </c>
      <c r="E343">
        <v>41</v>
      </c>
      <c r="F343" t="s">
        <v>406</v>
      </c>
      <c r="G343" t="s">
        <v>39</v>
      </c>
      <c r="H343">
        <v>39695</v>
      </c>
      <c r="I343" s="1" t="d">
        <v>2013-03-22</v>
      </c>
      <c r="J343" t="s">
        <v>1327</v>
      </c>
      <c r="K343" s="17" t="s">
        <v>19</v>
      </c>
      <c r="L343">
        <v>3</v>
      </c>
    </row>
    <row r="344" spans="1:12" x14ac:dyDescent="0.25">
      <c r="A344" t="s">
        <v>1328</v>
      </c>
      <c r="B344" t="s">
        <v>1096</v>
      </c>
      <c r="C344" t="s">
        <v>336</v>
      </c>
      <c r="D344" t="s">
        <v>9527</v>
      </c>
      <c r="E344">
        <v>35</v>
      </c>
      <c r="F344" t="s">
        <v>47</v>
      </c>
      <c r="G344" t="s">
        <v>1329</v>
      </c>
      <c r="H344">
        <v>45617</v>
      </c>
      <c r="I344" s="1" t="d">
        <v>2008-01-06</v>
      </c>
      <c r="J344" t="s">
        <v>1330</v>
      </c>
      <c r="K344" s="17" t="s">
        <v>42</v>
      </c>
      <c r="L344">
        <v>3</v>
      </c>
    </row>
    <row r="345" spans="1:12" x14ac:dyDescent="0.25">
      <c r="A345" t="s">
        <v>1331</v>
      </c>
      <c r="B345" t="s">
        <v>199</v>
      </c>
      <c r="C345" t="s">
        <v>1332</v>
      </c>
      <c r="D345" t="s">
        <v>9527</v>
      </c>
      <c r="E345">
        <v>44</v>
      </c>
      <c r="F345" t="s">
        <v>169</v>
      </c>
      <c r="G345" t="s">
        <v>205</v>
      </c>
      <c r="H345">
        <v>64737</v>
      </c>
      <c r="I345" s="1" t="d">
        <v>2015-09-14</v>
      </c>
      <c r="J345" t="s">
        <v>1333</v>
      </c>
      <c r="K345" s="17" t="s">
        <v>58</v>
      </c>
      <c r="L345">
        <v>5</v>
      </c>
    </row>
    <row r="346" spans="1:12" x14ac:dyDescent="0.25">
      <c r="A346" t="s">
        <v>1334</v>
      </c>
      <c r="B346" t="s">
        <v>37</v>
      </c>
      <c r="C346" t="s">
        <v>295</v>
      </c>
      <c r="D346" t="s">
        <v>9527</v>
      </c>
      <c r="E346">
        <v>52</v>
      </c>
      <c r="F346" t="s">
        <v>94</v>
      </c>
      <c r="G346" t="s">
        <v>1164</v>
      </c>
      <c r="H346" s="2">
        <v>112323</v>
      </c>
      <c r="I346" s="1" t="d">
        <v>2018-03-16</v>
      </c>
      <c r="J346" t="s">
        <v>505</v>
      </c>
      <c r="K346" s="17" t="s">
        <v>90</v>
      </c>
      <c r="L346">
        <v>3</v>
      </c>
    </row>
    <row r="347" spans="1:12" x14ac:dyDescent="0.25">
      <c r="A347" t="s">
        <v>1335</v>
      </c>
      <c r="B347" t="s">
        <v>1336</v>
      </c>
      <c r="C347" t="s">
        <v>1337</v>
      </c>
      <c r="D347" t="s">
        <v>23</v>
      </c>
      <c r="E347">
        <v>28</v>
      </c>
      <c r="F347" t="s">
        <v>200</v>
      </c>
      <c r="G347" t="s">
        <v>205</v>
      </c>
      <c r="H347" s="2">
        <v>89767</v>
      </c>
      <c r="I347" s="1" t="d">
        <v>2007-09-27</v>
      </c>
      <c r="J347" t="s">
        <v>1338</v>
      </c>
      <c r="K347" s="17" t="s">
        <v>149</v>
      </c>
      <c r="L347">
        <v>4</v>
      </c>
    </row>
    <row r="348" spans="1:12" x14ac:dyDescent="0.25">
      <c r="A348" t="s">
        <v>1339</v>
      </c>
      <c r="B348" t="s">
        <v>637</v>
      </c>
      <c r="C348" t="s">
        <v>599</v>
      </c>
      <c r="D348" t="s">
        <v>46</v>
      </c>
      <c r="E348">
        <v>27</v>
      </c>
      <c r="F348" t="s">
        <v>974</v>
      </c>
      <c r="G348" t="s">
        <v>278</v>
      </c>
      <c r="I348" s="1" t="d">
        <v>2006-10-17</v>
      </c>
      <c r="J348" t="s">
        <v>1340</v>
      </c>
      <c r="K348" s="17" t="s">
        <v>100</v>
      </c>
      <c r="L348">
        <v>4</v>
      </c>
    </row>
    <row r="349" spans="1:12" x14ac:dyDescent="0.25">
      <c r="A349" t="s">
        <v>1341</v>
      </c>
      <c r="B349" t="s">
        <v>1342</v>
      </c>
      <c r="C349" t="s">
        <v>1343</v>
      </c>
      <c r="D349" t="s">
        <v>23</v>
      </c>
      <c r="E349">
        <v>48</v>
      </c>
      <c r="G349" t="s">
        <v>278</v>
      </c>
      <c r="H349">
        <v>129536</v>
      </c>
      <c r="I349" s="1" t="d">
        <v>2007-10-21</v>
      </c>
      <c r="J349" t="s">
        <v>1344</v>
      </c>
      <c r="K349" s="17" t="s">
        <v>90</v>
      </c>
      <c r="L349">
        <v>1</v>
      </c>
    </row>
    <row r="350" spans="1:12" x14ac:dyDescent="0.25">
      <c r="A350" t="s">
        <v>1345</v>
      </c>
      <c r="B350" t="s">
        <v>1096</v>
      </c>
      <c r="C350" t="s">
        <v>1346</v>
      </c>
      <c r="D350" t="s">
        <v>46</v>
      </c>
      <c r="E350">
        <v>30</v>
      </c>
      <c r="F350" t="s">
        <v>989</v>
      </c>
      <c r="G350" t="s">
        <v>191</v>
      </c>
      <c r="H350" t="s">
        <v>1347</v>
      </c>
      <c r="J350" t="s">
        <v>1348</v>
      </c>
      <c r="K350" s="17" t="s">
        <v>207</v>
      </c>
      <c r="L350">
        <v>3</v>
      </c>
    </row>
    <row r="351" spans="1:12" x14ac:dyDescent="0.25">
      <c r="A351" t="s">
        <v>1349</v>
      </c>
      <c r="B351" t="s">
        <v>1350</v>
      </c>
      <c r="C351" t="s">
        <v>521</v>
      </c>
      <c r="D351" t="s">
        <v>46</v>
      </c>
      <c r="E351">
        <v>44</v>
      </c>
      <c r="F351" t="s">
        <v>264</v>
      </c>
      <c r="G351" t="s">
        <v>191</v>
      </c>
      <c r="H351" s="2">
        <v>87174</v>
      </c>
      <c r="I351" s="1" t="d">
        <v>2007-10-18</v>
      </c>
      <c r="J351" t="s">
        <v>1314</v>
      </c>
      <c r="K351" s="17" t="s">
        <v>19</v>
      </c>
      <c r="L351">
        <v>3</v>
      </c>
    </row>
    <row r="352" spans="1:12" x14ac:dyDescent="0.25">
      <c r="A352" t="s">
        <v>1351</v>
      </c>
      <c r="B352" t="s">
        <v>267</v>
      </c>
      <c r="C352" t="s">
        <v>827</v>
      </c>
      <c r="D352" t="s">
        <v>46</v>
      </c>
      <c r="E352">
        <v>42</v>
      </c>
      <c r="F352" t="s">
        <v>126</v>
      </c>
      <c r="G352" t="s">
        <v>82</v>
      </c>
      <c r="I352" s="1" t="d">
        <v>2021-07-06</v>
      </c>
      <c r="J352" t="s">
        <v>1352</v>
      </c>
      <c r="K352" s="17" t="s">
        <v>184</v>
      </c>
      <c r="L352">
        <v>4</v>
      </c>
    </row>
    <row r="353" spans="1:12" x14ac:dyDescent="0.25">
      <c r="A353" t="s">
        <v>1353</v>
      </c>
      <c r="B353" t="s">
        <v>936</v>
      </c>
      <c r="C353" t="s">
        <v>37</v>
      </c>
      <c r="D353" t="s">
        <v>9527</v>
      </c>
      <c r="E353">
        <v>37</v>
      </c>
      <c r="G353" t="s">
        <v>48</v>
      </c>
      <c r="H353">
        <v>-57039</v>
      </c>
      <c r="J353" t="s">
        <v>1354</v>
      </c>
      <c r="K353" s="17" t="s">
        <v>100</v>
      </c>
      <c r="L353">
        <v>4</v>
      </c>
    </row>
    <row r="354" spans="1:12" x14ac:dyDescent="0.25">
      <c r="A354" t="s">
        <v>1355</v>
      </c>
      <c r="B354" t="s">
        <v>728</v>
      </c>
      <c r="C354" t="s">
        <v>1356</v>
      </c>
      <c r="D354" t="s">
        <v>23</v>
      </c>
      <c r="E354">
        <v>42</v>
      </c>
      <c r="F354" t="s">
        <v>417</v>
      </c>
      <c r="G354" t="s">
        <v>82</v>
      </c>
      <c r="H354" t="s">
        <v>1357</v>
      </c>
      <c r="I354" s="1" t="d">
        <v>2006-03-03</v>
      </c>
      <c r="J354" t="s">
        <v>1358</v>
      </c>
      <c r="K354" s="17" t="s">
        <v>100</v>
      </c>
      <c r="L354">
        <v>5</v>
      </c>
    </row>
    <row r="355" spans="1:12" x14ac:dyDescent="0.25">
      <c r="A355" t="s">
        <v>1359</v>
      </c>
      <c r="B355" t="s">
        <v>999</v>
      </c>
      <c r="C355" t="s">
        <v>1360</v>
      </c>
      <c r="D355" t="s">
        <v>46</v>
      </c>
      <c r="E355">
        <v>33</v>
      </c>
      <c r="F355" t="s">
        <v>186</v>
      </c>
      <c r="G355" t="s">
        <v>55</v>
      </c>
      <c r="H355" t="s">
        <v>1361</v>
      </c>
      <c r="I355" s="1" t="d">
        <v>2014-12-03</v>
      </c>
      <c r="J355" t="s">
        <v>1362</v>
      </c>
      <c r="K355" s="17" t="s">
        <v>100</v>
      </c>
      <c r="L355">
        <v>3</v>
      </c>
    </row>
    <row r="356" spans="1:12" x14ac:dyDescent="0.25">
      <c r="A356" t="s">
        <v>1363</v>
      </c>
      <c r="B356" t="s">
        <v>566</v>
      </c>
      <c r="C356" t="s">
        <v>1364</v>
      </c>
      <c r="D356" t="s">
        <v>46</v>
      </c>
      <c r="E356">
        <v>46</v>
      </c>
      <c r="F356" t="s">
        <v>245</v>
      </c>
      <c r="G356" t="s">
        <v>177</v>
      </c>
      <c r="H356" t="s">
        <v>1365</v>
      </c>
      <c r="I356" s="1" t="d">
        <v>2020-07-22</v>
      </c>
      <c r="J356" t="s">
        <v>1366</v>
      </c>
      <c r="K356" s="17" t="s">
        <v>118</v>
      </c>
      <c r="L356">
        <v>4</v>
      </c>
    </row>
    <row r="357" spans="1:12" x14ac:dyDescent="0.25">
      <c r="A357" t="s">
        <v>1367</v>
      </c>
      <c r="B357" t="s">
        <v>1368</v>
      </c>
      <c r="C357" t="s">
        <v>386</v>
      </c>
      <c r="D357" t="s">
        <v>23</v>
      </c>
      <c r="E357">
        <v>33</v>
      </c>
      <c r="F357" t="s">
        <v>24</v>
      </c>
      <c r="G357" t="s">
        <v>16</v>
      </c>
      <c r="I357" s="1" t="d">
        <v>2009-05-07</v>
      </c>
      <c r="J357" t="s">
        <v>1369</v>
      </c>
      <c r="K357" s="17" t="s">
        <v>118</v>
      </c>
      <c r="L357">
        <v>3</v>
      </c>
    </row>
    <row r="358" spans="1:12" x14ac:dyDescent="0.25">
      <c r="A358" t="s">
        <v>1370</v>
      </c>
      <c r="B358" t="s">
        <v>1371</v>
      </c>
      <c r="C358" t="s">
        <v>1266</v>
      </c>
      <c r="D358" t="s">
        <v>9527</v>
      </c>
      <c r="E358">
        <v>28</v>
      </c>
      <c r="F358" t="s">
        <v>918</v>
      </c>
      <c r="G358" t="s">
        <v>16</v>
      </c>
      <c r="I358" s="1" t="d">
        <v>2019-06-16</v>
      </c>
      <c r="J358" t="s">
        <v>1372</v>
      </c>
      <c r="K358" s="17" t="s">
        <v>50</v>
      </c>
      <c r="L358">
        <v>3</v>
      </c>
    </row>
    <row r="359" spans="1:12" x14ac:dyDescent="0.25">
      <c r="A359" t="s">
        <v>1373</v>
      </c>
      <c r="B359" t="s">
        <v>1374</v>
      </c>
      <c r="C359" t="s">
        <v>970</v>
      </c>
      <c r="D359" t="s">
        <v>46</v>
      </c>
      <c r="E359">
        <v>48</v>
      </c>
      <c r="F359" t="s">
        <v>417</v>
      </c>
      <c r="G359" t="s">
        <v>39</v>
      </c>
      <c r="H359">
        <v>56054</v>
      </c>
      <c r="J359" t="s">
        <v>1375</v>
      </c>
      <c r="K359" s="17" t="s">
        <v>19</v>
      </c>
      <c r="L359">
        <v>4</v>
      </c>
    </row>
    <row r="360" spans="1:12" x14ac:dyDescent="0.25">
      <c r="A360" t="s">
        <v>1376</v>
      </c>
      <c r="B360" t="s">
        <v>456</v>
      </c>
      <c r="C360" t="s">
        <v>1377</v>
      </c>
      <c r="D360" t="s">
        <v>23</v>
      </c>
      <c r="E360">
        <v>52</v>
      </c>
      <c r="F360" t="s">
        <v>169</v>
      </c>
      <c r="G360" t="s">
        <v>1378</v>
      </c>
      <c r="H360" t="s">
        <v>1379</v>
      </c>
      <c r="I360" s="1" t="d">
        <v>2011-08-13</v>
      </c>
      <c r="J360" t="s">
        <v>1380</v>
      </c>
      <c r="K360" s="17" t="s">
        <v>149</v>
      </c>
      <c r="L360">
        <v>3</v>
      </c>
    </row>
    <row r="361" spans="1:12" x14ac:dyDescent="0.25">
      <c r="A361" t="s">
        <v>1381</v>
      </c>
      <c r="B361" t="s">
        <v>1382</v>
      </c>
      <c r="C361" t="s">
        <v>457</v>
      </c>
      <c r="D361" t="s">
        <v>46</v>
      </c>
      <c r="E361">
        <v>21</v>
      </c>
      <c r="F361" t="s">
        <v>296</v>
      </c>
      <c r="G361" t="s">
        <v>177</v>
      </c>
      <c r="H361">
        <v>66115</v>
      </c>
      <c r="I361" s="1" t="d">
        <v>2011-01-14</v>
      </c>
      <c r="J361" t="s">
        <v>279</v>
      </c>
      <c r="K361" s="17" t="s">
        <v>90</v>
      </c>
      <c r="L361">
        <v>4</v>
      </c>
    </row>
    <row r="362" spans="1:12" x14ac:dyDescent="0.25">
      <c r="A362" t="s">
        <v>1383</v>
      </c>
      <c r="B362" t="s">
        <v>1190</v>
      </c>
      <c r="C362" t="s">
        <v>1384</v>
      </c>
      <c r="D362" t="s">
        <v>9527</v>
      </c>
      <c r="E362">
        <v>42</v>
      </c>
      <c r="F362" t="s">
        <v>1385</v>
      </c>
      <c r="G362" t="s">
        <v>458</v>
      </c>
      <c r="H362" t="s">
        <v>1386</v>
      </c>
      <c r="I362" s="1" t="d">
        <v>2005-08-08</v>
      </c>
      <c r="J362" t="s">
        <v>1387</v>
      </c>
      <c r="K362" s="17" t="s">
        <v>149</v>
      </c>
      <c r="L362">
        <v>4</v>
      </c>
    </row>
    <row r="363" spans="1:12" x14ac:dyDescent="0.25">
      <c r="A363" t="s">
        <v>1388</v>
      </c>
      <c r="B363" t="s">
        <v>1096</v>
      </c>
      <c r="C363" t="s">
        <v>295</v>
      </c>
      <c r="D363" t="s">
        <v>9527</v>
      </c>
      <c r="E363">
        <v>29</v>
      </c>
      <c r="F363" t="s">
        <v>62</v>
      </c>
      <c r="G363" t="s">
        <v>231</v>
      </c>
      <c r="H363">
        <v>93717</v>
      </c>
      <c r="I363" s="1" t="d">
        <v>2019-11-07</v>
      </c>
      <c r="J363" t="s">
        <v>1389</v>
      </c>
      <c r="K363" s="17" t="s">
        <v>370</v>
      </c>
      <c r="L363">
        <v>1</v>
      </c>
    </row>
    <row r="364" spans="1:12" x14ac:dyDescent="0.25">
      <c r="A364" t="s">
        <v>1390</v>
      </c>
      <c r="B364" t="s">
        <v>199</v>
      </c>
      <c r="C364" t="s">
        <v>30</v>
      </c>
      <c r="D364" t="s">
        <v>9527</v>
      </c>
      <c r="E364">
        <v>24</v>
      </c>
      <c r="F364" t="s">
        <v>68</v>
      </c>
      <c r="G364" t="s">
        <v>1215</v>
      </c>
      <c r="H364">
        <v>83848</v>
      </c>
      <c r="I364" s="1" t="d">
        <v>2018-12-10</v>
      </c>
      <c r="J364" t="s">
        <v>1391</v>
      </c>
      <c r="K364" s="17" t="s">
        <v>27</v>
      </c>
      <c r="L364">
        <v>5</v>
      </c>
    </row>
    <row r="365" spans="1:12" x14ac:dyDescent="0.25">
      <c r="A365" t="s">
        <v>1392</v>
      </c>
      <c r="B365" t="s">
        <v>684</v>
      </c>
      <c r="C365" t="s">
        <v>512</v>
      </c>
      <c r="D365" t="s">
        <v>23</v>
      </c>
      <c r="E365">
        <v>43</v>
      </c>
      <c r="F365" t="s">
        <v>522</v>
      </c>
      <c r="G365" t="s">
        <v>39</v>
      </c>
      <c r="H365" t="s">
        <v>1393</v>
      </c>
      <c r="I365" s="1" t="d">
        <v>2017-06-13</v>
      </c>
      <c r="J365" t="s">
        <v>1299</v>
      </c>
      <c r="K365" s="17" t="s">
        <v>42</v>
      </c>
      <c r="L365">
        <v>4</v>
      </c>
    </row>
    <row r="366" spans="1:12" x14ac:dyDescent="0.25">
      <c r="A366" t="s">
        <v>1394</v>
      </c>
      <c r="B366" t="s">
        <v>36</v>
      </c>
      <c r="C366" t="s">
        <v>36</v>
      </c>
      <c r="D366" t="s">
        <v>46</v>
      </c>
      <c r="E366">
        <v>38</v>
      </c>
      <c r="F366" t="s">
        <v>417</v>
      </c>
      <c r="G366" t="s">
        <v>351</v>
      </c>
      <c r="H366" s="2">
        <v>52668</v>
      </c>
      <c r="I366" s="1" t="d">
        <v>2007-01-02</v>
      </c>
      <c r="J366" t="s">
        <v>41</v>
      </c>
      <c r="K366" s="17" t="s">
        <v>207</v>
      </c>
      <c r="L366">
        <v>4</v>
      </c>
    </row>
    <row r="367" spans="1:12" x14ac:dyDescent="0.25">
      <c r="A367" t="s">
        <v>1395</v>
      </c>
      <c r="B367" t="s">
        <v>822</v>
      </c>
      <c r="C367" t="s">
        <v>696</v>
      </c>
      <c r="D367" t="s">
        <v>9527</v>
      </c>
      <c r="E367">
        <v>41</v>
      </c>
      <c r="F367" t="s">
        <v>406</v>
      </c>
      <c r="G367" t="s">
        <v>177</v>
      </c>
      <c r="H367" t="s">
        <v>1396</v>
      </c>
      <c r="I367" s="1" t="d">
        <v>2019-10-24</v>
      </c>
      <c r="J367" t="s">
        <v>1397</v>
      </c>
      <c r="K367" s="17" t="s">
        <v>100</v>
      </c>
      <c r="L367">
        <v>4</v>
      </c>
    </row>
    <row r="368" spans="1:12" x14ac:dyDescent="0.25">
      <c r="A368" t="s">
        <v>1398</v>
      </c>
      <c r="B368" t="s">
        <v>1399</v>
      </c>
      <c r="C368" t="s">
        <v>1400</v>
      </c>
      <c r="D368" t="s">
        <v>23</v>
      </c>
      <c r="E368">
        <v>44</v>
      </c>
      <c r="F368" t="s">
        <v>245</v>
      </c>
      <c r="G368" t="s">
        <v>48</v>
      </c>
      <c r="H368" s="2">
        <v>52778</v>
      </c>
      <c r="I368" s="1" t="d">
        <v>2018-03-14</v>
      </c>
      <c r="J368" t="s">
        <v>1401</v>
      </c>
      <c r="K368" s="17" t="s">
        <v>42</v>
      </c>
      <c r="L368">
        <v>1</v>
      </c>
    </row>
    <row r="369" spans="1:12" x14ac:dyDescent="0.25">
      <c r="A369" t="s">
        <v>1402</v>
      </c>
      <c r="B369" t="s">
        <v>1403</v>
      </c>
      <c r="C369" t="s">
        <v>67</v>
      </c>
      <c r="D369" t="s">
        <v>9527</v>
      </c>
      <c r="E369">
        <v>44</v>
      </c>
      <c r="F369" t="s">
        <v>373</v>
      </c>
      <c r="G369" t="s">
        <v>39</v>
      </c>
      <c r="H369">
        <v>81723</v>
      </c>
      <c r="I369" s="1" t="d">
        <v>2009-07-23</v>
      </c>
      <c r="J369" t="s">
        <v>1404</v>
      </c>
      <c r="K369" s="17" t="s">
        <v>118</v>
      </c>
      <c r="L369">
        <v>3</v>
      </c>
    </row>
    <row r="370" spans="1:12" x14ac:dyDescent="0.25">
      <c r="A370" t="s">
        <v>1405</v>
      </c>
      <c r="B370" t="s">
        <v>1002</v>
      </c>
      <c r="C370" t="s">
        <v>152</v>
      </c>
      <c r="D370" t="s">
        <v>9527</v>
      </c>
      <c r="E370">
        <v>28</v>
      </c>
      <c r="F370" t="s">
        <v>365</v>
      </c>
      <c r="G370" t="s">
        <v>217</v>
      </c>
      <c r="H370" t="s">
        <v>1406</v>
      </c>
      <c r="I370" s="1" t="d">
        <v>2008-10-05</v>
      </c>
      <c r="J370" t="s">
        <v>1407</v>
      </c>
      <c r="K370" s="17" t="s">
        <v>71</v>
      </c>
      <c r="L370">
        <v>4</v>
      </c>
    </row>
    <row r="371" spans="1:12" x14ac:dyDescent="0.25">
      <c r="A371" t="s">
        <v>1408</v>
      </c>
      <c r="B371" t="s">
        <v>833</v>
      </c>
      <c r="C371" t="s">
        <v>660</v>
      </c>
      <c r="D371" t="s">
        <v>46</v>
      </c>
      <c r="E371">
        <v>34</v>
      </c>
      <c r="F371" t="s">
        <v>373</v>
      </c>
      <c r="G371" t="s">
        <v>288</v>
      </c>
      <c r="H371" t="s">
        <v>1409</v>
      </c>
      <c r="I371" s="1" t="d">
        <v>2016-04-15</v>
      </c>
      <c r="J371" t="s">
        <v>1410</v>
      </c>
      <c r="K371" s="17" t="s">
        <v>149</v>
      </c>
      <c r="L371">
        <v>3</v>
      </c>
    </row>
    <row r="372" spans="1:12" x14ac:dyDescent="0.25">
      <c r="A372" t="s">
        <v>1411</v>
      </c>
      <c r="B372" t="s">
        <v>789</v>
      </c>
      <c r="C372" t="s">
        <v>291</v>
      </c>
      <c r="D372" t="s">
        <v>9527</v>
      </c>
      <c r="E372">
        <v>48</v>
      </c>
      <c r="F372" t="s">
        <v>190</v>
      </c>
      <c r="G372" t="s">
        <v>115</v>
      </c>
      <c r="H372" t="s">
        <v>1412</v>
      </c>
      <c r="I372" s="1" t="d">
        <v>2015-01-20</v>
      </c>
      <c r="J372" t="s">
        <v>1413</v>
      </c>
      <c r="K372" s="17" t="s">
        <v>184</v>
      </c>
      <c r="L372">
        <v>4</v>
      </c>
    </row>
    <row r="373" spans="1:12" x14ac:dyDescent="0.25">
      <c r="A373" t="s">
        <v>1414</v>
      </c>
      <c r="B373" t="s">
        <v>1415</v>
      </c>
      <c r="C373" t="s">
        <v>483</v>
      </c>
      <c r="D373" t="s">
        <v>9527</v>
      </c>
      <c r="E373">
        <v>37</v>
      </c>
      <c r="F373" t="s">
        <v>522</v>
      </c>
      <c r="G373" t="s">
        <v>159</v>
      </c>
      <c r="H373">
        <v>88286</v>
      </c>
      <c r="I373" s="1" t="d">
        <v>2016-07-15</v>
      </c>
      <c r="J373" t="s">
        <v>1416</v>
      </c>
      <c r="K373" s="17" t="s">
        <v>118</v>
      </c>
      <c r="L373">
        <v>5</v>
      </c>
    </row>
    <row r="374" spans="1:12" x14ac:dyDescent="0.25">
      <c r="A374" t="s">
        <v>1417</v>
      </c>
      <c r="B374" t="s">
        <v>1418</v>
      </c>
      <c r="C374" t="s">
        <v>140</v>
      </c>
      <c r="D374" t="s">
        <v>23</v>
      </c>
      <c r="E374">
        <v>26</v>
      </c>
      <c r="F374" t="s">
        <v>1116</v>
      </c>
      <c r="G374" t="s">
        <v>1133</v>
      </c>
      <c r="H374" t="s">
        <v>1419</v>
      </c>
      <c r="I374" s="1" t="d">
        <v>2015-05-05</v>
      </c>
      <c r="J374" t="s">
        <v>1420</v>
      </c>
      <c r="K374" s="17" t="s">
        <v>19</v>
      </c>
      <c r="L374">
        <v>4</v>
      </c>
    </row>
    <row r="375" spans="1:12" x14ac:dyDescent="0.25">
      <c r="A375" t="s">
        <v>1421</v>
      </c>
      <c r="B375" t="s">
        <v>1422</v>
      </c>
      <c r="C375" t="s">
        <v>215</v>
      </c>
      <c r="D375" t="s">
        <v>23</v>
      </c>
      <c r="E375">
        <v>41</v>
      </c>
      <c r="G375" t="s">
        <v>288</v>
      </c>
      <c r="H375" t="s">
        <v>1423</v>
      </c>
      <c r="I375" s="1" t="d">
        <v>2022-12-30</v>
      </c>
      <c r="J375" t="s">
        <v>1424</v>
      </c>
      <c r="K375" s="17" t="s">
        <v>184</v>
      </c>
      <c r="L375">
        <v>3</v>
      </c>
    </row>
    <row r="376" spans="1:12" x14ac:dyDescent="0.25">
      <c r="A376" t="s">
        <v>1425</v>
      </c>
      <c r="B376" t="s">
        <v>404</v>
      </c>
      <c r="C376" t="s">
        <v>1052</v>
      </c>
      <c r="D376" t="s">
        <v>9527</v>
      </c>
      <c r="E376">
        <v>26</v>
      </c>
      <c r="F376" t="s">
        <v>645</v>
      </c>
      <c r="G376" t="s">
        <v>82</v>
      </c>
      <c r="H376" s="2">
        <v>38907</v>
      </c>
      <c r="I376" s="1" t="d">
        <v>2021-04-30</v>
      </c>
      <c r="J376" t="s">
        <v>1426</v>
      </c>
      <c r="K376" s="17" t="s">
        <v>370</v>
      </c>
      <c r="L376">
        <v>4</v>
      </c>
    </row>
    <row r="377" spans="1:12" x14ac:dyDescent="0.25">
      <c r="A377" t="s">
        <v>1427</v>
      </c>
      <c r="B377" t="s">
        <v>659</v>
      </c>
      <c r="C377" t="s">
        <v>1428</v>
      </c>
      <c r="D377" t="s">
        <v>9527</v>
      </c>
      <c r="E377">
        <v>37</v>
      </c>
      <c r="F377" t="s">
        <v>319</v>
      </c>
      <c r="G377" t="s">
        <v>16</v>
      </c>
      <c r="H377">
        <v>76684</v>
      </c>
      <c r="I377" s="1" t="d">
        <v>2015-08-31</v>
      </c>
      <c r="J377" t="s">
        <v>1429</v>
      </c>
      <c r="K377" s="17" t="s">
        <v>100</v>
      </c>
      <c r="L377">
        <v>4</v>
      </c>
    </row>
    <row r="378" spans="1:12" x14ac:dyDescent="0.25">
      <c r="A378" t="s">
        <v>1430</v>
      </c>
      <c r="B378" t="s">
        <v>228</v>
      </c>
      <c r="C378" t="s">
        <v>830</v>
      </c>
      <c r="D378" t="s">
        <v>46</v>
      </c>
      <c r="E378">
        <v>34</v>
      </c>
      <c r="F378" t="s">
        <v>559</v>
      </c>
      <c r="G378" t="s">
        <v>191</v>
      </c>
      <c r="H378" t="s">
        <v>1431</v>
      </c>
      <c r="I378" s="1" t="d">
        <v>2024-10-25</v>
      </c>
      <c r="J378" t="s">
        <v>831</v>
      </c>
      <c r="K378" s="17" t="s">
        <v>118</v>
      </c>
      <c r="L378">
        <v>1</v>
      </c>
    </row>
    <row r="379" spans="1:12" x14ac:dyDescent="0.25">
      <c r="A379" t="s">
        <v>1432</v>
      </c>
      <c r="B379" t="s">
        <v>659</v>
      </c>
      <c r="C379" t="s">
        <v>1433</v>
      </c>
      <c r="D379" t="s">
        <v>46</v>
      </c>
      <c r="E379">
        <v>29</v>
      </c>
      <c r="F379" t="s">
        <v>186</v>
      </c>
      <c r="G379" t="s">
        <v>115</v>
      </c>
      <c r="H379" s="2">
        <v>95369</v>
      </c>
      <c r="I379" s="1" t="d">
        <v>2013-12-06</v>
      </c>
      <c r="J379" t="s">
        <v>722</v>
      </c>
      <c r="K379" s="17" t="s">
        <v>27</v>
      </c>
      <c r="L379">
        <v>4</v>
      </c>
    </row>
    <row r="380" spans="1:12" x14ac:dyDescent="0.25">
      <c r="A380" t="s">
        <v>1434</v>
      </c>
      <c r="B380" t="s">
        <v>648</v>
      </c>
      <c r="C380" t="s">
        <v>453</v>
      </c>
      <c r="D380" t="s">
        <v>46</v>
      </c>
      <c r="E380">
        <v>39</v>
      </c>
      <c r="F380" t="s">
        <v>216</v>
      </c>
      <c r="G380" t="s">
        <v>39</v>
      </c>
      <c r="H380" s="2">
        <v>56972</v>
      </c>
      <c r="I380" s="1" t="d">
        <v>2013-02-25</v>
      </c>
      <c r="J380" t="s">
        <v>1435</v>
      </c>
      <c r="K380" s="17" t="s">
        <v>100</v>
      </c>
      <c r="L380">
        <v>4</v>
      </c>
    </row>
    <row r="381" spans="1:12" x14ac:dyDescent="0.25">
      <c r="A381" t="s">
        <v>1436</v>
      </c>
      <c r="B381" t="s">
        <v>1437</v>
      </c>
      <c r="C381" t="s">
        <v>145</v>
      </c>
      <c r="D381" t="s">
        <v>23</v>
      </c>
      <c r="E381">
        <v>40</v>
      </c>
      <c r="F381" t="s">
        <v>200</v>
      </c>
      <c r="G381" t="s">
        <v>337</v>
      </c>
      <c r="H381" t="s">
        <v>1438</v>
      </c>
      <c r="I381" s="1" t="d">
        <v>2013-08-18</v>
      </c>
      <c r="J381" t="s">
        <v>1439</v>
      </c>
      <c r="K381" s="17" t="s">
        <v>100</v>
      </c>
      <c r="L381">
        <v>3</v>
      </c>
    </row>
    <row r="382" spans="1:12" x14ac:dyDescent="0.25">
      <c r="A382" t="s">
        <v>1440</v>
      </c>
      <c r="B382" t="s">
        <v>1441</v>
      </c>
      <c r="C382" t="s">
        <v>1442</v>
      </c>
      <c r="D382" t="s">
        <v>46</v>
      </c>
      <c r="E382">
        <v>32</v>
      </c>
      <c r="F382" t="s">
        <v>68</v>
      </c>
      <c r="G382" t="s">
        <v>141</v>
      </c>
      <c r="H382" t="s">
        <v>1443</v>
      </c>
      <c r="I382" s="1" t="d">
        <v>2014-02-14</v>
      </c>
      <c r="J382" t="s">
        <v>1444</v>
      </c>
      <c r="K382" s="17" t="s">
        <v>50</v>
      </c>
      <c r="L382">
        <v>2</v>
      </c>
    </row>
    <row r="383" spans="1:12" x14ac:dyDescent="0.25">
      <c r="A383" t="s">
        <v>1445</v>
      </c>
      <c r="B383" t="s">
        <v>228</v>
      </c>
      <c r="C383" t="s">
        <v>599</v>
      </c>
      <c r="D383" t="s">
        <v>9527</v>
      </c>
      <c r="E383">
        <v>44</v>
      </c>
      <c r="F383" t="s">
        <v>1116</v>
      </c>
      <c r="G383" t="s">
        <v>1446</v>
      </c>
      <c r="H383" t="s">
        <v>1447</v>
      </c>
      <c r="I383" s="1" t="d">
        <v>2024-12-08</v>
      </c>
      <c r="J383" t="s">
        <v>366</v>
      </c>
      <c r="K383" s="17" t="s">
        <v>71</v>
      </c>
      <c r="L383">
        <v>2</v>
      </c>
    </row>
    <row r="384" spans="1:12" x14ac:dyDescent="0.25">
      <c r="A384" t="s">
        <v>1448</v>
      </c>
      <c r="B384" t="s">
        <v>448</v>
      </c>
      <c r="C384" t="s">
        <v>107</v>
      </c>
      <c r="D384" t="s">
        <v>9527</v>
      </c>
      <c r="E384">
        <v>41</v>
      </c>
      <c r="F384" t="s">
        <v>350</v>
      </c>
      <c r="G384" t="s">
        <v>212</v>
      </c>
      <c r="H384" s="2">
        <v>61657</v>
      </c>
      <c r="I384" s="1" t="d">
        <v>2014-04-09</v>
      </c>
      <c r="J384" t="s">
        <v>1449</v>
      </c>
      <c r="K384" s="17" t="s">
        <v>34</v>
      </c>
      <c r="L384">
        <v>4</v>
      </c>
    </row>
    <row r="385" spans="1:12" x14ac:dyDescent="0.25">
      <c r="A385" t="s">
        <v>1450</v>
      </c>
      <c r="B385" t="s">
        <v>410</v>
      </c>
      <c r="C385" t="s">
        <v>966</v>
      </c>
      <c r="D385" t="s">
        <v>23</v>
      </c>
      <c r="E385">
        <v>49</v>
      </c>
      <c r="F385" t="s">
        <v>253</v>
      </c>
      <c r="G385" t="s">
        <v>82</v>
      </c>
      <c r="J385" t="s">
        <v>767</v>
      </c>
      <c r="K385" s="17" t="s">
        <v>19</v>
      </c>
      <c r="L385">
        <v>4</v>
      </c>
    </row>
    <row r="386" spans="1:12" x14ac:dyDescent="0.25">
      <c r="A386" t="s">
        <v>1451</v>
      </c>
      <c r="B386" t="s">
        <v>167</v>
      </c>
      <c r="C386" t="s">
        <v>483</v>
      </c>
      <c r="D386" t="s">
        <v>46</v>
      </c>
      <c r="E386">
        <v>23</v>
      </c>
      <c r="F386" t="s">
        <v>264</v>
      </c>
      <c r="G386" t="s">
        <v>407</v>
      </c>
      <c r="H386" t="s">
        <v>1452</v>
      </c>
      <c r="I386" s="1" t="d">
        <v>2014-06-23</v>
      </c>
      <c r="J386" t="s">
        <v>172</v>
      </c>
      <c r="K386" s="17" t="s">
        <v>100</v>
      </c>
      <c r="L386">
        <v>3</v>
      </c>
    </row>
    <row r="387" spans="1:12" x14ac:dyDescent="0.25">
      <c r="A387" t="s">
        <v>1453</v>
      </c>
      <c r="B387" t="s">
        <v>1162</v>
      </c>
      <c r="C387" t="s">
        <v>809</v>
      </c>
      <c r="D387" t="s">
        <v>23</v>
      </c>
      <c r="E387">
        <v>46</v>
      </c>
      <c r="F387" t="s">
        <v>1116</v>
      </c>
      <c r="G387" t="s">
        <v>177</v>
      </c>
      <c r="I387" s="1" t="d">
        <v>2009-02-25</v>
      </c>
      <c r="J387" t="s">
        <v>374</v>
      </c>
      <c r="K387" s="17" t="s">
        <v>184</v>
      </c>
      <c r="L387">
        <v>5</v>
      </c>
    </row>
    <row r="388" spans="1:12" x14ac:dyDescent="0.25">
      <c r="A388" t="s">
        <v>1454</v>
      </c>
      <c r="B388" t="s">
        <v>563</v>
      </c>
      <c r="C388" t="s">
        <v>729</v>
      </c>
      <c r="D388" t="s">
        <v>46</v>
      </c>
      <c r="E388">
        <v>28</v>
      </c>
      <c r="F388" t="s">
        <v>666</v>
      </c>
      <c r="G388" t="s">
        <v>182</v>
      </c>
      <c r="H388" t="s">
        <v>1455</v>
      </c>
      <c r="I388" s="1" t="d">
        <v>2005-03-08</v>
      </c>
      <c r="J388" t="s">
        <v>1456</v>
      </c>
      <c r="K388" s="17" t="s">
        <v>19</v>
      </c>
      <c r="L388">
        <v>4</v>
      </c>
    </row>
    <row r="389" spans="1:12" x14ac:dyDescent="0.25">
      <c r="A389" t="s">
        <v>1457</v>
      </c>
      <c r="B389" t="s">
        <v>906</v>
      </c>
      <c r="C389" t="s">
        <v>1234</v>
      </c>
      <c r="D389" t="s">
        <v>46</v>
      </c>
      <c r="E389">
        <v>53</v>
      </c>
      <c r="F389" t="s">
        <v>1458</v>
      </c>
      <c r="G389" t="s">
        <v>170</v>
      </c>
      <c r="H389" s="2">
        <v>44095</v>
      </c>
      <c r="I389" s="1" t="d">
        <v>2024-12-28</v>
      </c>
      <c r="J389" t="s">
        <v>909</v>
      </c>
      <c r="K389" s="17" t="s">
        <v>207</v>
      </c>
      <c r="L389">
        <v>3</v>
      </c>
    </row>
    <row r="390" spans="1:12" x14ac:dyDescent="0.25">
      <c r="A390" t="s">
        <v>1459</v>
      </c>
      <c r="B390" t="s">
        <v>79</v>
      </c>
      <c r="C390" t="s">
        <v>1460</v>
      </c>
      <c r="D390" t="s">
        <v>23</v>
      </c>
      <c r="E390">
        <v>46</v>
      </c>
      <c r="F390" t="s">
        <v>94</v>
      </c>
      <c r="G390" t="s">
        <v>48</v>
      </c>
      <c r="H390" t="s">
        <v>1461</v>
      </c>
      <c r="I390" s="1" t="d">
        <v>2009-01-11</v>
      </c>
      <c r="J390" t="s">
        <v>213</v>
      </c>
      <c r="K390" s="17" t="s">
        <v>90</v>
      </c>
      <c r="L390">
        <v>4</v>
      </c>
    </row>
    <row r="391" spans="1:12" x14ac:dyDescent="0.25">
      <c r="A391" t="s">
        <v>1462</v>
      </c>
      <c r="B391" t="s">
        <v>1463</v>
      </c>
      <c r="C391" t="s">
        <v>1248</v>
      </c>
      <c r="D391" t="s">
        <v>46</v>
      </c>
      <c r="E391">
        <v>27</v>
      </c>
      <c r="G391" t="s">
        <v>212</v>
      </c>
      <c r="H391">
        <v>58991</v>
      </c>
      <c r="I391" s="1" t="d">
        <v>2015-07-21</v>
      </c>
      <c r="J391" t="s">
        <v>1299</v>
      </c>
      <c r="K391" s="17" t="s">
        <v>184</v>
      </c>
      <c r="L391">
        <v>2</v>
      </c>
    </row>
    <row r="392" spans="1:12" x14ac:dyDescent="0.25">
      <c r="A392" t="s">
        <v>1464</v>
      </c>
      <c r="B392" t="s">
        <v>906</v>
      </c>
      <c r="C392" t="s">
        <v>599</v>
      </c>
      <c r="D392" t="s">
        <v>9527</v>
      </c>
      <c r="E392">
        <v>39</v>
      </c>
      <c r="F392" t="s">
        <v>971</v>
      </c>
      <c r="G392" t="s">
        <v>69</v>
      </c>
      <c r="H392" t="s">
        <v>1465</v>
      </c>
      <c r="I392" s="1" t="d">
        <v>2017-08-09</v>
      </c>
      <c r="J392" t="s">
        <v>1466</v>
      </c>
      <c r="K392" s="17" t="s">
        <v>50</v>
      </c>
      <c r="L392">
        <v>2</v>
      </c>
    </row>
    <row r="393" spans="1:12" x14ac:dyDescent="0.25">
      <c r="A393" t="s">
        <v>1467</v>
      </c>
      <c r="B393" t="s">
        <v>841</v>
      </c>
      <c r="C393" t="s">
        <v>660</v>
      </c>
      <c r="D393" t="s">
        <v>23</v>
      </c>
      <c r="E393">
        <v>54</v>
      </c>
      <c r="F393" t="s">
        <v>114</v>
      </c>
      <c r="G393" t="s">
        <v>115</v>
      </c>
      <c r="H393" t="s">
        <v>1468</v>
      </c>
      <c r="I393" s="1" t="d">
        <v>2007-11-21</v>
      </c>
      <c r="J393" t="s">
        <v>1469</v>
      </c>
      <c r="K393" s="17" t="s">
        <v>27</v>
      </c>
      <c r="L393">
        <v>2</v>
      </c>
    </row>
    <row r="394" spans="1:12" x14ac:dyDescent="0.25">
      <c r="A394" t="s">
        <v>1470</v>
      </c>
      <c r="B394" t="s">
        <v>1471</v>
      </c>
      <c r="C394" t="s">
        <v>1472</v>
      </c>
      <c r="D394" t="s">
        <v>23</v>
      </c>
      <c r="E394">
        <v>21</v>
      </c>
      <c r="F394" t="s">
        <v>645</v>
      </c>
      <c r="G394" t="s">
        <v>39</v>
      </c>
      <c r="H394" t="s">
        <v>1473</v>
      </c>
      <c r="I394" s="1" t="d">
        <v>2014-10-22</v>
      </c>
      <c r="J394" t="s">
        <v>1474</v>
      </c>
      <c r="K394" s="17" t="s">
        <v>50</v>
      </c>
      <c r="L394">
        <v>2</v>
      </c>
    </row>
    <row r="395" spans="1:12" x14ac:dyDescent="0.25">
      <c r="A395" t="s">
        <v>1475</v>
      </c>
      <c r="B395" t="s">
        <v>1476</v>
      </c>
      <c r="C395" t="s">
        <v>252</v>
      </c>
      <c r="D395" t="s">
        <v>23</v>
      </c>
      <c r="E395">
        <v>25</v>
      </c>
      <c r="G395" t="s">
        <v>842</v>
      </c>
      <c r="H395" s="2">
        <v>103845</v>
      </c>
      <c r="I395" s="1" t="d">
        <v>2008-12-11</v>
      </c>
      <c r="J395" t="s">
        <v>255</v>
      </c>
      <c r="K395" s="17" t="s">
        <v>118</v>
      </c>
      <c r="L395">
        <v>5</v>
      </c>
    </row>
    <row r="396" spans="1:12" x14ac:dyDescent="0.25">
      <c r="A396" t="s">
        <v>1477</v>
      </c>
      <c r="B396" t="s">
        <v>139</v>
      </c>
      <c r="C396" t="s">
        <v>295</v>
      </c>
      <c r="D396" t="s">
        <v>9527</v>
      </c>
      <c r="E396">
        <v>33</v>
      </c>
      <c r="G396" t="s">
        <v>170</v>
      </c>
      <c r="H396">
        <v>88028</v>
      </c>
      <c r="I396" s="1" t="d">
        <v>2019-03-20</v>
      </c>
      <c r="J396" t="s">
        <v>1278</v>
      </c>
      <c r="K396" s="17" t="s">
        <v>184</v>
      </c>
      <c r="L396">
        <v>4</v>
      </c>
    </row>
    <row r="397" spans="1:12" x14ac:dyDescent="0.25">
      <c r="A397" t="s">
        <v>1478</v>
      </c>
      <c r="B397" t="s">
        <v>1479</v>
      </c>
      <c r="C397" t="s">
        <v>898</v>
      </c>
      <c r="D397" t="s">
        <v>23</v>
      </c>
      <c r="E397">
        <v>21</v>
      </c>
      <c r="F397" t="s">
        <v>978</v>
      </c>
      <c r="G397" t="s">
        <v>39</v>
      </c>
      <c r="H397" s="2">
        <v>78310</v>
      </c>
      <c r="I397" s="1" t="d">
        <v>2019-03-13</v>
      </c>
      <c r="J397" t="s">
        <v>1272</v>
      </c>
      <c r="K397" s="17" t="s">
        <v>370</v>
      </c>
      <c r="L397">
        <v>4</v>
      </c>
    </row>
    <row r="398" spans="1:12" x14ac:dyDescent="0.25">
      <c r="A398" t="s">
        <v>1480</v>
      </c>
      <c r="B398" t="s">
        <v>1481</v>
      </c>
      <c r="C398" t="s">
        <v>552</v>
      </c>
      <c r="D398" t="s">
        <v>23</v>
      </c>
      <c r="E398">
        <v>57</v>
      </c>
      <c r="F398" t="s">
        <v>31</v>
      </c>
      <c r="G398" t="s">
        <v>283</v>
      </c>
      <c r="H398" t="s">
        <v>1482</v>
      </c>
      <c r="I398" s="1" t="d">
        <v>2011-01-24</v>
      </c>
      <c r="J398" t="s">
        <v>1483</v>
      </c>
      <c r="K398" s="17" t="s">
        <v>50</v>
      </c>
      <c r="L398">
        <v>4</v>
      </c>
    </row>
    <row r="399" spans="1:12" x14ac:dyDescent="0.25">
      <c r="A399" t="s">
        <v>1484</v>
      </c>
      <c r="B399" t="s">
        <v>134</v>
      </c>
      <c r="C399" t="s">
        <v>830</v>
      </c>
      <c r="D399" t="s">
        <v>23</v>
      </c>
      <c r="E399">
        <v>28</v>
      </c>
      <c r="F399" t="s">
        <v>918</v>
      </c>
      <c r="G399" t="s">
        <v>170</v>
      </c>
      <c r="I399" s="1" t="d">
        <v>2016-06-18</v>
      </c>
      <c r="J399" t="s">
        <v>1485</v>
      </c>
      <c r="K399" s="17" t="s">
        <v>19</v>
      </c>
      <c r="L399">
        <v>3</v>
      </c>
    </row>
    <row r="400" spans="1:12" x14ac:dyDescent="0.25">
      <c r="A400" t="s">
        <v>1486</v>
      </c>
      <c r="B400" t="s">
        <v>21</v>
      </c>
      <c r="C400" t="s">
        <v>1487</v>
      </c>
      <c r="D400" t="s">
        <v>9527</v>
      </c>
      <c r="E400">
        <v>52</v>
      </c>
      <c r="F400" t="s">
        <v>211</v>
      </c>
      <c r="G400" t="s">
        <v>48</v>
      </c>
      <c r="H400" t="s">
        <v>1488</v>
      </c>
      <c r="I400" s="1" t="d">
        <v>2019-12-11</v>
      </c>
      <c r="J400" t="s">
        <v>1489</v>
      </c>
      <c r="K400" s="17" t="s">
        <v>149</v>
      </c>
      <c r="L400">
        <v>3</v>
      </c>
    </row>
    <row r="401" spans="1:12" x14ac:dyDescent="0.25">
      <c r="A401" t="s">
        <v>1490</v>
      </c>
      <c r="B401" t="s">
        <v>1491</v>
      </c>
      <c r="C401" t="s">
        <v>665</v>
      </c>
      <c r="D401" t="s">
        <v>46</v>
      </c>
      <c r="E401">
        <v>24</v>
      </c>
      <c r="F401" t="s">
        <v>859</v>
      </c>
      <c r="G401" t="s">
        <v>88</v>
      </c>
      <c r="H401" s="2">
        <v>62522</v>
      </c>
      <c r="I401" s="1" t="d">
        <v>2024-10-24</v>
      </c>
      <c r="J401" t="s">
        <v>1492</v>
      </c>
      <c r="K401" s="17" t="s">
        <v>34</v>
      </c>
      <c r="L401">
        <v>3</v>
      </c>
    </row>
    <row r="402" spans="1:12" x14ac:dyDescent="0.25">
      <c r="A402" t="s">
        <v>1493</v>
      </c>
      <c r="B402" t="s">
        <v>456</v>
      </c>
      <c r="C402" t="s">
        <v>1494</v>
      </c>
      <c r="D402" t="s">
        <v>46</v>
      </c>
      <c r="E402">
        <v>21</v>
      </c>
      <c r="F402" t="s">
        <v>68</v>
      </c>
      <c r="G402" t="s">
        <v>526</v>
      </c>
      <c r="I402" s="1" t="d">
        <v>2022-11-26</v>
      </c>
      <c r="J402" t="s">
        <v>653</v>
      </c>
      <c r="K402" s="17" t="s">
        <v>58</v>
      </c>
      <c r="L402">
        <v>4</v>
      </c>
    </row>
    <row r="403" spans="1:12" x14ac:dyDescent="0.25">
      <c r="A403" t="s">
        <v>1495</v>
      </c>
      <c r="B403" t="s">
        <v>1154</v>
      </c>
      <c r="C403" t="s">
        <v>145</v>
      </c>
      <c r="D403" t="s">
        <v>46</v>
      </c>
      <c r="E403">
        <v>45</v>
      </c>
      <c r="F403" t="s">
        <v>350</v>
      </c>
      <c r="G403" t="s">
        <v>170</v>
      </c>
      <c r="I403" s="1" t="d">
        <v>2011-02-23</v>
      </c>
      <c r="J403" t="s">
        <v>1439</v>
      </c>
      <c r="K403" s="17" t="s">
        <v>34</v>
      </c>
      <c r="L403">
        <v>4</v>
      </c>
    </row>
    <row r="404" spans="1:12" x14ac:dyDescent="0.25">
      <c r="A404" t="s">
        <v>1496</v>
      </c>
      <c r="B404" t="s">
        <v>311</v>
      </c>
      <c r="C404" t="s">
        <v>1442</v>
      </c>
      <c r="D404" t="s">
        <v>46</v>
      </c>
      <c r="E404">
        <v>37</v>
      </c>
      <c r="F404" t="s">
        <v>38</v>
      </c>
      <c r="G404" t="s">
        <v>170</v>
      </c>
      <c r="H404" s="2">
        <v>57312</v>
      </c>
      <c r="I404" s="1" t="d">
        <v>2022-09-05</v>
      </c>
      <c r="J404" t="s">
        <v>1497</v>
      </c>
      <c r="K404" s="17" t="s">
        <v>149</v>
      </c>
      <c r="L404">
        <v>3</v>
      </c>
    </row>
    <row r="405" spans="1:12" x14ac:dyDescent="0.25">
      <c r="A405" t="s">
        <v>1498</v>
      </c>
      <c r="B405" t="s">
        <v>862</v>
      </c>
      <c r="C405" t="s">
        <v>22</v>
      </c>
      <c r="D405" t="s">
        <v>46</v>
      </c>
      <c r="E405">
        <v>27</v>
      </c>
      <c r="F405" t="s">
        <v>68</v>
      </c>
      <c r="G405" t="s">
        <v>147</v>
      </c>
      <c r="I405" s="1" t="d">
        <v>2019-05-10</v>
      </c>
      <c r="J405" t="s">
        <v>1499</v>
      </c>
      <c r="K405" s="17" t="s">
        <v>58</v>
      </c>
      <c r="L405">
        <v>5</v>
      </c>
    </row>
    <row r="406" spans="1:12" x14ac:dyDescent="0.25">
      <c r="A406" t="s">
        <v>1500</v>
      </c>
      <c r="B406" t="s">
        <v>162</v>
      </c>
      <c r="C406" t="s">
        <v>210</v>
      </c>
      <c r="D406" t="s">
        <v>23</v>
      </c>
      <c r="E406">
        <v>38</v>
      </c>
      <c r="F406" t="s">
        <v>350</v>
      </c>
      <c r="G406" t="s">
        <v>328</v>
      </c>
      <c r="I406" s="1" t="d">
        <v>2013-10-27</v>
      </c>
      <c r="J406" t="s">
        <v>1501</v>
      </c>
      <c r="K406" s="17" t="s">
        <v>27</v>
      </c>
      <c r="L406">
        <v>3</v>
      </c>
    </row>
    <row r="407" spans="1:12" x14ac:dyDescent="0.25">
      <c r="A407" t="s">
        <v>1502</v>
      </c>
      <c r="B407" t="s">
        <v>1503</v>
      </c>
      <c r="C407" t="s">
        <v>263</v>
      </c>
      <c r="D407" t="s">
        <v>46</v>
      </c>
      <c r="E407">
        <v>44</v>
      </c>
      <c r="F407" t="s">
        <v>230</v>
      </c>
      <c r="G407" t="s">
        <v>48</v>
      </c>
      <c r="H407">
        <v>55739</v>
      </c>
      <c r="I407" s="1" t="d">
        <v>2015-03-27</v>
      </c>
      <c r="J407" t="s">
        <v>1504</v>
      </c>
      <c r="K407" s="17" t="s">
        <v>149</v>
      </c>
      <c r="L407">
        <v>3</v>
      </c>
    </row>
    <row r="408" spans="1:12" x14ac:dyDescent="0.25">
      <c r="A408" t="s">
        <v>1505</v>
      </c>
      <c r="B408" t="s">
        <v>162</v>
      </c>
      <c r="C408" t="s">
        <v>204</v>
      </c>
      <c r="D408" t="s">
        <v>23</v>
      </c>
      <c r="E408">
        <v>23</v>
      </c>
      <c r="F408" t="s">
        <v>68</v>
      </c>
      <c r="G408" t="s">
        <v>337</v>
      </c>
      <c r="H408" t="s">
        <v>1506</v>
      </c>
      <c r="I408" s="1" t="d">
        <v>2019-05-29</v>
      </c>
      <c r="J408" t="s">
        <v>1507</v>
      </c>
      <c r="K408" s="17" t="s">
        <v>207</v>
      </c>
      <c r="L408">
        <v>3</v>
      </c>
    </row>
    <row r="409" spans="1:12" x14ac:dyDescent="0.25">
      <c r="A409" t="s">
        <v>1508</v>
      </c>
      <c r="B409" t="s">
        <v>157</v>
      </c>
      <c r="C409" t="s">
        <v>268</v>
      </c>
      <c r="D409" t="s">
        <v>9527</v>
      </c>
      <c r="E409">
        <v>31</v>
      </c>
      <c r="F409" t="s">
        <v>253</v>
      </c>
      <c r="G409" t="s">
        <v>55</v>
      </c>
      <c r="H409" t="s">
        <v>1509</v>
      </c>
      <c r="I409" s="1" t="d">
        <v>2023-01-30</v>
      </c>
      <c r="J409" t="s">
        <v>1510</v>
      </c>
      <c r="K409" s="17" t="s">
        <v>100</v>
      </c>
      <c r="L409">
        <v>3</v>
      </c>
    </row>
    <row r="410" spans="1:12" x14ac:dyDescent="0.25">
      <c r="A410" t="s">
        <v>1511</v>
      </c>
      <c r="B410" t="s">
        <v>1512</v>
      </c>
      <c r="C410" t="s">
        <v>324</v>
      </c>
      <c r="D410" t="s">
        <v>46</v>
      </c>
      <c r="E410">
        <v>22</v>
      </c>
      <c r="F410" t="s">
        <v>153</v>
      </c>
      <c r="G410" t="s">
        <v>39</v>
      </c>
      <c r="H410" t="s">
        <v>1513</v>
      </c>
      <c r="I410" s="1" t="d">
        <v>2020-01-17</v>
      </c>
      <c r="J410" t="s">
        <v>1514</v>
      </c>
      <c r="K410" s="17" t="s">
        <v>149</v>
      </c>
      <c r="L410">
        <v>3</v>
      </c>
    </row>
    <row r="411" spans="1:12" x14ac:dyDescent="0.25">
      <c r="A411" t="s">
        <v>1515</v>
      </c>
      <c r="B411" t="s">
        <v>1516</v>
      </c>
      <c r="C411" t="s">
        <v>1517</v>
      </c>
      <c r="D411" t="s">
        <v>9527</v>
      </c>
      <c r="E411">
        <v>34</v>
      </c>
      <c r="F411" t="s">
        <v>576</v>
      </c>
      <c r="G411" t="s">
        <v>82</v>
      </c>
      <c r="H411">
        <v>90015</v>
      </c>
      <c r="I411" s="1" t="d">
        <v>2012-12-05</v>
      </c>
      <c r="J411" t="s">
        <v>1518</v>
      </c>
      <c r="K411" s="17" t="s">
        <v>184</v>
      </c>
      <c r="L411">
        <v>3</v>
      </c>
    </row>
    <row r="412" spans="1:12" x14ac:dyDescent="0.25">
      <c r="A412" t="s">
        <v>1519</v>
      </c>
      <c r="B412" t="s">
        <v>1172</v>
      </c>
      <c r="C412" t="s">
        <v>1520</v>
      </c>
      <c r="D412" t="s">
        <v>46</v>
      </c>
      <c r="E412">
        <v>44</v>
      </c>
      <c r="G412" t="s">
        <v>115</v>
      </c>
      <c r="H412">
        <v>67257</v>
      </c>
      <c r="I412" s="1" t="d">
        <v>2017-10-13</v>
      </c>
      <c r="J412" t="s">
        <v>1521</v>
      </c>
      <c r="K412" s="17" t="s">
        <v>149</v>
      </c>
      <c r="L412">
        <v>3</v>
      </c>
    </row>
    <row r="413" spans="1:12" x14ac:dyDescent="0.25">
      <c r="A413" t="s">
        <v>1522</v>
      </c>
      <c r="B413" t="s">
        <v>1252</v>
      </c>
      <c r="C413" t="s">
        <v>1523</v>
      </c>
      <c r="D413" t="s">
        <v>23</v>
      </c>
      <c r="E413">
        <v>46</v>
      </c>
      <c r="F413" t="s">
        <v>75</v>
      </c>
      <c r="G413" t="s">
        <v>115</v>
      </c>
      <c r="H413" t="s">
        <v>1524</v>
      </c>
      <c r="I413" s="1" t="d">
        <v>2009-11-12</v>
      </c>
      <c r="J413" t="s">
        <v>1525</v>
      </c>
      <c r="K413" s="17" t="s">
        <v>58</v>
      </c>
      <c r="L413">
        <v>1</v>
      </c>
    </row>
    <row r="414" spans="1:12" x14ac:dyDescent="0.25">
      <c r="A414" t="s">
        <v>1526</v>
      </c>
      <c r="B414" t="s">
        <v>1241</v>
      </c>
      <c r="C414" t="s">
        <v>827</v>
      </c>
      <c r="D414" t="s">
        <v>46</v>
      </c>
      <c r="E414">
        <v>22</v>
      </c>
      <c r="F414" t="s">
        <v>153</v>
      </c>
      <c r="G414" t="s">
        <v>115</v>
      </c>
      <c r="H414" s="2">
        <v>80921</v>
      </c>
      <c r="I414" s="1" t="d">
        <v>2017-03-31</v>
      </c>
      <c r="J414" t="s">
        <v>1527</v>
      </c>
      <c r="K414" s="17" t="s">
        <v>207</v>
      </c>
      <c r="L414">
        <v>4</v>
      </c>
    </row>
    <row r="415" spans="1:12" x14ac:dyDescent="0.25">
      <c r="A415" t="s">
        <v>1528</v>
      </c>
      <c r="B415" t="s">
        <v>102</v>
      </c>
      <c r="C415" t="s">
        <v>67</v>
      </c>
      <c r="D415" t="s">
        <v>46</v>
      </c>
      <c r="E415">
        <v>48</v>
      </c>
      <c r="F415" t="s">
        <v>114</v>
      </c>
      <c r="G415" t="s">
        <v>39</v>
      </c>
      <c r="H415" s="2">
        <v>109713</v>
      </c>
      <c r="I415" s="1" t="d">
        <v>2012-06-25</v>
      </c>
      <c r="J415" t="s">
        <v>1529</v>
      </c>
      <c r="K415" s="17" t="s">
        <v>118</v>
      </c>
      <c r="L415">
        <v>3</v>
      </c>
    </row>
    <row r="416" spans="1:12" x14ac:dyDescent="0.25">
      <c r="A416" t="s">
        <v>1530</v>
      </c>
      <c r="B416" t="s">
        <v>728</v>
      </c>
      <c r="C416" t="s">
        <v>1052</v>
      </c>
      <c r="D416" t="s">
        <v>9527</v>
      </c>
      <c r="E416">
        <v>52</v>
      </c>
      <c r="F416" t="s">
        <v>200</v>
      </c>
      <c r="G416" t="s">
        <v>526</v>
      </c>
      <c r="H416">
        <v>79853</v>
      </c>
      <c r="I416" s="1" t="d">
        <v>2022-05-02</v>
      </c>
      <c r="J416" t="s">
        <v>1208</v>
      </c>
      <c r="K416" s="17" t="s">
        <v>58</v>
      </c>
      <c r="L416">
        <v>2</v>
      </c>
    </row>
    <row r="417" spans="1:12" x14ac:dyDescent="0.25">
      <c r="A417" t="s">
        <v>1531</v>
      </c>
      <c r="B417" t="s">
        <v>833</v>
      </c>
      <c r="C417" t="s">
        <v>488</v>
      </c>
      <c r="D417" t="s">
        <v>46</v>
      </c>
      <c r="E417">
        <v>37</v>
      </c>
      <c r="F417" t="s">
        <v>1532</v>
      </c>
      <c r="G417" t="s">
        <v>127</v>
      </c>
      <c r="H417">
        <v>79100</v>
      </c>
      <c r="I417" s="1" t="d">
        <v>2009-09-07</v>
      </c>
      <c r="J417" t="s">
        <v>1533</v>
      </c>
      <c r="K417" s="17" t="s">
        <v>42</v>
      </c>
      <c r="L417">
        <v>3</v>
      </c>
    </row>
    <row r="418" spans="1:12" x14ac:dyDescent="0.25">
      <c r="A418" t="s">
        <v>1534</v>
      </c>
      <c r="B418" t="s">
        <v>1403</v>
      </c>
      <c r="C418" t="s">
        <v>1030</v>
      </c>
      <c r="D418" t="s">
        <v>9527</v>
      </c>
      <c r="E418">
        <v>38</v>
      </c>
      <c r="F418" t="s">
        <v>522</v>
      </c>
      <c r="G418" t="s">
        <v>907</v>
      </c>
      <c r="H418" t="s">
        <v>1535</v>
      </c>
      <c r="I418" s="1" t="d">
        <v>2006-09-05</v>
      </c>
      <c r="J418" t="s">
        <v>1536</v>
      </c>
      <c r="K418" s="17" t="s">
        <v>90</v>
      </c>
      <c r="L418">
        <v>5</v>
      </c>
    </row>
    <row r="419" spans="1:12" x14ac:dyDescent="0.25">
      <c r="A419" t="s">
        <v>1537</v>
      </c>
      <c r="B419" t="s">
        <v>769</v>
      </c>
      <c r="C419" t="s">
        <v>1538</v>
      </c>
      <c r="D419" t="s">
        <v>9527</v>
      </c>
      <c r="E419">
        <v>45</v>
      </c>
      <c r="F419" t="s">
        <v>296</v>
      </c>
      <c r="G419" t="s">
        <v>500</v>
      </c>
      <c r="H419" s="2">
        <v>86160</v>
      </c>
      <c r="I419" s="1" t="d">
        <v>2009-06-27</v>
      </c>
      <c r="J419" t="s">
        <v>1539</v>
      </c>
      <c r="K419" s="17" t="s">
        <v>149</v>
      </c>
      <c r="L419">
        <v>4</v>
      </c>
    </row>
    <row r="420" spans="1:12" x14ac:dyDescent="0.25">
      <c r="A420" t="s">
        <v>1540</v>
      </c>
      <c r="B420" t="s">
        <v>120</v>
      </c>
      <c r="C420" t="s">
        <v>1442</v>
      </c>
      <c r="D420" t="s">
        <v>46</v>
      </c>
      <c r="E420">
        <v>46</v>
      </c>
      <c r="F420" t="s">
        <v>104</v>
      </c>
      <c r="G420" t="s">
        <v>39</v>
      </c>
      <c r="H420" t="s">
        <v>1541</v>
      </c>
      <c r="I420" s="1" t="d">
        <v>2010-10-05</v>
      </c>
      <c r="J420" t="s">
        <v>1542</v>
      </c>
      <c r="K420" s="17" t="s">
        <v>207</v>
      </c>
      <c r="L420">
        <v>4</v>
      </c>
    </row>
    <row r="421" spans="1:12" x14ac:dyDescent="0.25">
      <c r="A421" t="s">
        <v>1543</v>
      </c>
      <c r="B421" t="s">
        <v>1350</v>
      </c>
      <c r="C421" t="s">
        <v>215</v>
      </c>
      <c r="D421" t="s">
        <v>9527</v>
      </c>
      <c r="E421">
        <v>36</v>
      </c>
      <c r="F421" t="s">
        <v>104</v>
      </c>
      <c r="G421" t="s">
        <v>115</v>
      </c>
      <c r="I421" s="1" t="d">
        <v>2006-12-19</v>
      </c>
      <c r="J421" t="s">
        <v>1544</v>
      </c>
      <c r="K421" s="17" t="s">
        <v>149</v>
      </c>
      <c r="L421">
        <v>3</v>
      </c>
    </row>
    <row r="422" spans="1:12" x14ac:dyDescent="0.25">
      <c r="A422" t="s">
        <v>1545</v>
      </c>
      <c r="B422" t="s">
        <v>52</v>
      </c>
      <c r="C422" t="s">
        <v>395</v>
      </c>
      <c r="D422" t="s">
        <v>46</v>
      </c>
      <c r="E422">
        <v>55</v>
      </c>
      <c r="F422" t="s">
        <v>1546</v>
      </c>
      <c r="G422" t="s">
        <v>504</v>
      </c>
      <c r="H422">
        <v>82696</v>
      </c>
      <c r="I422" s="1" t="d">
        <v>2010-11-01</v>
      </c>
      <c r="J422" t="s">
        <v>1547</v>
      </c>
      <c r="K422" s="17" t="s">
        <v>50</v>
      </c>
      <c r="L422">
        <v>3</v>
      </c>
    </row>
    <row r="423" spans="1:12" x14ac:dyDescent="0.25">
      <c r="A423" t="s">
        <v>1548</v>
      </c>
      <c r="B423" t="s">
        <v>120</v>
      </c>
      <c r="C423" t="s">
        <v>1332</v>
      </c>
      <c r="D423" t="s">
        <v>23</v>
      </c>
      <c r="E423">
        <v>66</v>
      </c>
      <c r="F423" t="s">
        <v>559</v>
      </c>
      <c r="G423" t="s">
        <v>63</v>
      </c>
      <c r="I423" s="1" t="d">
        <v>2013-09-23</v>
      </c>
      <c r="J423" t="s">
        <v>1549</v>
      </c>
      <c r="K423" s="17" t="s">
        <v>90</v>
      </c>
      <c r="L423">
        <v>3</v>
      </c>
    </row>
    <row r="424" spans="1:12" x14ac:dyDescent="0.25">
      <c r="A424" t="s">
        <v>1550</v>
      </c>
      <c r="B424" t="s">
        <v>433</v>
      </c>
      <c r="C424" t="s">
        <v>483</v>
      </c>
      <c r="D424" t="s">
        <v>46</v>
      </c>
      <c r="E424">
        <v>35</v>
      </c>
      <c r="F424" t="s">
        <v>411</v>
      </c>
      <c r="G424" t="s">
        <v>69</v>
      </c>
      <c r="I424" s="1" t="d">
        <v>2010-06-08</v>
      </c>
      <c r="J424" t="s">
        <v>1551</v>
      </c>
      <c r="K424" s="17" t="s">
        <v>34</v>
      </c>
      <c r="L424">
        <v>4</v>
      </c>
    </row>
    <row r="425" spans="1:12" x14ac:dyDescent="0.25">
      <c r="A425" t="s">
        <v>1552</v>
      </c>
      <c r="B425" t="s">
        <v>394</v>
      </c>
      <c r="C425" t="s">
        <v>107</v>
      </c>
      <c r="D425" t="s">
        <v>9527</v>
      </c>
      <c r="E425">
        <v>61</v>
      </c>
      <c r="F425" t="s">
        <v>365</v>
      </c>
      <c r="G425" t="s">
        <v>39</v>
      </c>
      <c r="H425" t="s">
        <v>1553</v>
      </c>
      <c r="I425" s="1" t="d">
        <v>2016-05-10</v>
      </c>
      <c r="J425" t="s">
        <v>1554</v>
      </c>
      <c r="K425" s="17" t="s">
        <v>19</v>
      </c>
      <c r="L425">
        <v>3</v>
      </c>
    </row>
    <row r="426" spans="1:12" x14ac:dyDescent="0.25">
      <c r="A426" t="s">
        <v>1555</v>
      </c>
      <c r="B426" t="s">
        <v>421</v>
      </c>
      <c r="C426" t="s">
        <v>758</v>
      </c>
      <c r="D426" t="s">
        <v>9527</v>
      </c>
      <c r="E426">
        <v>35</v>
      </c>
      <c r="F426" t="s">
        <v>649</v>
      </c>
      <c r="G426" t="s">
        <v>1556</v>
      </c>
      <c r="H426">
        <v>68739</v>
      </c>
      <c r="I426" s="1" t="d">
        <v>2008-06-22</v>
      </c>
      <c r="J426" t="s">
        <v>1557</v>
      </c>
      <c r="K426" s="17" t="s">
        <v>149</v>
      </c>
      <c r="L426">
        <v>2</v>
      </c>
    </row>
    <row r="427" spans="1:12" x14ac:dyDescent="0.25">
      <c r="A427" t="s">
        <v>1558</v>
      </c>
      <c r="B427" t="s">
        <v>248</v>
      </c>
      <c r="C427" t="s">
        <v>512</v>
      </c>
      <c r="D427" t="s">
        <v>46</v>
      </c>
      <c r="E427">
        <v>40</v>
      </c>
      <c r="F427" t="s">
        <v>68</v>
      </c>
      <c r="G427" t="s">
        <v>127</v>
      </c>
      <c r="H427">
        <v>134437</v>
      </c>
      <c r="I427" s="1" t="d">
        <v>2007-10-31</v>
      </c>
      <c r="J427" t="s">
        <v>1559</v>
      </c>
      <c r="K427" s="17" t="s">
        <v>34</v>
      </c>
      <c r="L427">
        <v>4</v>
      </c>
    </row>
    <row r="428" spans="1:12" x14ac:dyDescent="0.25">
      <c r="A428" t="s">
        <v>1560</v>
      </c>
      <c r="B428" t="s">
        <v>1561</v>
      </c>
      <c r="C428" t="s">
        <v>827</v>
      </c>
      <c r="D428" t="s">
        <v>23</v>
      </c>
      <c r="E428">
        <v>51</v>
      </c>
      <c r="F428" t="s">
        <v>411</v>
      </c>
      <c r="G428" t="s">
        <v>283</v>
      </c>
      <c r="H428">
        <v>112174</v>
      </c>
      <c r="I428" s="1" t="d">
        <v>2013-08-28</v>
      </c>
      <c r="J428" t="s">
        <v>1562</v>
      </c>
      <c r="K428" s="17" t="s">
        <v>50</v>
      </c>
      <c r="L428">
        <v>3</v>
      </c>
    </row>
    <row r="429" spans="1:12" x14ac:dyDescent="0.25">
      <c r="A429" t="s">
        <v>1563</v>
      </c>
      <c r="B429" t="s">
        <v>60</v>
      </c>
      <c r="C429" t="s">
        <v>1564</v>
      </c>
      <c r="D429" t="s">
        <v>46</v>
      </c>
      <c r="E429">
        <v>50</v>
      </c>
      <c r="F429" t="s">
        <v>24</v>
      </c>
      <c r="G429" t="s">
        <v>1446</v>
      </c>
      <c r="H429" t="s">
        <v>1565</v>
      </c>
      <c r="I429" s="1" t="d">
        <v>2024-01-14</v>
      </c>
      <c r="J429" t="s">
        <v>1566</v>
      </c>
      <c r="K429" s="17" t="s">
        <v>149</v>
      </c>
      <c r="L429">
        <v>4</v>
      </c>
    </row>
    <row r="430" spans="1:12" x14ac:dyDescent="0.25">
      <c r="A430" t="s">
        <v>1567</v>
      </c>
      <c r="B430" t="s">
        <v>1241</v>
      </c>
      <c r="C430" t="s">
        <v>739</v>
      </c>
      <c r="D430" t="s">
        <v>23</v>
      </c>
      <c r="E430">
        <v>50</v>
      </c>
      <c r="F430" t="s">
        <v>1568</v>
      </c>
      <c r="G430" t="s">
        <v>357</v>
      </c>
      <c r="H430" s="2">
        <v>137511</v>
      </c>
      <c r="I430" s="1" t="d">
        <v>2019-09-25</v>
      </c>
      <c r="J430" t="s">
        <v>1569</v>
      </c>
      <c r="K430" s="17" t="s">
        <v>50</v>
      </c>
      <c r="L430">
        <v>2</v>
      </c>
    </row>
    <row r="431" spans="1:12" x14ac:dyDescent="0.25">
      <c r="A431" t="s">
        <v>1570</v>
      </c>
      <c r="B431" t="s">
        <v>563</v>
      </c>
      <c r="C431" t="s">
        <v>427</v>
      </c>
      <c r="D431" t="s">
        <v>23</v>
      </c>
      <c r="E431">
        <v>33</v>
      </c>
      <c r="F431" t="s">
        <v>1571</v>
      </c>
      <c r="G431" t="s">
        <v>63</v>
      </c>
      <c r="H431" s="2">
        <v>999999</v>
      </c>
      <c r="I431" s="1" t="d">
        <v>2005-05-27</v>
      </c>
      <c r="J431" t="s">
        <v>1572</v>
      </c>
      <c r="K431" s="17" t="s">
        <v>100</v>
      </c>
      <c r="L431">
        <v>1</v>
      </c>
    </row>
    <row r="432" spans="1:12" x14ac:dyDescent="0.25">
      <c r="A432" t="s">
        <v>1573</v>
      </c>
      <c r="B432" t="s">
        <v>251</v>
      </c>
      <c r="C432" t="s">
        <v>204</v>
      </c>
      <c r="D432" t="s">
        <v>46</v>
      </c>
      <c r="E432">
        <v>25</v>
      </c>
      <c r="F432" t="s">
        <v>186</v>
      </c>
      <c r="G432" t="s">
        <v>328</v>
      </c>
      <c r="H432" s="2">
        <v>77101</v>
      </c>
      <c r="I432" s="1" t="d">
        <v>2010-03-22</v>
      </c>
      <c r="J432" t="s">
        <v>1574</v>
      </c>
      <c r="K432" s="17" t="s">
        <v>370</v>
      </c>
      <c r="L432">
        <v>5</v>
      </c>
    </row>
    <row r="433" spans="1:12" x14ac:dyDescent="0.25">
      <c r="A433" t="s">
        <v>1575</v>
      </c>
      <c r="B433" t="s">
        <v>1503</v>
      </c>
      <c r="C433" t="s">
        <v>1576</v>
      </c>
      <c r="D433" t="s">
        <v>23</v>
      </c>
      <c r="E433">
        <v>51</v>
      </c>
      <c r="F433" t="s">
        <v>146</v>
      </c>
      <c r="G433" t="s">
        <v>191</v>
      </c>
      <c r="H433" t="s">
        <v>1577</v>
      </c>
      <c r="I433" s="1" t="d">
        <v>2006-01-20</v>
      </c>
      <c r="J433" t="s">
        <v>1578</v>
      </c>
      <c r="K433" s="17" t="s">
        <v>100</v>
      </c>
      <c r="L433">
        <v>4</v>
      </c>
    </row>
    <row r="434" spans="1:12" x14ac:dyDescent="0.25">
      <c r="A434" t="s">
        <v>1579</v>
      </c>
      <c r="B434" t="s">
        <v>846</v>
      </c>
      <c r="C434" t="s">
        <v>416</v>
      </c>
      <c r="D434" t="s">
        <v>9527</v>
      </c>
      <c r="E434">
        <v>36</v>
      </c>
      <c r="F434" t="s">
        <v>422</v>
      </c>
      <c r="G434" t="s">
        <v>996</v>
      </c>
      <c r="H434" t="s">
        <v>962</v>
      </c>
      <c r="J434" t="s">
        <v>1580</v>
      </c>
      <c r="K434" s="17" t="s">
        <v>42</v>
      </c>
      <c r="L434">
        <v>3</v>
      </c>
    </row>
    <row r="435" spans="1:12" x14ac:dyDescent="0.25">
      <c r="A435" t="s">
        <v>1581</v>
      </c>
      <c r="B435" t="s">
        <v>583</v>
      </c>
      <c r="C435" t="s">
        <v>291</v>
      </c>
      <c r="D435" t="s">
        <v>23</v>
      </c>
      <c r="E435">
        <v>21</v>
      </c>
      <c r="F435" t="s">
        <v>264</v>
      </c>
      <c r="G435" t="s">
        <v>16</v>
      </c>
      <c r="I435" s="1" t="d">
        <v>2013-05-03</v>
      </c>
      <c r="J435" t="s">
        <v>1582</v>
      </c>
      <c r="K435" s="17" t="s">
        <v>100</v>
      </c>
      <c r="L435">
        <v>2</v>
      </c>
    </row>
    <row r="436" spans="1:12" x14ac:dyDescent="0.25">
      <c r="A436" t="s">
        <v>1583</v>
      </c>
      <c r="B436" t="s">
        <v>594</v>
      </c>
      <c r="C436" t="s">
        <v>318</v>
      </c>
      <c r="D436" t="s">
        <v>9527</v>
      </c>
      <c r="E436">
        <v>51</v>
      </c>
      <c r="F436" t="s">
        <v>81</v>
      </c>
      <c r="G436" t="s">
        <v>1584</v>
      </c>
      <c r="H436">
        <v>45308</v>
      </c>
      <c r="I436" s="1" t="d">
        <v>2009-05-03</v>
      </c>
      <c r="J436" t="s">
        <v>1585</v>
      </c>
      <c r="K436" s="17" t="s">
        <v>71</v>
      </c>
      <c r="L436">
        <v>3</v>
      </c>
    </row>
    <row r="437" spans="1:12" x14ac:dyDescent="0.25">
      <c r="A437" t="s">
        <v>1586</v>
      </c>
      <c r="B437" t="s">
        <v>945</v>
      </c>
      <c r="C437" t="s">
        <v>1587</v>
      </c>
      <c r="D437" t="s">
        <v>46</v>
      </c>
      <c r="E437">
        <v>44</v>
      </c>
      <c r="F437" t="s">
        <v>54</v>
      </c>
      <c r="G437" t="s">
        <v>1277</v>
      </c>
      <c r="I437" s="1" t="d">
        <v>2023-04-19</v>
      </c>
      <c r="J437" t="s">
        <v>1588</v>
      </c>
      <c r="K437" s="17" t="s">
        <v>58</v>
      </c>
      <c r="L437">
        <v>3</v>
      </c>
    </row>
    <row r="438" spans="1:12" x14ac:dyDescent="0.25">
      <c r="A438" t="s">
        <v>1589</v>
      </c>
      <c r="B438" t="s">
        <v>1561</v>
      </c>
      <c r="C438" t="s">
        <v>195</v>
      </c>
      <c r="D438" t="s">
        <v>23</v>
      </c>
      <c r="E438">
        <v>37</v>
      </c>
      <c r="F438" t="s">
        <v>1590</v>
      </c>
      <c r="G438" t="s">
        <v>217</v>
      </c>
      <c r="I438" s="1" t="d">
        <v>2021-02-13</v>
      </c>
      <c r="J438" t="s">
        <v>1591</v>
      </c>
      <c r="K438" s="17" t="s">
        <v>71</v>
      </c>
      <c r="L438">
        <v>3</v>
      </c>
    </row>
    <row r="439" spans="1:12" x14ac:dyDescent="0.25">
      <c r="A439" t="s">
        <v>1592</v>
      </c>
      <c r="B439" t="s">
        <v>66</v>
      </c>
      <c r="C439" t="s">
        <v>696</v>
      </c>
      <c r="D439" t="s">
        <v>9527</v>
      </c>
      <c r="E439">
        <v>49</v>
      </c>
      <c r="F439" t="s">
        <v>422</v>
      </c>
      <c r="G439" t="s">
        <v>32</v>
      </c>
      <c r="H439" t="s">
        <v>1593</v>
      </c>
      <c r="I439" s="1" t="d">
        <v>2021-03-25</v>
      </c>
      <c r="J439" t="s">
        <v>1547</v>
      </c>
      <c r="K439" s="17" t="s">
        <v>34</v>
      </c>
      <c r="L439">
        <v>3</v>
      </c>
    </row>
    <row r="440" spans="1:12" x14ac:dyDescent="0.25">
      <c r="A440" t="s">
        <v>1594</v>
      </c>
      <c r="B440" t="s">
        <v>1064</v>
      </c>
      <c r="C440" t="s">
        <v>204</v>
      </c>
      <c r="D440" t="s">
        <v>9527</v>
      </c>
      <c r="E440">
        <v>27</v>
      </c>
      <c r="F440" t="s">
        <v>216</v>
      </c>
      <c r="G440" t="s">
        <v>351</v>
      </c>
      <c r="H440" s="2">
        <v>49525</v>
      </c>
      <c r="I440" s="1" t="d">
        <v>2006-05-07</v>
      </c>
      <c r="J440" t="s">
        <v>1595</v>
      </c>
      <c r="K440" s="17" t="s">
        <v>90</v>
      </c>
      <c r="L440">
        <v>5</v>
      </c>
    </row>
    <row r="441" spans="1:12" x14ac:dyDescent="0.25">
      <c r="A441" t="s">
        <v>1596</v>
      </c>
      <c r="B441" t="s">
        <v>664</v>
      </c>
      <c r="C441" t="s">
        <v>181</v>
      </c>
      <c r="D441" t="s">
        <v>9527</v>
      </c>
      <c r="E441">
        <v>31</v>
      </c>
      <c r="F441" t="s">
        <v>422</v>
      </c>
      <c r="G441" t="s">
        <v>504</v>
      </c>
      <c r="H441">
        <v>65126</v>
      </c>
      <c r="I441" s="1" t="d">
        <v>2024-05-17</v>
      </c>
      <c r="J441" t="s">
        <v>1597</v>
      </c>
      <c r="K441" s="17" t="s">
        <v>71</v>
      </c>
      <c r="L441">
        <v>3</v>
      </c>
    </row>
    <row r="442" spans="1:12" x14ac:dyDescent="0.25">
      <c r="A442" t="s">
        <v>1598</v>
      </c>
      <c r="B442" t="s">
        <v>874</v>
      </c>
      <c r="C442" t="s">
        <v>715</v>
      </c>
      <c r="D442" t="s">
        <v>46</v>
      </c>
      <c r="E442">
        <v>25</v>
      </c>
      <c r="F442" t="s">
        <v>31</v>
      </c>
      <c r="G442" t="s">
        <v>48</v>
      </c>
      <c r="H442" s="2">
        <v>40359</v>
      </c>
      <c r="I442" s="1" t="d">
        <v>2013-02-03</v>
      </c>
      <c r="J442" t="s">
        <v>899</v>
      </c>
      <c r="K442" s="17" t="s">
        <v>118</v>
      </c>
      <c r="L442">
        <v>3</v>
      </c>
    </row>
    <row r="443" spans="1:12" x14ac:dyDescent="0.25">
      <c r="A443" t="s">
        <v>1599</v>
      </c>
      <c r="B443" t="s">
        <v>1371</v>
      </c>
      <c r="C443" t="s">
        <v>204</v>
      </c>
      <c r="D443" t="s">
        <v>9527</v>
      </c>
      <c r="E443">
        <v>45</v>
      </c>
      <c r="F443" t="s">
        <v>47</v>
      </c>
      <c r="G443" t="s">
        <v>177</v>
      </c>
      <c r="H443" t="s">
        <v>1600</v>
      </c>
      <c r="I443" s="1" t="d">
        <v>2016-12-24</v>
      </c>
      <c r="J443" t="s">
        <v>1601</v>
      </c>
      <c r="K443" s="17" t="s">
        <v>58</v>
      </c>
      <c r="L443">
        <v>5</v>
      </c>
    </row>
    <row r="444" spans="1:12" x14ac:dyDescent="0.25">
      <c r="A444" t="s">
        <v>1602</v>
      </c>
      <c r="B444" t="s">
        <v>709</v>
      </c>
      <c r="C444" t="s">
        <v>599</v>
      </c>
      <c r="D444" t="s">
        <v>23</v>
      </c>
      <c r="E444">
        <v>37</v>
      </c>
      <c r="F444" t="s">
        <v>269</v>
      </c>
      <c r="G444" t="s">
        <v>55</v>
      </c>
      <c r="H444" s="2">
        <v>42310</v>
      </c>
      <c r="I444" s="1" t="d">
        <v>2013-04-27</v>
      </c>
      <c r="J444" t="s">
        <v>1603</v>
      </c>
      <c r="K444" s="17" t="s">
        <v>71</v>
      </c>
      <c r="L444">
        <v>4</v>
      </c>
    </row>
    <row r="445" spans="1:12" x14ac:dyDescent="0.25">
      <c r="A445" t="s">
        <v>1604</v>
      </c>
      <c r="B445" t="s">
        <v>1605</v>
      </c>
      <c r="C445" t="s">
        <v>898</v>
      </c>
      <c r="D445" t="s">
        <v>9527</v>
      </c>
      <c r="E445">
        <v>29</v>
      </c>
      <c r="G445" t="s">
        <v>82</v>
      </c>
      <c r="H445" s="2">
        <v>80030</v>
      </c>
      <c r="I445" s="1" t="d">
        <v>2021-09-01</v>
      </c>
      <c r="J445" t="s">
        <v>1606</v>
      </c>
      <c r="K445" s="17" t="s">
        <v>370</v>
      </c>
      <c r="L445">
        <v>3</v>
      </c>
    </row>
    <row r="446" spans="1:12" x14ac:dyDescent="0.25">
      <c r="A446" t="s">
        <v>1607</v>
      </c>
      <c r="B446" t="s">
        <v>906</v>
      </c>
      <c r="C446" t="s">
        <v>1608</v>
      </c>
      <c r="D446" t="s">
        <v>9527</v>
      </c>
      <c r="E446">
        <v>39</v>
      </c>
      <c r="F446" t="s">
        <v>356</v>
      </c>
      <c r="G446" t="s">
        <v>69</v>
      </c>
      <c r="H446">
        <v>98956</v>
      </c>
      <c r="I446" s="1" t="d">
        <v>2005-08-12</v>
      </c>
      <c r="J446" t="s">
        <v>1609</v>
      </c>
      <c r="K446" s="17" t="s">
        <v>19</v>
      </c>
      <c r="L446">
        <v>2</v>
      </c>
    </row>
    <row r="447" spans="1:12" x14ac:dyDescent="0.25">
      <c r="A447" t="s">
        <v>1610</v>
      </c>
      <c r="B447" t="s">
        <v>841</v>
      </c>
      <c r="C447" t="s">
        <v>229</v>
      </c>
      <c r="D447" t="s">
        <v>9527</v>
      </c>
      <c r="E447">
        <v>37</v>
      </c>
      <c r="F447" t="s">
        <v>859</v>
      </c>
      <c r="G447" t="s">
        <v>82</v>
      </c>
      <c r="H447">
        <v>63034</v>
      </c>
      <c r="I447" s="1" t="d">
        <v>2021-01-20</v>
      </c>
      <c r="J447" t="s">
        <v>968</v>
      </c>
      <c r="K447" s="17" t="s">
        <v>118</v>
      </c>
      <c r="L447">
        <v>4</v>
      </c>
    </row>
    <row r="448" spans="1:12" x14ac:dyDescent="0.25">
      <c r="A448" t="s">
        <v>1611</v>
      </c>
      <c r="B448" t="s">
        <v>281</v>
      </c>
      <c r="C448" t="s">
        <v>457</v>
      </c>
      <c r="D448" t="s">
        <v>46</v>
      </c>
      <c r="E448">
        <v>28</v>
      </c>
      <c r="F448" t="s">
        <v>54</v>
      </c>
      <c r="G448" t="s">
        <v>88</v>
      </c>
      <c r="H448" t="s">
        <v>1612</v>
      </c>
      <c r="I448" s="1" t="d">
        <v>2024-08-06</v>
      </c>
      <c r="J448" t="s">
        <v>1613</v>
      </c>
      <c r="K448" s="17" t="s">
        <v>58</v>
      </c>
      <c r="L448">
        <v>3</v>
      </c>
    </row>
    <row r="449" spans="1:12" x14ac:dyDescent="0.25">
      <c r="A449" t="s">
        <v>1614</v>
      </c>
      <c r="B449" t="s">
        <v>355</v>
      </c>
      <c r="C449" t="s">
        <v>158</v>
      </c>
      <c r="D449" t="s">
        <v>23</v>
      </c>
      <c r="E449">
        <v>31</v>
      </c>
      <c r="F449" t="s">
        <v>319</v>
      </c>
      <c r="G449" t="s">
        <v>82</v>
      </c>
      <c r="H449" t="s">
        <v>1615</v>
      </c>
      <c r="I449" s="1" t="d">
        <v>2021-09-20</v>
      </c>
      <c r="J449" t="s">
        <v>622</v>
      </c>
      <c r="K449" s="17" t="s">
        <v>100</v>
      </c>
      <c r="L449">
        <v>4</v>
      </c>
    </row>
    <row r="450" spans="1:12" x14ac:dyDescent="0.25">
      <c r="A450" t="s">
        <v>1616</v>
      </c>
      <c r="B450" t="s">
        <v>323</v>
      </c>
      <c r="C450" t="s">
        <v>851</v>
      </c>
      <c r="D450" t="s">
        <v>46</v>
      </c>
      <c r="E450">
        <v>37</v>
      </c>
      <c r="F450" t="s">
        <v>245</v>
      </c>
      <c r="G450" t="s">
        <v>177</v>
      </c>
      <c r="I450" s="1" t="d">
        <v>2006-11-19</v>
      </c>
      <c r="J450" t="s">
        <v>325</v>
      </c>
      <c r="K450" s="17" t="s">
        <v>118</v>
      </c>
      <c r="L450">
        <v>3</v>
      </c>
    </row>
    <row r="451" spans="1:12" x14ac:dyDescent="0.25">
      <c r="A451" t="s">
        <v>1617</v>
      </c>
      <c r="B451" t="s">
        <v>670</v>
      </c>
      <c r="C451" t="s">
        <v>521</v>
      </c>
      <c r="D451" t="s">
        <v>46</v>
      </c>
      <c r="E451">
        <v>37</v>
      </c>
      <c r="F451" t="s">
        <v>406</v>
      </c>
      <c r="G451" t="s">
        <v>141</v>
      </c>
      <c r="H451" t="s">
        <v>1618</v>
      </c>
      <c r="I451" s="1" t="d">
        <v>2024-02-08</v>
      </c>
      <c r="J451" t="s">
        <v>1619</v>
      </c>
      <c r="K451" s="17" t="s">
        <v>42</v>
      </c>
      <c r="L451">
        <v>4</v>
      </c>
    </row>
    <row r="452" spans="1:12" x14ac:dyDescent="0.25">
      <c r="A452" t="s">
        <v>1620</v>
      </c>
      <c r="B452" t="s">
        <v>151</v>
      </c>
      <c r="C452" t="s">
        <v>624</v>
      </c>
      <c r="D452" t="s">
        <v>46</v>
      </c>
      <c r="E452">
        <v>26</v>
      </c>
      <c r="F452" t="s">
        <v>62</v>
      </c>
      <c r="G452" t="s">
        <v>458</v>
      </c>
      <c r="H452" s="2">
        <v>81505</v>
      </c>
      <c r="I452" s="1" t="d">
        <v>2017-04-03</v>
      </c>
      <c r="J452" t="s">
        <v>96</v>
      </c>
      <c r="K452" s="17" t="s">
        <v>184</v>
      </c>
      <c r="L452">
        <v>2</v>
      </c>
    </row>
    <row r="453" spans="1:12" x14ac:dyDescent="0.25">
      <c r="A453" t="s">
        <v>1621</v>
      </c>
      <c r="B453" t="s">
        <v>594</v>
      </c>
      <c r="C453" t="s">
        <v>1622</v>
      </c>
      <c r="D453" t="s">
        <v>23</v>
      </c>
      <c r="E453">
        <v>42</v>
      </c>
      <c r="F453" t="s">
        <v>559</v>
      </c>
      <c r="G453" t="s">
        <v>357</v>
      </c>
      <c r="H453" s="2">
        <v>113306</v>
      </c>
      <c r="I453" s="1" t="d">
        <v>2019-04-04</v>
      </c>
      <c r="J453" t="s">
        <v>1623</v>
      </c>
      <c r="K453" s="17" t="s">
        <v>149</v>
      </c>
      <c r="L453">
        <v>3</v>
      </c>
    </row>
    <row r="454" spans="1:12" x14ac:dyDescent="0.25">
      <c r="A454" t="s">
        <v>1624</v>
      </c>
      <c r="B454" t="s">
        <v>52</v>
      </c>
      <c r="C454" t="s">
        <v>427</v>
      </c>
      <c r="D454" t="s">
        <v>9527</v>
      </c>
      <c r="E454">
        <v>31</v>
      </c>
      <c r="F454" t="s">
        <v>108</v>
      </c>
      <c r="G454" t="s">
        <v>170</v>
      </c>
      <c r="H454">
        <v>80749</v>
      </c>
      <c r="I454" s="1" t="d">
        <v>2008-01-21</v>
      </c>
      <c r="J454" t="s">
        <v>1625</v>
      </c>
      <c r="K454" s="17" t="s">
        <v>34</v>
      </c>
      <c r="L454">
        <v>1</v>
      </c>
    </row>
    <row r="455" spans="1:12" x14ac:dyDescent="0.25">
      <c r="A455" t="s">
        <v>1626</v>
      </c>
      <c r="B455" t="s">
        <v>1627</v>
      </c>
      <c r="C455" t="s">
        <v>244</v>
      </c>
      <c r="D455" t="s">
        <v>46</v>
      </c>
      <c r="E455">
        <v>29</v>
      </c>
      <c r="F455" t="s">
        <v>216</v>
      </c>
      <c r="G455" t="s">
        <v>586</v>
      </c>
      <c r="H455">
        <v>92766</v>
      </c>
      <c r="I455" s="1" t="d">
        <v>2016-09-30</v>
      </c>
      <c r="J455" t="s">
        <v>1628</v>
      </c>
      <c r="K455" s="17" t="s">
        <v>184</v>
      </c>
      <c r="L455">
        <v>4</v>
      </c>
    </row>
    <row r="456" spans="1:12" x14ac:dyDescent="0.25">
      <c r="A456" t="s">
        <v>1629</v>
      </c>
      <c r="B456" t="s">
        <v>209</v>
      </c>
      <c r="C456" t="s">
        <v>1630</v>
      </c>
      <c r="D456" t="s">
        <v>23</v>
      </c>
      <c r="E456">
        <v>41</v>
      </c>
      <c r="F456" t="s">
        <v>216</v>
      </c>
      <c r="G456" t="s">
        <v>48</v>
      </c>
      <c r="H456" t="s">
        <v>1631</v>
      </c>
      <c r="I456" s="1" t="d">
        <v>2020-11-07</v>
      </c>
      <c r="J456" t="s">
        <v>756</v>
      </c>
      <c r="K456" s="17" t="s">
        <v>50</v>
      </c>
      <c r="L456">
        <v>4</v>
      </c>
    </row>
    <row r="457" spans="1:12" x14ac:dyDescent="0.25">
      <c r="A457" t="s">
        <v>1632</v>
      </c>
      <c r="B457" t="s">
        <v>433</v>
      </c>
      <c r="C457" t="s">
        <v>210</v>
      </c>
      <c r="D457" t="s">
        <v>9527</v>
      </c>
      <c r="E457">
        <v>31</v>
      </c>
      <c r="F457" t="s">
        <v>645</v>
      </c>
      <c r="G457" t="s">
        <v>82</v>
      </c>
      <c r="H457" s="2">
        <v>44379</v>
      </c>
      <c r="I457" s="1" t="d">
        <v>2014-05-08</v>
      </c>
      <c r="J457" t="s">
        <v>1633</v>
      </c>
      <c r="K457" s="17" t="s">
        <v>100</v>
      </c>
      <c r="L457">
        <v>3</v>
      </c>
    </row>
    <row r="458" spans="1:12" x14ac:dyDescent="0.25">
      <c r="A458" t="s">
        <v>1634</v>
      </c>
      <c r="B458" t="s">
        <v>467</v>
      </c>
      <c r="C458" t="s">
        <v>1635</v>
      </c>
      <c r="D458" t="s">
        <v>46</v>
      </c>
      <c r="E458">
        <v>33</v>
      </c>
      <c r="F458" t="s">
        <v>200</v>
      </c>
      <c r="G458" t="s">
        <v>16</v>
      </c>
      <c r="H458" t="s">
        <v>1636</v>
      </c>
      <c r="I458" s="1" t="d">
        <v>2018-10-17</v>
      </c>
      <c r="J458" t="s">
        <v>1637</v>
      </c>
      <c r="K458" s="17" t="s">
        <v>118</v>
      </c>
      <c r="L458">
        <v>3</v>
      </c>
    </row>
    <row r="459" spans="1:12" x14ac:dyDescent="0.25">
      <c r="A459" t="s">
        <v>1638</v>
      </c>
      <c r="B459" t="s">
        <v>410</v>
      </c>
      <c r="C459" t="s">
        <v>758</v>
      </c>
      <c r="D459" t="s">
        <v>23</v>
      </c>
      <c r="E459">
        <v>41</v>
      </c>
      <c r="F459" t="s">
        <v>24</v>
      </c>
      <c r="G459" t="s">
        <v>170</v>
      </c>
      <c r="H459" s="2">
        <v>75470</v>
      </c>
      <c r="I459" s="1" t="d">
        <v>2012-03-27</v>
      </c>
      <c r="J459" t="s">
        <v>1639</v>
      </c>
      <c r="K459" s="17" t="s">
        <v>149</v>
      </c>
      <c r="L459">
        <v>5</v>
      </c>
    </row>
    <row r="460" spans="1:12" x14ac:dyDescent="0.25">
      <c r="A460" t="s">
        <v>1640</v>
      </c>
      <c r="B460" t="s">
        <v>769</v>
      </c>
      <c r="C460" t="s">
        <v>22</v>
      </c>
      <c r="D460" t="s">
        <v>9527</v>
      </c>
      <c r="E460">
        <v>21</v>
      </c>
      <c r="F460" t="s">
        <v>153</v>
      </c>
      <c r="G460" t="s">
        <v>39</v>
      </c>
      <c r="H460" t="s">
        <v>1641</v>
      </c>
      <c r="I460" s="1" t="d">
        <v>2016-02-23</v>
      </c>
      <c r="J460" t="s">
        <v>1642</v>
      </c>
      <c r="K460" s="17" t="s">
        <v>27</v>
      </c>
      <c r="L460">
        <v>3</v>
      </c>
    </row>
    <row r="461" spans="1:12" x14ac:dyDescent="0.25">
      <c r="A461" t="s">
        <v>1643</v>
      </c>
      <c r="B461" t="s">
        <v>1644</v>
      </c>
      <c r="C461" t="s">
        <v>1356</v>
      </c>
      <c r="D461" t="s">
        <v>46</v>
      </c>
      <c r="E461">
        <v>48</v>
      </c>
      <c r="G461" t="s">
        <v>1645</v>
      </c>
      <c r="I461" s="1" t="d">
        <v>2011-09-26</v>
      </c>
      <c r="J461" t="s">
        <v>505</v>
      </c>
      <c r="K461" s="17" t="s">
        <v>184</v>
      </c>
      <c r="L461">
        <v>3</v>
      </c>
    </row>
    <row r="462" spans="1:12" x14ac:dyDescent="0.25">
      <c r="A462" t="s">
        <v>1646</v>
      </c>
      <c r="B462" t="s">
        <v>1647</v>
      </c>
      <c r="C462" t="s">
        <v>121</v>
      </c>
      <c r="D462" t="s">
        <v>23</v>
      </c>
      <c r="E462">
        <v>21</v>
      </c>
      <c r="F462" t="s">
        <v>422</v>
      </c>
      <c r="G462" t="s">
        <v>796</v>
      </c>
      <c r="H462" s="2">
        <v>77026</v>
      </c>
      <c r="I462" s="1" t="d">
        <v>2017-02-24</v>
      </c>
      <c r="J462" t="s">
        <v>1648</v>
      </c>
      <c r="K462" s="17" t="s">
        <v>207</v>
      </c>
      <c r="L462">
        <v>5</v>
      </c>
    </row>
    <row r="463" spans="1:12" x14ac:dyDescent="0.25">
      <c r="A463" t="s">
        <v>1649</v>
      </c>
      <c r="B463" t="s">
        <v>1650</v>
      </c>
      <c r="C463" t="s">
        <v>827</v>
      </c>
      <c r="D463" t="s">
        <v>9527</v>
      </c>
      <c r="E463">
        <v>31</v>
      </c>
      <c r="F463" t="s">
        <v>245</v>
      </c>
      <c r="G463" t="s">
        <v>88</v>
      </c>
      <c r="H463" s="2">
        <v>59871</v>
      </c>
      <c r="I463" s="1" t="d">
        <v>2023-07-05</v>
      </c>
      <c r="J463" t="s">
        <v>1651</v>
      </c>
      <c r="K463" s="17" t="s">
        <v>118</v>
      </c>
      <c r="L463">
        <v>3</v>
      </c>
    </row>
    <row r="464" spans="1:12" x14ac:dyDescent="0.25">
      <c r="A464" t="s">
        <v>1652</v>
      </c>
      <c r="B464" t="s">
        <v>563</v>
      </c>
      <c r="C464" t="s">
        <v>483</v>
      </c>
      <c r="D464" t="s">
        <v>9527</v>
      </c>
      <c r="E464">
        <v>41</v>
      </c>
      <c r="F464" t="s">
        <v>238</v>
      </c>
      <c r="G464" t="s">
        <v>109</v>
      </c>
      <c r="H464" s="2">
        <v>60128</v>
      </c>
      <c r="J464" t="s">
        <v>1653</v>
      </c>
      <c r="K464" s="17" t="s">
        <v>34</v>
      </c>
      <c r="L464">
        <v>4</v>
      </c>
    </row>
    <row r="465" spans="1:12" x14ac:dyDescent="0.25">
      <c r="A465" t="s">
        <v>1654</v>
      </c>
      <c r="B465" t="s">
        <v>199</v>
      </c>
      <c r="C465" t="s">
        <v>93</v>
      </c>
      <c r="D465" t="s">
        <v>46</v>
      </c>
      <c r="E465">
        <v>30</v>
      </c>
      <c r="F465" t="s">
        <v>114</v>
      </c>
      <c r="G465" t="s">
        <v>177</v>
      </c>
      <c r="H465">
        <v>81356</v>
      </c>
      <c r="I465" s="1" t="d">
        <v>2014-04-16</v>
      </c>
      <c r="J465" t="s">
        <v>1655</v>
      </c>
      <c r="K465" s="17" t="s">
        <v>149</v>
      </c>
      <c r="L465">
        <v>3</v>
      </c>
    </row>
    <row r="466" spans="1:12" x14ac:dyDescent="0.25">
      <c r="A466" t="s">
        <v>1656</v>
      </c>
      <c r="B466" t="s">
        <v>1479</v>
      </c>
      <c r="C466" t="s">
        <v>1657</v>
      </c>
      <c r="D466" t="s">
        <v>9527</v>
      </c>
      <c r="E466">
        <v>46</v>
      </c>
      <c r="F466" t="s">
        <v>264</v>
      </c>
      <c r="G466" t="s">
        <v>1658</v>
      </c>
      <c r="H466">
        <v>107866</v>
      </c>
      <c r="I466" s="1" t="d">
        <v>2020-12-07</v>
      </c>
      <c r="J466" t="s">
        <v>1659</v>
      </c>
      <c r="K466" s="17" t="s">
        <v>149</v>
      </c>
      <c r="L466">
        <v>3</v>
      </c>
    </row>
    <row r="467" spans="1:12" x14ac:dyDescent="0.25">
      <c r="A467" t="s">
        <v>1660</v>
      </c>
      <c r="B467" t="s">
        <v>999</v>
      </c>
      <c r="C467" t="s">
        <v>74</v>
      </c>
      <c r="D467" t="s">
        <v>9527</v>
      </c>
      <c r="E467">
        <v>30</v>
      </c>
      <c r="F467" t="s">
        <v>31</v>
      </c>
      <c r="G467" t="s">
        <v>217</v>
      </c>
      <c r="I467" s="1" t="d">
        <v>2007-11-19</v>
      </c>
      <c r="J467" t="s">
        <v>1661</v>
      </c>
      <c r="K467" s="17" t="s">
        <v>90</v>
      </c>
      <c r="L467">
        <v>4</v>
      </c>
    </row>
    <row r="468" spans="1:12" x14ac:dyDescent="0.25">
      <c r="A468" t="s">
        <v>1662</v>
      </c>
      <c r="B468" t="s">
        <v>410</v>
      </c>
      <c r="C468" t="s">
        <v>1622</v>
      </c>
      <c r="D468" t="s">
        <v>9527</v>
      </c>
      <c r="E468">
        <v>39</v>
      </c>
      <c r="F468" t="s">
        <v>81</v>
      </c>
      <c r="G468" t="s">
        <v>1663</v>
      </c>
      <c r="H468" t="s">
        <v>1664</v>
      </c>
      <c r="I468" s="1" t="d">
        <v>2010-06-22</v>
      </c>
      <c r="J468" t="s">
        <v>767</v>
      </c>
      <c r="K468" s="17" t="s">
        <v>100</v>
      </c>
      <c r="L468">
        <v>5</v>
      </c>
    </row>
    <row r="469" spans="1:12" x14ac:dyDescent="0.25">
      <c r="A469" t="s">
        <v>1665</v>
      </c>
      <c r="B469" t="s">
        <v>355</v>
      </c>
      <c r="C469" t="s">
        <v>324</v>
      </c>
      <c r="D469" t="s">
        <v>23</v>
      </c>
      <c r="E469">
        <v>21</v>
      </c>
      <c r="F469" t="s">
        <v>196</v>
      </c>
      <c r="G469" t="s">
        <v>55</v>
      </c>
      <c r="H469" s="2">
        <v>45047</v>
      </c>
      <c r="I469" s="1" t="d">
        <v>2008-05-19</v>
      </c>
      <c r="J469" t="s">
        <v>1666</v>
      </c>
      <c r="K469" s="17" t="s">
        <v>58</v>
      </c>
      <c r="L469">
        <v>4</v>
      </c>
    </row>
    <row r="470" spans="1:12" x14ac:dyDescent="0.25">
      <c r="A470" t="s">
        <v>1667</v>
      </c>
      <c r="B470" t="s">
        <v>421</v>
      </c>
      <c r="C470" t="s">
        <v>1668</v>
      </c>
      <c r="D470" t="s">
        <v>23</v>
      </c>
      <c r="E470">
        <v>51</v>
      </c>
      <c r="F470" t="s">
        <v>62</v>
      </c>
      <c r="G470" t="s">
        <v>283</v>
      </c>
      <c r="H470">
        <v>161135</v>
      </c>
      <c r="I470" s="1" t="d">
        <v>2005-02-06</v>
      </c>
      <c r="J470" t="s">
        <v>1669</v>
      </c>
      <c r="K470" s="17" t="s">
        <v>118</v>
      </c>
      <c r="L470">
        <v>3</v>
      </c>
    </row>
    <row r="471" spans="1:12" x14ac:dyDescent="0.25">
      <c r="A471" t="s">
        <v>1670</v>
      </c>
      <c r="B471" t="s">
        <v>571</v>
      </c>
      <c r="C471" t="s">
        <v>1377</v>
      </c>
      <c r="D471" t="s">
        <v>23</v>
      </c>
      <c r="E471">
        <v>41</v>
      </c>
      <c r="F471" t="s">
        <v>1671</v>
      </c>
      <c r="G471" t="s">
        <v>231</v>
      </c>
      <c r="H471" t="s">
        <v>1672</v>
      </c>
      <c r="I471" s="1" t="d">
        <v>2017-04-15</v>
      </c>
      <c r="J471" t="s">
        <v>1673</v>
      </c>
      <c r="K471" s="17" t="s">
        <v>27</v>
      </c>
      <c r="L471">
        <v>3</v>
      </c>
    </row>
    <row r="472" spans="1:12" x14ac:dyDescent="0.25">
      <c r="A472" t="s">
        <v>1674</v>
      </c>
      <c r="B472" t="s">
        <v>130</v>
      </c>
      <c r="C472" t="s">
        <v>540</v>
      </c>
      <c r="D472" t="s">
        <v>23</v>
      </c>
      <c r="E472">
        <v>42</v>
      </c>
      <c r="F472" t="s">
        <v>971</v>
      </c>
      <c r="G472" t="s">
        <v>1329</v>
      </c>
      <c r="H472" t="s">
        <v>1675</v>
      </c>
      <c r="I472" s="1" t="d">
        <v>2006-04-05</v>
      </c>
      <c r="J472" t="s">
        <v>1676</v>
      </c>
      <c r="K472" s="17" t="s">
        <v>71</v>
      </c>
      <c r="L472">
        <v>3</v>
      </c>
    </row>
    <row r="473" spans="1:12" x14ac:dyDescent="0.25">
      <c r="A473" t="s">
        <v>1677</v>
      </c>
      <c r="B473" t="s">
        <v>914</v>
      </c>
      <c r="C473" t="s">
        <v>739</v>
      </c>
      <c r="D473" t="s">
        <v>9527</v>
      </c>
      <c r="E473">
        <v>54</v>
      </c>
      <c r="F473" t="s">
        <v>1116</v>
      </c>
      <c r="G473" t="s">
        <v>170</v>
      </c>
      <c r="I473" s="1" t="d">
        <v>2010-01-29</v>
      </c>
      <c r="J473" t="s">
        <v>1678</v>
      </c>
      <c r="K473" s="17" t="s">
        <v>90</v>
      </c>
      <c r="L473">
        <v>3</v>
      </c>
    </row>
    <row r="474" spans="1:12" x14ac:dyDescent="0.25">
      <c r="A474" t="s">
        <v>1679</v>
      </c>
      <c r="B474" t="s">
        <v>323</v>
      </c>
      <c r="C474" t="s">
        <v>103</v>
      </c>
      <c r="D474" t="s">
        <v>9527</v>
      </c>
      <c r="E474">
        <v>26</v>
      </c>
      <c r="F474" t="s">
        <v>62</v>
      </c>
      <c r="G474" t="s">
        <v>82</v>
      </c>
      <c r="H474" t="s">
        <v>1680</v>
      </c>
      <c r="I474" s="1" t="d">
        <v>2017-09-03</v>
      </c>
      <c r="J474" t="s">
        <v>784</v>
      </c>
      <c r="K474" s="17" t="s">
        <v>42</v>
      </c>
      <c r="L474">
        <v>5</v>
      </c>
    </row>
    <row r="475" spans="1:12" x14ac:dyDescent="0.25">
      <c r="A475" t="s">
        <v>1681</v>
      </c>
      <c r="B475" t="s">
        <v>1064</v>
      </c>
      <c r="C475" t="s">
        <v>53</v>
      </c>
      <c r="D475" t="s">
        <v>9527</v>
      </c>
      <c r="E475">
        <v>48</v>
      </c>
      <c r="F475" t="s">
        <v>216</v>
      </c>
      <c r="G475" t="s">
        <v>82</v>
      </c>
      <c r="J475" t="s">
        <v>1682</v>
      </c>
      <c r="K475" s="17" t="s">
        <v>42</v>
      </c>
      <c r="L475">
        <v>4</v>
      </c>
    </row>
    <row r="476" spans="1:12" x14ac:dyDescent="0.25">
      <c r="A476" t="s">
        <v>1683</v>
      </c>
      <c r="B476" t="s">
        <v>862</v>
      </c>
      <c r="C476" t="s">
        <v>729</v>
      </c>
      <c r="D476" t="s">
        <v>23</v>
      </c>
      <c r="E476">
        <v>48</v>
      </c>
      <c r="G476" t="s">
        <v>69</v>
      </c>
      <c r="I476" s="1" t="d">
        <v>2007-05-02</v>
      </c>
      <c r="J476" t="s">
        <v>1684</v>
      </c>
      <c r="K476" s="17" t="s">
        <v>118</v>
      </c>
      <c r="L476">
        <v>4</v>
      </c>
    </row>
    <row r="477" spans="1:12" x14ac:dyDescent="0.25">
      <c r="A477" t="s">
        <v>1685</v>
      </c>
      <c r="B477" t="s">
        <v>1503</v>
      </c>
      <c r="C477" t="s">
        <v>710</v>
      </c>
      <c r="D477" t="s">
        <v>9527</v>
      </c>
      <c r="E477">
        <v>45</v>
      </c>
      <c r="F477" t="s">
        <v>264</v>
      </c>
      <c r="G477" t="s">
        <v>937</v>
      </c>
      <c r="H477" t="s">
        <v>1686</v>
      </c>
      <c r="I477" s="1" t="d">
        <v>2017-04-25</v>
      </c>
      <c r="J477" t="s">
        <v>1687</v>
      </c>
      <c r="K477" s="17" t="s">
        <v>71</v>
      </c>
      <c r="L477">
        <v>2</v>
      </c>
    </row>
    <row r="478" spans="1:12" x14ac:dyDescent="0.25">
      <c r="A478" t="s">
        <v>1688</v>
      </c>
      <c r="B478" t="s">
        <v>1689</v>
      </c>
      <c r="C478" t="s">
        <v>175</v>
      </c>
      <c r="D478" t="s">
        <v>9527</v>
      </c>
      <c r="E478">
        <v>44</v>
      </c>
      <c r="F478" t="s">
        <v>38</v>
      </c>
      <c r="G478" t="s">
        <v>796</v>
      </c>
      <c r="H478" s="2">
        <v>60861</v>
      </c>
      <c r="I478" s="1" t="d">
        <v>2014-04-15</v>
      </c>
      <c r="J478" t="s">
        <v>1690</v>
      </c>
      <c r="K478" s="17" t="s">
        <v>184</v>
      </c>
      <c r="L478">
        <v>3</v>
      </c>
    </row>
    <row r="479" spans="1:12" x14ac:dyDescent="0.25">
      <c r="A479" t="s">
        <v>1691</v>
      </c>
      <c r="B479" t="s">
        <v>520</v>
      </c>
      <c r="C479" t="s">
        <v>1384</v>
      </c>
      <c r="D479" t="s">
        <v>23</v>
      </c>
      <c r="E479">
        <v>21</v>
      </c>
      <c r="F479" t="s">
        <v>24</v>
      </c>
      <c r="G479" t="s">
        <v>55</v>
      </c>
      <c r="H479" t="s">
        <v>1692</v>
      </c>
      <c r="I479" s="1" t="d">
        <v>2011-04-05</v>
      </c>
      <c r="J479" t="s">
        <v>1693</v>
      </c>
      <c r="K479" s="17" t="s">
        <v>34</v>
      </c>
      <c r="L479">
        <v>4</v>
      </c>
    </row>
    <row r="480" spans="1:12" x14ac:dyDescent="0.25">
      <c r="A480" t="s">
        <v>1694</v>
      </c>
      <c r="B480" t="s">
        <v>79</v>
      </c>
      <c r="C480" t="s">
        <v>395</v>
      </c>
      <c r="D480" t="s">
        <v>46</v>
      </c>
      <c r="E480">
        <v>38</v>
      </c>
      <c r="F480" t="s">
        <v>645</v>
      </c>
      <c r="G480" t="s">
        <v>191</v>
      </c>
      <c r="H480">
        <v>44842</v>
      </c>
      <c r="I480" s="1" t="d">
        <v>2012-04-05</v>
      </c>
      <c r="J480" t="s">
        <v>756</v>
      </c>
      <c r="K480" s="17" t="s">
        <v>27</v>
      </c>
      <c r="L480">
        <v>3</v>
      </c>
    </row>
    <row r="481" spans="1:12" x14ac:dyDescent="0.25">
      <c r="A481" t="s">
        <v>1695</v>
      </c>
      <c r="B481" t="s">
        <v>993</v>
      </c>
      <c r="C481" t="s">
        <v>869</v>
      </c>
      <c r="D481" t="s">
        <v>9527</v>
      </c>
      <c r="E481">
        <v>37</v>
      </c>
      <c r="F481" t="s">
        <v>406</v>
      </c>
      <c r="G481" t="s">
        <v>217</v>
      </c>
      <c r="H481" t="s">
        <v>1696</v>
      </c>
      <c r="I481" s="1" t="d">
        <v>2014-05-23</v>
      </c>
      <c r="J481" t="s">
        <v>1697</v>
      </c>
      <c r="K481" s="17" t="s">
        <v>34</v>
      </c>
      <c r="L481">
        <v>4</v>
      </c>
    </row>
    <row r="482" spans="1:12" x14ac:dyDescent="0.25">
      <c r="A482" t="s">
        <v>1698</v>
      </c>
      <c r="B482" t="s">
        <v>102</v>
      </c>
      <c r="C482" t="s">
        <v>53</v>
      </c>
      <c r="D482" t="s">
        <v>46</v>
      </c>
      <c r="E482">
        <v>49</v>
      </c>
      <c r="F482" t="s">
        <v>1699</v>
      </c>
      <c r="G482" t="s">
        <v>109</v>
      </c>
      <c r="H482">
        <v>56689</v>
      </c>
      <c r="I482" s="1" t="d">
        <v>2011-02-08</v>
      </c>
      <c r="J482" t="s">
        <v>105</v>
      </c>
      <c r="K482" s="17" t="s">
        <v>71</v>
      </c>
      <c r="L482">
        <v>3</v>
      </c>
    </row>
    <row r="483" spans="1:12" x14ac:dyDescent="0.25">
      <c r="A483" t="s">
        <v>1700</v>
      </c>
      <c r="B483" t="s">
        <v>1701</v>
      </c>
      <c r="C483" t="s">
        <v>1702</v>
      </c>
      <c r="D483" t="s">
        <v>46</v>
      </c>
      <c r="E483">
        <v>38</v>
      </c>
      <c r="F483" t="s">
        <v>399</v>
      </c>
      <c r="G483" t="s">
        <v>1703</v>
      </c>
      <c r="H483" s="2">
        <v>63340</v>
      </c>
      <c r="I483" s="1" t="d">
        <v>2017-12-22</v>
      </c>
      <c r="J483" t="s">
        <v>1704</v>
      </c>
      <c r="K483" s="17" t="s">
        <v>58</v>
      </c>
      <c r="L483">
        <v>4</v>
      </c>
    </row>
    <row r="484" spans="1:12" x14ac:dyDescent="0.25">
      <c r="A484" t="s">
        <v>1705</v>
      </c>
      <c r="B484" t="s">
        <v>1706</v>
      </c>
      <c r="C484" t="s">
        <v>30</v>
      </c>
      <c r="D484" t="s">
        <v>46</v>
      </c>
      <c r="E484">
        <v>32</v>
      </c>
      <c r="F484" t="s">
        <v>1699</v>
      </c>
      <c r="G484" t="s">
        <v>82</v>
      </c>
      <c r="H484" t="s">
        <v>1707</v>
      </c>
      <c r="I484" s="1" t="d">
        <v>2015-10-11</v>
      </c>
      <c r="J484" t="s">
        <v>1708</v>
      </c>
      <c r="K484" s="17" t="s">
        <v>50</v>
      </c>
      <c r="L484">
        <v>3</v>
      </c>
    </row>
    <row r="485" spans="1:12" x14ac:dyDescent="0.25">
      <c r="A485" t="s">
        <v>1709</v>
      </c>
      <c r="B485" t="s">
        <v>470</v>
      </c>
      <c r="C485" t="s">
        <v>970</v>
      </c>
      <c r="D485" t="s">
        <v>23</v>
      </c>
      <c r="E485">
        <v>27</v>
      </c>
      <c r="F485" t="s">
        <v>269</v>
      </c>
      <c r="G485" t="s">
        <v>16</v>
      </c>
      <c r="H485" t="s">
        <v>1710</v>
      </c>
      <c r="I485" s="1" t="d">
        <v>2018-09-06</v>
      </c>
      <c r="J485" t="s">
        <v>1711</v>
      </c>
      <c r="K485" s="17" t="s">
        <v>34</v>
      </c>
      <c r="L485">
        <v>3</v>
      </c>
    </row>
    <row r="486" spans="1:12" x14ac:dyDescent="0.25">
      <c r="A486" t="s">
        <v>1712</v>
      </c>
      <c r="B486" t="s">
        <v>981</v>
      </c>
      <c r="C486" t="s">
        <v>361</v>
      </c>
      <c r="D486" t="s">
        <v>9527</v>
      </c>
      <c r="E486">
        <v>40</v>
      </c>
      <c r="F486" t="s">
        <v>522</v>
      </c>
      <c r="G486" t="s">
        <v>141</v>
      </c>
      <c r="H486" t="s">
        <v>1713</v>
      </c>
      <c r="I486" s="1" t="d">
        <v>2005-09-21</v>
      </c>
      <c r="J486" t="s">
        <v>1609</v>
      </c>
      <c r="K486" s="17" t="s">
        <v>184</v>
      </c>
      <c r="L486">
        <v>5</v>
      </c>
    </row>
    <row r="487" spans="1:12" x14ac:dyDescent="0.25">
      <c r="A487" t="s">
        <v>1714</v>
      </c>
      <c r="B487" t="s">
        <v>1715</v>
      </c>
      <c r="C487" t="s">
        <v>1146</v>
      </c>
      <c r="D487" t="s">
        <v>9527</v>
      </c>
      <c r="E487">
        <v>29</v>
      </c>
      <c r="F487" t="s">
        <v>1716</v>
      </c>
      <c r="G487" t="s">
        <v>115</v>
      </c>
      <c r="H487">
        <v>100747</v>
      </c>
      <c r="I487" s="1" t="d">
        <v>2014-02-22</v>
      </c>
      <c r="J487" t="s">
        <v>1717</v>
      </c>
      <c r="K487" s="17" t="s">
        <v>34</v>
      </c>
      <c r="L487">
        <v>3</v>
      </c>
    </row>
    <row r="488" spans="1:12" x14ac:dyDescent="0.25">
      <c r="A488" t="s">
        <v>1718</v>
      </c>
      <c r="B488" t="s">
        <v>630</v>
      </c>
      <c r="C488" t="s">
        <v>395</v>
      </c>
      <c r="D488" t="s">
        <v>9527</v>
      </c>
      <c r="E488">
        <v>41</v>
      </c>
      <c r="F488" t="s">
        <v>153</v>
      </c>
      <c r="G488" t="s">
        <v>1719</v>
      </c>
      <c r="H488">
        <v>82102</v>
      </c>
      <c r="I488" s="1" t="d">
        <v>2011-10-15</v>
      </c>
      <c r="J488" t="s">
        <v>1720</v>
      </c>
      <c r="K488" s="17" t="s">
        <v>90</v>
      </c>
      <c r="L488">
        <v>5</v>
      </c>
    </row>
    <row r="489" spans="1:12" x14ac:dyDescent="0.25">
      <c r="A489" t="s">
        <v>1721</v>
      </c>
      <c r="B489" t="s">
        <v>335</v>
      </c>
      <c r="C489" t="s">
        <v>858</v>
      </c>
      <c r="D489" t="s">
        <v>23</v>
      </c>
      <c r="E489">
        <v>32</v>
      </c>
      <c r="F489" t="s">
        <v>1458</v>
      </c>
      <c r="G489" t="s">
        <v>878</v>
      </c>
      <c r="H489" t="s">
        <v>1722</v>
      </c>
      <c r="I489" s="1" t="d">
        <v>2019-02-26</v>
      </c>
      <c r="J489" t="s">
        <v>1723</v>
      </c>
      <c r="K489" s="17" t="s">
        <v>118</v>
      </c>
      <c r="L489">
        <v>3</v>
      </c>
    </row>
    <row r="490" spans="1:12" x14ac:dyDescent="0.25">
      <c r="A490" t="s">
        <v>1724</v>
      </c>
      <c r="B490" t="s">
        <v>1241</v>
      </c>
      <c r="C490" t="s">
        <v>1520</v>
      </c>
      <c r="D490" t="s">
        <v>9527</v>
      </c>
      <c r="E490">
        <v>55</v>
      </c>
      <c r="F490" t="s">
        <v>75</v>
      </c>
      <c r="G490" t="s">
        <v>1117</v>
      </c>
      <c r="H490" t="s">
        <v>1725</v>
      </c>
      <c r="I490" s="1" t="d">
        <v>2020-11-24</v>
      </c>
      <c r="J490" t="s">
        <v>863</v>
      </c>
      <c r="K490" s="17" t="s">
        <v>19</v>
      </c>
      <c r="L490">
        <v>3</v>
      </c>
    </row>
    <row r="491" spans="1:12" x14ac:dyDescent="0.25">
      <c r="A491" t="s">
        <v>1726</v>
      </c>
      <c r="B491" t="s">
        <v>21</v>
      </c>
      <c r="C491" t="s">
        <v>244</v>
      </c>
      <c r="D491" t="s">
        <v>9527</v>
      </c>
      <c r="E491">
        <v>21</v>
      </c>
      <c r="F491" t="s">
        <v>122</v>
      </c>
      <c r="G491" t="s">
        <v>212</v>
      </c>
      <c r="I491" s="1" t="d">
        <v>2005-09-24</v>
      </c>
      <c r="J491" t="s">
        <v>246</v>
      </c>
      <c r="K491" s="17" t="s">
        <v>184</v>
      </c>
      <c r="L491">
        <v>3</v>
      </c>
    </row>
    <row r="492" spans="1:12" x14ac:dyDescent="0.25">
      <c r="A492" t="s">
        <v>1727</v>
      </c>
      <c r="B492" t="s">
        <v>199</v>
      </c>
      <c r="C492" t="s">
        <v>699</v>
      </c>
      <c r="D492" t="s">
        <v>23</v>
      </c>
      <c r="E492">
        <v>54</v>
      </c>
      <c r="F492" t="s">
        <v>169</v>
      </c>
      <c r="G492" t="s">
        <v>69</v>
      </c>
      <c r="H492" s="2">
        <v>54257</v>
      </c>
      <c r="I492" s="1" t="d">
        <v>2014-10-21</v>
      </c>
      <c r="J492" t="s">
        <v>1728</v>
      </c>
      <c r="K492" s="17" t="s">
        <v>42</v>
      </c>
      <c r="L492">
        <v>4</v>
      </c>
    </row>
    <row r="493" spans="1:12" x14ac:dyDescent="0.25">
      <c r="A493" t="s">
        <v>1729</v>
      </c>
      <c r="B493" t="s">
        <v>936</v>
      </c>
      <c r="C493" t="s">
        <v>715</v>
      </c>
      <c r="D493" t="s">
        <v>23</v>
      </c>
      <c r="E493">
        <v>29</v>
      </c>
      <c r="F493" t="s">
        <v>399</v>
      </c>
      <c r="G493" t="s">
        <v>39</v>
      </c>
      <c r="H493" t="s">
        <v>1730</v>
      </c>
      <c r="I493" s="1" t="d">
        <v>2013-02-16</v>
      </c>
      <c r="J493" t="s">
        <v>1272</v>
      </c>
      <c r="K493" s="17" t="s">
        <v>184</v>
      </c>
      <c r="L493">
        <v>3</v>
      </c>
    </row>
    <row r="494" spans="1:12" x14ac:dyDescent="0.25">
      <c r="A494" t="s">
        <v>1731</v>
      </c>
      <c r="B494" t="s">
        <v>1181</v>
      </c>
      <c r="C494" t="s">
        <v>395</v>
      </c>
      <c r="D494" t="s">
        <v>46</v>
      </c>
      <c r="E494">
        <v>35</v>
      </c>
      <c r="F494" t="s">
        <v>645</v>
      </c>
      <c r="G494" t="s">
        <v>500</v>
      </c>
      <c r="H494" s="2">
        <v>52662</v>
      </c>
      <c r="I494" s="1" t="d">
        <v>2007-09-23</v>
      </c>
      <c r="J494" t="s">
        <v>1732</v>
      </c>
      <c r="K494" s="17" t="s">
        <v>58</v>
      </c>
      <c r="L494">
        <v>3</v>
      </c>
    </row>
    <row r="495" spans="1:12" x14ac:dyDescent="0.25">
      <c r="A495" t="s">
        <v>1733</v>
      </c>
      <c r="B495" t="s">
        <v>1162</v>
      </c>
      <c r="C495" t="s">
        <v>1734</v>
      </c>
      <c r="D495" t="s">
        <v>23</v>
      </c>
      <c r="E495">
        <v>33</v>
      </c>
      <c r="F495" t="s">
        <v>399</v>
      </c>
      <c r="G495" t="s">
        <v>177</v>
      </c>
      <c r="H495" t="s">
        <v>1735</v>
      </c>
      <c r="I495" s="1" t="d">
        <v>2012-06-10</v>
      </c>
      <c r="J495" t="s">
        <v>1736</v>
      </c>
      <c r="K495" s="17" t="s">
        <v>184</v>
      </c>
      <c r="L495">
        <v>5</v>
      </c>
    </row>
    <row r="496" spans="1:12" x14ac:dyDescent="0.25">
      <c r="A496" t="s">
        <v>1737</v>
      </c>
      <c r="B496" t="s">
        <v>1738</v>
      </c>
      <c r="C496" t="s">
        <v>488</v>
      </c>
      <c r="D496" t="s">
        <v>23</v>
      </c>
      <c r="E496">
        <v>48</v>
      </c>
      <c r="F496" t="s">
        <v>559</v>
      </c>
      <c r="G496" t="s">
        <v>16</v>
      </c>
      <c r="H496" t="s">
        <v>1739</v>
      </c>
      <c r="I496" s="1" t="d">
        <v>2021-05-21</v>
      </c>
      <c r="J496" t="s">
        <v>330</v>
      </c>
      <c r="K496" s="17" t="s">
        <v>149</v>
      </c>
      <c r="L496">
        <v>2</v>
      </c>
    </row>
    <row r="497" spans="1:12" x14ac:dyDescent="0.25">
      <c r="A497" t="s">
        <v>1740</v>
      </c>
      <c r="B497" t="s">
        <v>199</v>
      </c>
      <c r="C497" t="s">
        <v>168</v>
      </c>
      <c r="D497" t="s">
        <v>23</v>
      </c>
      <c r="E497">
        <v>29</v>
      </c>
      <c r="F497" t="s">
        <v>253</v>
      </c>
      <c r="G497" t="s">
        <v>48</v>
      </c>
      <c r="H497">
        <v>48790</v>
      </c>
      <c r="I497" s="1" t="d">
        <v>2008-01-07</v>
      </c>
      <c r="J497" t="s">
        <v>1741</v>
      </c>
      <c r="K497" s="17" t="s">
        <v>27</v>
      </c>
      <c r="L497">
        <v>3</v>
      </c>
    </row>
    <row r="498" spans="1:12" x14ac:dyDescent="0.25">
      <c r="A498" t="s">
        <v>1742</v>
      </c>
      <c r="B498" t="s">
        <v>60</v>
      </c>
      <c r="C498" t="s">
        <v>1743</v>
      </c>
      <c r="D498" t="s">
        <v>9527</v>
      </c>
      <c r="E498">
        <v>36</v>
      </c>
      <c r="F498" t="s">
        <v>122</v>
      </c>
      <c r="G498" t="s">
        <v>115</v>
      </c>
      <c r="H498" t="s">
        <v>1744</v>
      </c>
      <c r="I498" s="1" t="d">
        <v>2023-10-03</v>
      </c>
      <c r="J498" t="s">
        <v>1745</v>
      </c>
      <c r="K498" s="17" t="s">
        <v>58</v>
      </c>
      <c r="L498">
        <v>2</v>
      </c>
    </row>
    <row r="499" spans="1:12" x14ac:dyDescent="0.25">
      <c r="A499" t="s">
        <v>1746</v>
      </c>
      <c r="B499" t="s">
        <v>1086</v>
      </c>
      <c r="C499" t="s">
        <v>80</v>
      </c>
      <c r="D499" t="s">
        <v>46</v>
      </c>
      <c r="E499">
        <v>42</v>
      </c>
      <c r="F499" t="s">
        <v>365</v>
      </c>
      <c r="G499" t="s">
        <v>55</v>
      </c>
      <c r="H499" t="s">
        <v>1747</v>
      </c>
      <c r="I499" s="1" t="d">
        <v>2014-11-16</v>
      </c>
      <c r="J499" t="s">
        <v>1748</v>
      </c>
      <c r="K499" s="17" t="s">
        <v>370</v>
      </c>
      <c r="L499">
        <v>3</v>
      </c>
    </row>
    <row r="500" spans="1:12" x14ac:dyDescent="0.25">
      <c r="A500" t="s">
        <v>1749</v>
      </c>
      <c r="B500" t="s">
        <v>1241</v>
      </c>
      <c r="C500" t="s">
        <v>1750</v>
      </c>
      <c r="D500" t="s">
        <v>23</v>
      </c>
      <c r="E500">
        <v>28</v>
      </c>
      <c r="F500" t="s">
        <v>15</v>
      </c>
      <c r="G500" t="s">
        <v>69</v>
      </c>
      <c r="J500" t="s">
        <v>1751</v>
      </c>
      <c r="K500" s="17" t="s">
        <v>27</v>
      </c>
      <c r="L500">
        <v>5</v>
      </c>
    </row>
    <row r="501" spans="1:12" x14ac:dyDescent="0.25">
      <c r="A501" t="s">
        <v>1752</v>
      </c>
      <c r="B501" t="s">
        <v>1753</v>
      </c>
      <c r="C501" t="s">
        <v>377</v>
      </c>
      <c r="D501" t="s">
        <v>9527</v>
      </c>
      <c r="E501">
        <v>36</v>
      </c>
      <c r="G501" t="s">
        <v>782</v>
      </c>
      <c r="H501" t="s">
        <v>1754</v>
      </c>
      <c r="I501" s="1" t="d">
        <v>2024-09-25</v>
      </c>
      <c r="J501" t="s">
        <v>1755</v>
      </c>
      <c r="K501" s="17" t="s">
        <v>42</v>
      </c>
      <c r="L501">
        <v>2</v>
      </c>
    </row>
    <row r="502" spans="1:12" x14ac:dyDescent="0.25">
      <c r="A502" t="s">
        <v>1756</v>
      </c>
      <c r="B502" t="s">
        <v>981</v>
      </c>
      <c r="C502" t="s">
        <v>858</v>
      </c>
      <c r="D502" t="s">
        <v>46</v>
      </c>
      <c r="E502">
        <v>28</v>
      </c>
      <c r="F502" t="s">
        <v>200</v>
      </c>
      <c r="G502" t="s">
        <v>170</v>
      </c>
      <c r="H502" s="2">
        <v>86374</v>
      </c>
      <c r="I502" s="1" t="d">
        <v>2006-12-14</v>
      </c>
      <c r="J502" t="s">
        <v>1757</v>
      </c>
      <c r="K502" s="17" t="s">
        <v>207</v>
      </c>
      <c r="L502">
        <v>3</v>
      </c>
    </row>
    <row r="503" spans="1:12" x14ac:dyDescent="0.25">
      <c r="A503" t="s">
        <v>1758</v>
      </c>
      <c r="B503" t="s">
        <v>1759</v>
      </c>
      <c r="C503" t="s">
        <v>135</v>
      </c>
      <c r="D503" t="s">
        <v>23</v>
      </c>
      <c r="E503">
        <v>35</v>
      </c>
      <c r="F503" t="s">
        <v>666</v>
      </c>
      <c r="G503" t="s">
        <v>109</v>
      </c>
      <c r="H503" s="2">
        <v>56671</v>
      </c>
      <c r="I503" s="1" t="d">
        <v>2007-05-25</v>
      </c>
      <c r="J503" t="s">
        <v>255</v>
      </c>
      <c r="K503" s="17" t="s">
        <v>370</v>
      </c>
      <c r="L503">
        <v>3</v>
      </c>
    </row>
    <row r="504" spans="1:12" x14ac:dyDescent="0.25">
      <c r="A504" t="s">
        <v>1760</v>
      </c>
      <c r="B504" t="s">
        <v>630</v>
      </c>
      <c r="C504" t="s">
        <v>1298</v>
      </c>
      <c r="D504" t="s">
        <v>9527</v>
      </c>
      <c r="E504">
        <v>23</v>
      </c>
      <c r="F504" t="s">
        <v>62</v>
      </c>
      <c r="G504" t="s">
        <v>357</v>
      </c>
      <c r="H504">
        <v>123241</v>
      </c>
      <c r="I504" s="1" t="d">
        <v>2015-02-04</v>
      </c>
      <c r="J504" t="s">
        <v>1761</v>
      </c>
      <c r="K504" s="17" t="s">
        <v>58</v>
      </c>
      <c r="L504">
        <v>4</v>
      </c>
    </row>
    <row r="505" spans="1:12" x14ac:dyDescent="0.25">
      <c r="A505" t="s">
        <v>1762</v>
      </c>
      <c r="B505" t="s">
        <v>1516</v>
      </c>
      <c r="C505" t="s">
        <v>1763</v>
      </c>
      <c r="D505" t="s">
        <v>9527</v>
      </c>
      <c r="E505">
        <v>36</v>
      </c>
      <c r="F505" t="s">
        <v>146</v>
      </c>
      <c r="G505" t="s">
        <v>205</v>
      </c>
      <c r="H505" s="2">
        <v>108867</v>
      </c>
      <c r="I505" s="1" t="d">
        <v>2016-02-14</v>
      </c>
      <c r="J505" t="s">
        <v>1764</v>
      </c>
      <c r="K505" s="17" t="s">
        <v>50</v>
      </c>
      <c r="L505">
        <v>3</v>
      </c>
    </row>
    <row r="506" spans="1:12" x14ac:dyDescent="0.25">
      <c r="A506" t="s">
        <v>1765</v>
      </c>
      <c r="B506" t="s">
        <v>773</v>
      </c>
      <c r="C506" t="s">
        <v>195</v>
      </c>
      <c r="D506" t="s">
        <v>23</v>
      </c>
      <c r="E506">
        <v>28</v>
      </c>
      <c r="F506" t="s">
        <v>1766</v>
      </c>
      <c r="G506" t="s">
        <v>39</v>
      </c>
      <c r="H506" t="s">
        <v>1767</v>
      </c>
      <c r="I506" s="1" t="d">
        <v>2015-12-09</v>
      </c>
      <c r="J506" t="s">
        <v>537</v>
      </c>
      <c r="K506" s="17" t="s">
        <v>149</v>
      </c>
      <c r="L506">
        <v>4</v>
      </c>
    </row>
    <row r="507" spans="1:12" x14ac:dyDescent="0.25">
      <c r="A507" t="s">
        <v>1768</v>
      </c>
      <c r="B507" t="s">
        <v>1769</v>
      </c>
      <c r="C507" t="s">
        <v>1770</v>
      </c>
      <c r="D507" t="s">
        <v>46</v>
      </c>
      <c r="E507">
        <v>23</v>
      </c>
      <c r="G507" t="s">
        <v>1771</v>
      </c>
      <c r="H507" t="s">
        <v>1772</v>
      </c>
      <c r="I507" s="1" t="d">
        <v>2022-04-19</v>
      </c>
      <c r="J507" t="s">
        <v>1773</v>
      </c>
      <c r="K507" s="17" t="s">
        <v>34</v>
      </c>
      <c r="L507">
        <v>4</v>
      </c>
    </row>
    <row r="508" spans="1:12" x14ac:dyDescent="0.25">
      <c r="A508" t="s">
        <v>1774</v>
      </c>
      <c r="B508" t="s">
        <v>1775</v>
      </c>
      <c r="C508" t="s">
        <v>229</v>
      </c>
      <c r="D508" t="s">
        <v>23</v>
      </c>
      <c r="E508">
        <v>32</v>
      </c>
      <c r="F508" t="s">
        <v>54</v>
      </c>
      <c r="G508" t="s">
        <v>996</v>
      </c>
      <c r="H508" s="2">
        <v>136216</v>
      </c>
      <c r="I508" s="1" t="d">
        <v>2019-03-28</v>
      </c>
      <c r="J508" t="s">
        <v>1776</v>
      </c>
      <c r="K508" s="17" t="s">
        <v>19</v>
      </c>
      <c r="L508">
        <v>2</v>
      </c>
    </row>
    <row r="509" spans="1:12" x14ac:dyDescent="0.25">
      <c r="A509" t="s">
        <v>1777</v>
      </c>
      <c r="B509" t="s">
        <v>881</v>
      </c>
      <c r="C509" t="s">
        <v>1055</v>
      </c>
      <c r="D509" t="s">
        <v>23</v>
      </c>
      <c r="E509">
        <v>42</v>
      </c>
      <c r="F509" t="s">
        <v>585</v>
      </c>
      <c r="G509" t="s">
        <v>16</v>
      </c>
      <c r="I509" s="1" t="d">
        <v>2021-06-21</v>
      </c>
      <c r="J509" t="s">
        <v>1778</v>
      </c>
      <c r="K509" s="17" t="s">
        <v>19</v>
      </c>
      <c r="L509">
        <v>4</v>
      </c>
    </row>
    <row r="510" spans="1:12" x14ac:dyDescent="0.25">
      <c r="A510" t="s">
        <v>1779</v>
      </c>
      <c r="B510" t="s">
        <v>728</v>
      </c>
      <c r="C510" t="s">
        <v>361</v>
      </c>
      <c r="D510" t="s">
        <v>46</v>
      </c>
      <c r="E510">
        <v>44</v>
      </c>
      <c r="F510" t="s">
        <v>200</v>
      </c>
      <c r="G510" t="s">
        <v>69</v>
      </c>
      <c r="H510" s="2">
        <v>104754</v>
      </c>
      <c r="I510" s="1" t="d">
        <v>2022-05-01</v>
      </c>
      <c r="J510" t="s">
        <v>726</v>
      </c>
      <c r="K510" s="17" t="s">
        <v>27</v>
      </c>
      <c r="L510">
        <v>3</v>
      </c>
    </row>
    <row r="511" spans="1:12" x14ac:dyDescent="0.25">
      <c r="A511" t="s">
        <v>1780</v>
      </c>
      <c r="B511" t="s">
        <v>433</v>
      </c>
      <c r="C511" t="s">
        <v>37</v>
      </c>
      <c r="D511" t="s">
        <v>46</v>
      </c>
      <c r="E511">
        <v>44</v>
      </c>
      <c r="F511" t="s">
        <v>589</v>
      </c>
      <c r="G511" t="s">
        <v>191</v>
      </c>
      <c r="H511" t="s">
        <v>1781</v>
      </c>
      <c r="I511" s="1" t="d">
        <v>2018-10-20</v>
      </c>
      <c r="J511" t="s">
        <v>1782</v>
      </c>
      <c r="K511" s="17" t="s">
        <v>370</v>
      </c>
      <c r="L511">
        <v>3</v>
      </c>
    </row>
    <row r="512" spans="1:12" x14ac:dyDescent="0.25">
      <c r="A512" t="s">
        <v>1783</v>
      </c>
      <c r="B512" t="s">
        <v>1784</v>
      </c>
      <c r="C512" t="s">
        <v>30</v>
      </c>
      <c r="D512" t="s">
        <v>23</v>
      </c>
      <c r="E512">
        <v>44</v>
      </c>
      <c r="F512" t="s">
        <v>1785</v>
      </c>
      <c r="G512" t="s">
        <v>115</v>
      </c>
      <c r="H512" s="2">
        <v>44749</v>
      </c>
      <c r="I512" s="1" t="d">
        <v>2022-02-07</v>
      </c>
      <c r="J512" t="s">
        <v>994</v>
      </c>
      <c r="K512" s="17" t="s">
        <v>90</v>
      </c>
      <c r="L512">
        <v>2</v>
      </c>
    </row>
    <row r="513" spans="1:12" x14ac:dyDescent="0.25">
      <c r="A513" t="s">
        <v>1786</v>
      </c>
      <c r="B513" t="s">
        <v>1787</v>
      </c>
      <c r="C513" t="s">
        <v>244</v>
      </c>
      <c r="D513" t="s">
        <v>23</v>
      </c>
      <c r="E513">
        <v>41</v>
      </c>
      <c r="F513" t="s">
        <v>264</v>
      </c>
      <c r="G513" t="s">
        <v>177</v>
      </c>
      <c r="H513">
        <v>-85873</v>
      </c>
      <c r="I513" s="1" t="d">
        <v>2006-06-03</v>
      </c>
      <c r="J513" t="s">
        <v>1711</v>
      </c>
      <c r="K513" s="17" t="s">
        <v>71</v>
      </c>
      <c r="L513">
        <v>4</v>
      </c>
    </row>
    <row r="514" spans="1:12" x14ac:dyDescent="0.25">
      <c r="A514" t="s">
        <v>1788</v>
      </c>
      <c r="B514" t="s">
        <v>36</v>
      </c>
      <c r="C514" t="s">
        <v>1306</v>
      </c>
      <c r="D514" t="s">
        <v>23</v>
      </c>
      <c r="E514">
        <v>47</v>
      </c>
      <c r="F514" t="s">
        <v>978</v>
      </c>
      <c r="G514" t="s">
        <v>337</v>
      </c>
      <c r="H514" s="2">
        <v>73494</v>
      </c>
      <c r="I514" s="1" t="d">
        <v>2009-02-20</v>
      </c>
      <c r="J514" t="s">
        <v>1789</v>
      </c>
      <c r="K514" s="17" t="s">
        <v>50</v>
      </c>
      <c r="L514">
        <v>3</v>
      </c>
    </row>
    <row r="515" spans="1:12" x14ac:dyDescent="0.25">
      <c r="A515" t="s">
        <v>1790</v>
      </c>
      <c r="B515" t="s">
        <v>566</v>
      </c>
      <c r="C515" t="s">
        <v>488</v>
      </c>
      <c r="D515" t="s">
        <v>46</v>
      </c>
      <c r="E515">
        <v>45</v>
      </c>
      <c r="G515" t="s">
        <v>1791</v>
      </c>
      <c r="H515" t="s">
        <v>1792</v>
      </c>
      <c r="I515" s="1" t="d">
        <v>2021-12-18</v>
      </c>
      <c r="J515" t="s">
        <v>1439</v>
      </c>
      <c r="K515" s="17" t="s">
        <v>118</v>
      </c>
      <c r="L515">
        <v>4</v>
      </c>
    </row>
    <row r="516" spans="1:12" x14ac:dyDescent="0.25">
      <c r="A516" t="s">
        <v>1793</v>
      </c>
      <c r="B516" t="s">
        <v>13</v>
      </c>
      <c r="C516" t="s">
        <v>1794</v>
      </c>
      <c r="D516" t="s">
        <v>9527</v>
      </c>
      <c r="E516">
        <v>23</v>
      </c>
      <c r="F516" t="s">
        <v>287</v>
      </c>
      <c r="G516" t="s">
        <v>115</v>
      </c>
      <c r="I516" s="1" t="d">
        <v>2011-12-09</v>
      </c>
      <c r="J516" t="s">
        <v>1795</v>
      </c>
      <c r="K516" s="17" t="s">
        <v>100</v>
      </c>
      <c r="L516">
        <v>3</v>
      </c>
    </row>
    <row r="517" spans="1:12" x14ac:dyDescent="0.25">
      <c r="A517" t="s">
        <v>1796</v>
      </c>
      <c r="B517" t="s">
        <v>79</v>
      </c>
      <c r="C517" t="s">
        <v>1332</v>
      </c>
      <c r="D517" t="s">
        <v>23</v>
      </c>
      <c r="E517">
        <v>37</v>
      </c>
      <c r="F517" t="s">
        <v>918</v>
      </c>
      <c r="G517" t="s">
        <v>351</v>
      </c>
      <c r="H517">
        <v>65624</v>
      </c>
      <c r="I517" s="1" t="d">
        <v>2023-05-02</v>
      </c>
      <c r="J517" t="s">
        <v>1797</v>
      </c>
      <c r="K517" s="17" t="s">
        <v>19</v>
      </c>
      <c r="L517">
        <v>3</v>
      </c>
    </row>
    <row r="518" spans="1:12" x14ac:dyDescent="0.25">
      <c r="A518" t="s">
        <v>1798</v>
      </c>
      <c r="B518" t="s">
        <v>1799</v>
      </c>
      <c r="C518" t="s">
        <v>140</v>
      </c>
      <c r="D518" t="s">
        <v>23</v>
      </c>
      <c r="E518">
        <v>21</v>
      </c>
      <c r="F518" t="s">
        <v>287</v>
      </c>
      <c r="G518" t="s">
        <v>283</v>
      </c>
      <c r="H518" s="2">
        <v>171274</v>
      </c>
      <c r="I518" s="1" t="d">
        <v>2022-03-21</v>
      </c>
      <c r="J518" t="s">
        <v>1800</v>
      </c>
      <c r="K518" s="17" t="s">
        <v>42</v>
      </c>
      <c r="L518">
        <v>3</v>
      </c>
    </row>
    <row r="519" spans="1:12" x14ac:dyDescent="0.25">
      <c r="A519" t="s">
        <v>1801</v>
      </c>
      <c r="B519" t="s">
        <v>769</v>
      </c>
      <c r="C519" t="s">
        <v>22</v>
      </c>
      <c r="D519" t="s">
        <v>46</v>
      </c>
      <c r="E519">
        <v>46</v>
      </c>
      <c r="F519" t="s">
        <v>422</v>
      </c>
      <c r="G519" t="s">
        <v>82</v>
      </c>
      <c r="H519" s="2">
        <v>69669</v>
      </c>
      <c r="I519" s="1" t="d">
        <v>2009-10-04</v>
      </c>
      <c r="J519" t="s">
        <v>1642</v>
      </c>
      <c r="K519" s="17" t="s">
        <v>370</v>
      </c>
      <c r="L519">
        <v>4</v>
      </c>
    </row>
    <row r="520" spans="1:12" x14ac:dyDescent="0.25">
      <c r="A520" t="s">
        <v>1802</v>
      </c>
      <c r="B520" t="s">
        <v>1689</v>
      </c>
      <c r="C520" t="s">
        <v>1030</v>
      </c>
      <c r="D520" t="s">
        <v>46</v>
      </c>
      <c r="E520">
        <v>42</v>
      </c>
      <c r="F520" t="s">
        <v>94</v>
      </c>
      <c r="G520" t="s">
        <v>82</v>
      </c>
      <c r="H520" t="s">
        <v>1803</v>
      </c>
      <c r="I520" s="1" t="d">
        <v>2024-01-31</v>
      </c>
      <c r="J520" t="s">
        <v>1804</v>
      </c>
      <c r="K520" s="17" t="s">
        <v>118</v>
      </c>
      <c r="L520">
        <v>5</v>
      </c>
    </row>
    <row r="521" spans="1:12" x14ac:dyDescent="0.25">
      <c r="A521" t="s">
        <v>1805</v>
      </c>
      <c r="B521" t="s">
        <v>1806</v>
      </c>
      <c r="C521" t="s">
        <v>37</v>
      </c>
      <c r="D521" t="s">
        <v>46</v>
      </c>
      <c r="E521">
        <v>29</v>
      </c>
      <c r="G521" t="s">
        <v>1215</v>
      </c>
      <c r="H521" t="s">
        <v>1807</v>
      </c>
      <c r="I521" s="1" t="d">
        <v>2006-09-22</v>
      </c>
      <c r="J521" t="s">
        <v>1808</v>
      </c>
      <c r="K521" s="17" t="s">
        <v>50</v>
      </c>
      <c r="L521">
        <v>3</v>
      </c>
    </row>
    <row r="522" spans="1:12" x14ac:dyDescent="0.25">
      <c r="A522" t="s">
        <v>1809</v>
      </c>
      <c r="B522" t="s">
        <v>789</v>
      </c>
      <c r="C522" t="s">
        <v>1622</v>
      </c>
      <c r="D522" t="s">
        <v>46</v>
      </c>
      <c r="E522">
        <v>33</v>
      </c>
      <c r="F522" t="s">
        <v>411</v>
      </c>
      <c r="G522" t="s">
        <v>170</v>
      </c>
      <c r="H522" t="s">
        <v>1810</v>
      </c>
      <c r="J522" t="s">
        <v>1811</v>
      </c>
      <c r="K522" s="17" t="s">
        <v>118</v>
      </c>
      <c r="L522">
        <v>4</v>
      </c>
    </row>
    <row r="523" spans="1:12" x14ac:dyDescent="0.25">
      <c r="A523" t="s">
        <v>1812</v>
      </c>
      <c r="B523" t="s">
        <v>37</v>
      </c>
      <c r="C523" t="s">
        <v>381</v>
      </c>
      <c r="D523" t="s">
        <v>23</v>
      </c>
      <c r="E523">
        <v>21</v>
      </c>
      <c r="F523" t="s">
        <v>319</v>
      </c>
      <c r="G523" t="s">
        <v>288</v>
      </c>
      <c r="H523">
        <v>54896</v>
      </c>
      <c r="I523" s="1" t="d">
        <v>2011-06-10</v>
      </c>
      <c r="J523" t="s">
        <v>383</v>
      </c>
      <c r="K523" s="17" t="s">
        <v>184</v>
      </c>
      <c r="L523">
        <v>1</v>
      </c>
    </row>
    <row r="524" spans="1:12" x14ac:dyDescent="0.25">
      <c r="A524" t="s">
        <v>1813</v>
      </c>
      <c r="B524" t="s">
        <v>13</v>
      </c>
      <c r="C524" t="s">
        <v>1814</v>
      </c>
      <c r="D524" t="s">
        <v>9527</v>
      </c>
      <c r="E524">
        <v>25</v>
      </c>
      <c r="F524" t="s">
        <v>365</v>
      </c>
      <c r="G524" t="s">
        <v>278</v>
      </c>
      <c r="H524" t="s">
        <v>1815</v>
      </c>
      <c r="I524" s="1" t="d">
        <v>2019-06-30</v>
      </c>
      <c r="J524" t="s">
        <v>1816</v>
      </c>
      <c r="K524" s="17" t="s">
        <v>370</v>
      </c>
      <c r="L524">
        <v>3</v>
      </c>
    </row>
    <row r="525" spans="1:12" x14ac:dyDescent="0.25">
      <c r="A525" t="s">
        <v>1817</v>
      </c>
      <c r="B525" t="s">
        <v>1086</v>
      </c>
      <c r="C525" t="s">
        <v>336</v>
      </c>
      <c r="D525" t="s">
        <v>9527</v>
      </c>
      <c r="E525">
        <v>58</v>
      </c>
      <c r="F525" t="s">
        <v>153</v>
      </c>
      <c r="G525" t="s">
        <v>586</v>
      </c>
      <c r="H525" t="s">
        <v>1818</v>
      </c>
      <c r="I525" s="1" t="d">
        <v>2013-01-21</v>
      </c>
      <c r="J525" t="s">
        <v>1819</v>
      </c>
      <c r="K525" s="17" t="s">
        <v>370</v>
      </c>
      <c r="L525">
        <v>4</v>
      </c>
    </row>
    <row r="526" spans="1:12" x14ac:dyDescent="0.25">
      <c r="A526" t="s">
        <v>1820</v>
      </c>
      <c r="B526" t="s">
        <v>102</v>
      </c>
      <c r="C526" t="s">
        <v>67</v>
      </c>
      <c r="D526" t="s">
        <v>9527</v>
      </c>
      <c r="E526">
        <v>39</v>
      </c>
      <c r="F526" t="s">
        <v>15</v>
      </c>
      <c r="G526" t="s">
        <v>912</v>
      </c>
      <c r="H526" s="2">
        <v>89572</v>
      </c>
      <c r="I526" s="1" t="d">
        <v>2015-12-26</v>
      </c>
      <c r="J526" t="s">
        <v>1529</v>
      </c>
      <c r="K526" s="17" t="s">
        <v>370</v>
      </c>
      <c r="L526">
        <v>3</v>
      </c>
    </row>
    <row r="527" spans="1:12" x14ac:dyDescent="0.25">
      <c r="A527" t="s">
        <v>1821</v>
      </c>
      <c r="B527" t="s">
        <v>652</v>
      </c>
      <c r="C527" t="s">
        <v>225</v>
      </c>
      <c r="D527" t="s">
        <v>9527</v>
      </c>
      <c r="E527">
        <v>35</v>
      </c>
      <c r="F527" t="s">
        <v>356</v>
      </c>
      <c r="G527" t="s">
        <v>82</v>
      </c>
      <c r="H527">
        <v>87495</v>
      </c>
      <c r="I527" s="1" t="d">
        <v>2011-06-28</v>
      </c>
      <c r="J527" t="s">
        <v>1822</v>
      </c>
      <c r="K527" s="17" t="s">
        <v>42</v>
      </c>
      <c r="L527">
        <v>4</v>
      </c>
    </row>
    <row r="528" spans="1:12" x14ac:dyDescent="0.25">
      <c r="A528" t="s">
        <v>1823</v>
      </c>
      <c r="B528" t="s">
        <v>1824</v>
      </c>
      <c r="C528" t="s">
        <v>847</v>
      </c>
      <c r="D528" t="s">
        <v>46</v>
      </c>
      <c r="E528">
        <v>43</v>
      </c>
      <c r="F528" t="s">
        <v>859</v>
      </c>
      <c r="G528" t="s">
        <v>912</v>
      </c>
      <c r="H528" s="2">
        <v>52597</v>
      </c>
      <c r="I528" s="1" t="d">
        <v>2013-03-22</v>
      </c>
      <c r="J528" t="s">
        <v>1076</v>
      </c>
      <c r="K528" s="17" t="s">
        <v>50</v>
      </c>
      <c r="L528">
        <v>2</v>
      </c>
    </row>
    <row r="529" spans="1:12" x14ac:dyDescent="0.25">
      <c r="A529" t="s">
        <v>1825</v>
      </c>
      <c r="B529" t="s">
        <v>1826</v>
      </c>
      <c r="C529" t="s">
        <v>1827</v>
      </c>
      <c r="D529" t="s">
        <v>46</v>
      </c>
      <c r="E529">
        <v>31</v>
      </c>
      <c r="F529" t="s">
        <v>258</v>
      </c>
      <c r="G529" t="s">
        <v>1828</v>
      </c>
      <c r="H529" t="s">
        <v>1829</v>
      </c>
      <c r="I529" s="1" t="d">
        <v>2015-03-12</v>
      </c>
      <c r="J529" t="s">
        <v>1830</v>
      </c>
      <c r="K529" s="17" t="s">
        <v>58</v>
      </c>
      <c r="L529">
        <v>1</v>
      </c>
    </row>
    <row r="530" spans="1:12" x14ac:dyDescent="0.25">
      <c r="A530" t="s">
        <v>1831</v>
      </c>
      <c r="B530" t="s">
        <v>125</v>
      </c>
      <c r="C530" t="s">
        <v>1306</v>
      </c>
      <c r="D530" t="s">
        <v>9527</v>
      </c>
      <c r="E530">
        <v>50</v>
      </c>
      <c r="F530" t="s">
        <v>153</v>
      </c>
      <c r="G530" t="s">
        <v>115</v>
      </c>
      <c r="H530" t="s">
        <v>1832</v>
      </c>
      <c r="I530" s="1" t="d">
        <v>2006-04-21</v>
      </c>
      <c r="J530" t="s">
        <v>1833</v>
      </c>
      <c r="K530" s="17" t="s">
        <v>184</v>
      </c>
      <c r="L530">
        <v>4</v>
      </c>
    </row>
    <row r="531" spans="1:12" x14ac:dyDescent="0.25">
      <c r="A531" t="s">
        <v>1834</v>
      </c>
      <c r="B531" t="s">
        <v>548</v>
      </c>
      <c r="C531" t="s">
        <v>474</v>
      </c>
      <c r="D531" t="s">
        <v>23</v>
      </c>
      <c r="E531">
        <v>42</v>
      </c>
      <c r="F531" t="s">
        <v>186</v>
      </c>
      <c r="G531" t="s">
        <v>82</v>
      </c>
      <c r="H531">
        <v>97455</v>
      </c>
      <c r="I531" s="1" t="d">
        <v>2019-03-18</v>
      </c>
      <c r="J531" t="s">
        <v>1835</v>
      </c>
      <c r="K531" s="17" t="s">
        <v>90</v>
      </c>
      <c r="L531">
        <v>3</v>
      </c>
    </row>
    <row r="532" spans="1:12" x14ac:dyDescent="0.25">
      <c r="A532" t="s">
        <v>1836</v>
      </c>
      <c r="B532" t="s">
        <v>1837</v>
      </c>
      <c r="C532" t="s">
        <v>1838</v>
      </c>
      <c r="D532" t="s">
        <v>9527</v>
      </c>
      <c r="E532">
        <v>32</v>
      </c>
      <c r="F532" t="s">
        <v>1839</v>
      </c>
      <c r="G532" t="s">
        <v>357</v>
      </c>
      <c r="H532">
        <v>78271</v>
      </c>
      <c r="I532" s="1" t="d">
        <v>2005-10-23</v>
      </c>
      <c r="J532" t="s">
        <v>1840</v>
      </c>
      <c r="K532" s="17" t="s">
        <v>118</v>
      </c>
      <c r="L532">
        <v>4</v>
      </c>
    </row>
    <row r="533" spans="1:12" x14ac:dyDescent="0.25">
      <c r="A533" t="s">
        <v>1841</v>
      </c>
      <c r="B533" t="s">
        <v>1842</v>
      </c>
      <c r="C533" t="s">
        <v>521</v>
      </c>
      <c r="D533" t="s">
        <v>23</v>
      </c>
      <c r="E533">
        <v>22</v>
      </c>
      <c r="F533" t="s">
        <v>114</v>
      </c>
      <c r="G533" t="s">
        <v>82</v>
      </c>
      <c r="H533" s="2">
        <v>93894</v>
      </c>
      <c r="I533" s="1" t="d">
        <v>2010-07-03</v>
      </c>
      <c r="J533" t="s">
        <v>1843</v>
      </c>
      <c r="K533" s="17" t="s">
        <v>149</v>
      </c>
      <c r="L533">
        <v>4</v>
      </c>
    </row>
    <row r="534" spans="1:12" x14ac:dyDescent="0.25">
      <c r="A534" t="s">
        <v>1844</v>
      </c>
      <c r="B534" t="s">
        <v>1845</v>
      </c>
      <c r="C534" t="s">
        <v>135</v>
      </c>
      <c r="D534" t="s">
        <v>46</v>
      </c>
      <c r="E534">
        <v>50</v>
      </c>
      <c r="F534" t="s">
        <v>108</v>
      </c>
      <c r="G534" t="s">
        <v>283</v>
      </c>
      <c r="H534">
        <v>176843</v>
      </c>
      <c r="I534" s="1" t="d">
        <v>2019-04-13</v>
      </c>
      <c r="J534" t="s">
        <v>611</v>
      </c>
      <c r="K534" s="17" t="s">
        <v>100</v>
      </c>
      <c r="L534">
        <v>3</v>
      </c>
    </row>
    <row r="535" spans="1:12" x14ac:dyDescent="0.25">
      <c r="A535" t="s">
        <v>1846</v>
      </c>
      <c r="B535" t="s">
        <v>702</v>
      </c>
      <c r="C535" t="s">
        <v>361</v>
      </c>
      <c r="D535" t="s">
        <v>9527</v>
      </c>
      <c r="E535">
        <v>60</v>
      </c>
      <c r="F535" t="s">
        <v>645</v>
      </c>
      <c r="G535" t="s">
        <v>82</v>
      </c>
      <c r="H535" t="s">
        <v>1847</v>
      </c>
      <c r="I535" s="1" t="d">
        <v>2020-08-13</v>
      </c>
      <c r="J535" t="s">
        <v>1848</v>
      </c>
      <c r="K535" s="17" t="s">
        <v>50</v>
      </c>
      <c r="L535">
        <v>3</v>
      </c>
    </row>
    <row r="536" spans="1:12" x14ac:dyDescent="0.25">
      <c r="A536" t="s">
        <v>1849</v>
      </c>
      <c r="B536" t="s">
        <v>1850</v>
      </c>
      <c r="C536" t="s">
        <v>1030</v>
      </c>
      <c r="D536" t="s">
        <v>46</v>
      </c>
      <c r="E536">
        <v>36</v>
      </c>
      <c r="F536" t="s">
        <v>1851</v>
      </c>
      <c r="G536" t="s">
        <v>526</v>
      </c>
      <c r="H536">
        <v>39683</v>
      </c>
      <c r="I536" s="1" t="d">
        <v>2020-11-19</v>
      </c>
      <c r="J536" t="s">
        <v>1852</v>
      </c>
      <c r="K536" s="17" t="s">
        <v>370</v>
      </c>
      <c r="L536">
        <v>4</v>
      </c>
    </row>
    <row r="537" spans="1:12" x14ac:dyDescent="0.25">
      <c r="A537" t="s">
        <v>1853</v>
      </c>
      <c r="B537" t="s">
        <v>1854</v>
      </c>
      <c r="C537" t="s">
        <v>681</v>
      </c>
      <c r="D537" t="s">
        <v>23</v>
      </c>
      <c r="E537">
        <v>44</v>
      </c>
      <c r="G537" t="s">
        <v>55</v>
      </c>
      <c r="H537" t="s">
        <v>1855</v>
      </c>
      <c r="J537" t="s">
        <v>1856</v>
      </c>
      <c r="K537" s="17" t="s">
        <v>90</v>
      </c>
      <c r="L537">
        <v>4</v>
      </c>
    </row>
    <row r="538" spans="1:12" x14ac:dyDescent="0.25">
      <c r="A538" t="s">
        <v>1857</v>
      </c>
      <c r="B538" t="s">
        <v>482</v>
      </c>
      <c r="C538" t="s">
        <v>1520</v>
      </c>
      <c r="D538" t="s">
        <v>23</v>
      </c>
      <c r="E538">
        <v>49</v>
      </c>
      <c r="F538" t="s">
        <v>1116</v>
      </c>
      <c r="G538" t="s">
        <v>48</v>
      </c>
      <c r="H538" s="2">
        <v>62929</v>
      </c>
      <c r="I538" s="1" t="d">
        <v>2012-08-09</v>
      </c>
      <c r="J538" t="s">
        <v>249</v>
      </c>
      <c r="K538" s="17" t="s">
        <v>207</v>
      </c>
      <c r="L538">
        <v>5</v>
      </c>
    </row>
    <row r="539" spans="1:12" x14ac:dyDescent="0.25">
      <c r="A539" t="s">
        <v>1858</v>
      </c>
      <c r="B539" t="s">
        <v>364</v>
      </c>
      <c r="C539" t="s">
        <v>1859</v>
      </c>
      <c r="D539" t="s">
        <v>46</v>
      </c>
      <c r="E539">
        <v>43</v>
      </c>
      <c r="F539" t="s">
        <v>859</v>
      </c>
      <c r="G539" t="s">
        <v>1860</v>
      </c>
      <c r="H539" t="s">
        <v>1861</v>
      </c>
      <c r="I539" s="1" t="d">
        <v>2021-07-26</v>
      </c>
      <c r="J539" t="s">
        <v>1862</v>
      </c>
      <c r="K539" s="17" t="s">
        <v>90</v>
      </c>
      <c r="L539">
        <v>4</v>
      </c>
    </row>
    <row r="540" spans="1:12" x14ac:dyDescent="0.25">
      <c r="A540" t="s">
        <v>1863</v>
      </c>
      <c r="B540" t="s">
        <v>1213</v>
      </c>
      <c r="C540" t="s">
        <v>1734</v>
      </c>
      <c r="D540" t="s">
        <v>23</v>
      </c>
      <c r="E540">
        <v>45</v>
      </c>
      <c r="F540" t="s">
        <v>752</v>
      </c>
      <c r="G540" t="s">
        <v>912</v>
      </c>
      <c r="H540" s="2">
        <v>81264</v>
      </c>
      <c r="I540" s="1" t="d">
        <v>2021-06-30</v>
      </c>
      <c r="J540" t="s">
        <v>1864</v>
      </c>
      <c r="K540" s="17" t="s">
        <v>118</v>
      </c>
      <c r="L540">
        <v>5</v>
      </c>
    </row>
    <row r="541" spans="1:12" x14ac:dyDescent="0.25">
      <c r="A541" t="s">
        <v>1865</v>
      </c>
      <c r="B541" t="s">
        <v>151</v>
      </c>
      <c r="C541" t="s">
        <v>215</v>
      </c>
      <c r="D541" t="s">
        <v>23</v>
      </c>
      <c r="E541">
        <v>21</v>
      </c>
      <c r="F541" t="s">
        <v>417</v>
      </c>
      <c r="G541" t="s">
        <v>1866</v>
      </c>
      <c r="I541" s="1" t="d">
        <v>2012-03-10</v>
      </c>
      <c r="J541" t="s">
        <v>219</v>
      </c>
      <c r="K541" s="17" t="s">
        <v>42</v>
      </c>
      <c r="L541">
        <v>3</v>
      </c>
    </row>
    <row r="542" spans="1:12" x14ac:dyDescent="0.25">
      <c r="A542" t="s">
        <v>1867</v>
      </c>
      <c r="B542" t="s">
        <v>1868</v>
      </c>
      <c r="C542" t="s">
        <v>1039</v>
      </c>
      <c r="D542" t="s">
        <v>9527</v>
      </c>
      <c r="E542">
        <v>21</v>
      </c>
      <c r="F542" t="s">
        <v>365</v>
      </c>
      <c r="G542" t="s">
        <v>526</v>
      </c>
      <c r="H542" t="s">
        <v>1869</v>
      </c>
      <c r="I542" s="1" t="d">
        <v>2020-11-14</v>
      </c>
      <c r="J542" t="s">
        <v>1870</v>
      </c>
      <c r="K542" s="17" t="s">
        <v>118</v>
      </c>
      <c r="L542">
        <v>4</v>
      </c>
    </row>
    <row r="543" spans="1:12" x14ac:dyDescent="0.25">
      <c r="A543" t="s">
        <v>1871</v>
      </c>
      <c r="B543" t="s">
        <v>102</v>
      </c>
      <c r="C543" t="s">
        <v>61</v>
      </c>
      <c r="D543" t="s">
        <v>46</v>
      </c>
      <c r="E543">
        <v>32</v>
      </c>
      <c r="F543" t="s">
        <v>522</v>
      </c>
      <c r="G543" t="s">
        <v>115</v>
      </c>
      <c r="H543">
        <v>93557</v>
      </c>
      <c r="I543" s="1" t="d">
        <v>2015-04-06</v>
      </c>
      <c r="J543" t="s">
        <v>561</v>
      </c>
      <c r="K543" s="17" t="s">
        <v>58</v>
      </c>
      <c r="L543">
        <v>4</v>
      </c>
    </row>
    <row r="544" spans="1:12" x14ac:dyDescent="0.25">
      <c r="A544" t="s">
        <v>1872</v>
      </c>
      <c r="B544" t="s">
        <v>433</v>
      </c>
      <c r="C544" t="s">
        <v>552</v>
      </c>
      <c r="D544" t="s">
        <v>23</v>
      </c>
      <c r="E544">
        <v>54</v>
      </c>
      <c r="F544" t="s">
        <v>666</v>
      </c>
      <c r="G544" t="s">
        <v>337</v>
      </c>
      <c r="H544" s="2">
        <v>47151</v>
      </c>
      <c r="I544" s="1" t="d">
        <v>2009-07-10</v>
      </c>
      <c r="J544" t="s">
        <v>1873</v>
      </c>
      <c r="K544" s="17" t="s">
        <v>58</v>
      </c>
      <c r="L544">
        <v>4</v>
      </c>
    </row>
    <row r="545" spans="1:12" x14ac:dyDescent="0.25">
      <c r="A545" t="s">
        <v>1874</v>
      </c>
      <c r="B545" t="s">
        <v>571</v>
      </c>
      <c r="C545" t="s">
        <v>1734</v>
      </c>
      <c r="D545" t="s">
        <v>23</v>
      </c>
      <c r="E545">
        <v>45</v>
      </c>
      <c r="F545" t="s">
        <v>478</v>
      </c>
      <c r="G545" t="s">
        <v>212</v>
      </c>
      <c r="H545">
        <v>56414</v>
      </c>
      <c r="I545" s="1" t="d">
        <v>2014-11-26</v>
      </c>
      <c r="J545" t="s">
        <v>1875</v>
      </c>
      <c r="K545" s="17" t="s">
        <v>58</v>
      </c>
      <c r="L545">
        <v>4</v>
      </c>
    </row>
    <row r="546" spans="1:12" x14ac:dyDescent="0.25">
      <c r="A546" t="s">
        <v>1876</v>
      </c>
      <c r="B546" t="s">
        <v>1877</v>
      </c>
      <c r="C546" t="s">
        <v>45</v>
      </c>
      <c r="D546" t="s">
        <v>23</v>
      </c>
      <c r="E546">
        <v>41</v>
      </c>
      <c r="F546" t="s">
        <v>296</v>
      </c>
      <c r="G546" t="s">
        <v>115</v>
      </c>
      <c r="H546" t="s">
        <v>1878</v>
      </c>
      <c r="I546" s="1" t="d">
        <v>2016-07-09</v>
      </c>
      <c r="J546" t="s">
        <v>1879</v>
      </c>
      <c r="K546" s="17" t="s">
        <v>34</v>
      </c>
      <c r="L546">
        <v>5</v>
      </c>
    </row>
    <row r="547" spans="1:12" x14ac:dyDescent="0.25">
      <c r="A547" t="s">
        <v>1880</v>
      </c>
      <c r="B547" t="s">
        <v>221</v>
      </c>
      <c r="C547" t="s">
        <v>1881</v>
      </c>
      <c r="D547" t="s">
        <v>23</v>
      </c>
      <c r="E547">
        <v>48</v>
      </c>
      <c r="F547" t="s">
        <v>108</v>
      </c>
      <c r="G547" t="s">
        <v>82</v>
      </c>
      <c r="H547" s="2">
        <v>87087</v>
      </c>
      <c r="I547" s="1" t="d">
        <v>2015-04-15</v>
      </c>
      <c r="J547" t="s">
        <v>1882</v>
      </c>
      <c r="K547" s="17" t="s">
        <v>370</v>
      </c>
      <c r="L547">
        <v>3</v>
      </c>
    </row>
    <row r="548" spans="1:12" x14ac:dyDescent="0.25">
      <c r="A548" t="s">
        <v>1883</v>
      </c>
      <c r="B548" t="s">
        <v>1162</v>
      </c>
      <c r="C548" t="s">
        <v>1266</v>
      </c>
      <c r="D548" t="s">
        <v>23</v>
      </c>
      <c r="E548">
        <v>45</v>
      </c>
      <c r="F548" t="s">
        <v>399</v>
      </c>
      <c r="G548" t="s">
        <v>16</v>
      </c>
      <c r="H548" t="s">
        <v>1884</v>
      </c>
      <c r="I548" s="1" t="d">
        <v>2019-05-22</v>
      </c>
      <c r="J548" t="s">
        <v>1005</v>
      </c>
      <c r="K548" s="17" t="s">
        <v>34</v>
      </c>
      <c r="L548">
        <v>2</v>
      </c>
    </row>
    <row r="549" spans="1:12" x14ac:dyDescent="0.25">
      <c r="A549" t="s">
        <v>1885</v>
      </c>
      <c r="B549" t="s">
        <v>945</v>
      </c>
      <c r="C549" t="s">
        <v>145</v>
      </c>
      <c r="D549" t="s">
        <v>23</v>
      </c>
      <c r="E549">
        <v>42</v>
      </c>
      <c r="F549" t="s">
        <v>122</v>
      </c>
      <c r="G549" t="s">
        <v>25</v>
      </c>
      <c r="H549" t="s">
        <v>1886</v>
      </c>
      <c r="I549" s="1" t="d">
        <v>2006-11-28</v>
      </c>
      <c r="J549" t="s">
        <v>148</v>
      </c>
      <c r="K549" s="17" t="s">
        <v>149</v>
      </c>
      <c r="L549">
        <v>3</v>
      </c>
    </row>
    <row r="550" spans="1:12" x14ac:dyDescent="0.25">
      <c r="A550" t="s">
        <v>1887</v>
      </c>
      <c r="B550" t="s">
        <v>1888</v>
      </c>
      <c r="C550" t="s">
        <v>684</v>
      </c>
      <c r="D550" t="s">
        <v>23</v>
      </c>
      <c r="E550">
        <v>47</v>
      </c>
      <c r="F550" t="s">
        <v>1889</v>
      </c>
      <c r="G550" t="s">
        <v>115</v>
      </c>
      <c r="H550">
        <v>106285</v>
      </c>
      <c r="I550" s="1" t="d">
        <v>2011-01-07</v>
      </c>
      <c r="J550" t="s">
        <v>1890</v>
      </c>
      <c r="K550" s="17" t="s">
        <v>42</v>
      </c>
      <c r="L550">
        <v>5</v>
      </c>
    </row>
    <row r="551" spans="1:12" x14ac:dyDescent="0.25">
      <c r="A551" t="s">
        <v>1891</v>
      </c>
      <c r="B551" t="s">
        <v>410</v>
      </c>
      <c r="C551" t="s">
        <v>1892</v>
      </c>
      <c r="D551" t="s">
        <v>9527</v>
      </c>
      <c r="E551">
        <v>37</v>
      </c>
      <c r="F551" t="s">
        <v>230</v>
      </c>
      <c r="G551" t="s">
        <v>177</v>
      </c>
      <c r="H551" t="s">
        <v>1893</v>
      </c>
      <c r="I551" s="1" t="d">
        <v>2005-09-22</v>
      </c>
      <c r="J551" t="s">
        <v>1894</v>
      </c>
      <c r="K551" s="17" t="s">
        <v>370</v>
      </c>
      <c r="L551">
        <v>4</v>
      </c>
    </row>
    <row r="552" spans="1:12" x14ac:dyDescent="0.25">
      <c r="A552" t="s">
        <v>1895</v>
      </c>
      <c r="B552" t="s">
        <v>1896</v>
      </c>
      <c r="C552" t="s">
        <v>237</v>
      </c>
      <c r="D552" t="s">
        <v>23</v>
      </c>
      <c r="E552">
        <v>34</v>
      </c>
      <c r="F552" t="s">
        <v>258</v>
      </c>
      <c r="G552" t="s">
        <v>177</v>
      </c>
      <c r="I552" s="1" t="d">
        <v>2011-08-10</v>
      </c>
      <c r="J552" t="s">
        <v>1897</v>
      </c>
      <c r="K552" s="17" t="s">
        <v>149</v>
      </c>
      <c r="L552">
        <v>3</v>
      </c>
    </row>
    <row r="553" spans="1:12" x14ac:dyDescent="0.25">
      <c r="A553" t="s">
        <v>1898</v>
      </c>
      <c r="B553" t="s">
        <v>112</v>
      </c>
      <c r="C553" t="s">
        <v>488</v>
      </c>
      <c r="D553" t="s">
        <v>23</v>
      </c>
      <c r="E553">
        <v>50</v>
      </c>
      <c r="F553" t="s">
        <v>38</v>
      </c>
      <c r="G553" t="s">
        <v>967</v>
      </c>
      <c r="H553" t="s">
        <v>1899</v>
      </c>
      <c r="I553" s="1" t="d">
        <v>2007-05-26</v>
      </c>
      <c r="J553" t="s">
        <v>537</v>
      </c>
      <c r="K553" s="17" t="s">
        <v>71</v>
      </c>
      <c r="L553">
        <v>2</v>
      </c>
    </row>
    <row r="554" spans="1:12" x14ac:dyDescent="0.25">
      <c r="A554" t="s">
        <v>1900</v>
      </c>
      <c r="B554" t="s">
        <v>394</v>
      </c>
      <c r="C554" t="s">
        <v>1901</v>
      </c>
      <c r="D554" t="s">
        <v>9527</v>
      </c>
      <c r="E554">
        <v>45</v>
      </c>
      <c r="F554" t="s">
        <v>752</v>
      </c>
      <c r="G554" t="s">
        <v>205</v>
      </c>
      <c r="H554" t="s">
        <v>1902</v>
      </c>
      <c r="I554" s="1" t="d">
        <v>2013-10-08</v>
      </c>
      <c r="J554" t="s">
        <v>1903</v>
      </c>
      <c r="K554" s="17" t="s">
        <v>19</v>
      </c>
      <c r="L554">
        <v>4</v>
      </c>
    </row>
    <row r="555" spans="1:12" x14ac:dyDescent="0.25">
      <c r="A555" t="s">
        <v>1904</v>
      </c>
      <c r="B555" t="s">
        <v>144</v>
      </c>
      <c r="C555" t="s">
        <v>372</v>
      </c>
      <c r="D555" t="s">
        <v>9527</v>
      </c>
      <c r="E555">
        <v>46</v>
      </c>
      <c r="F555" t="s">
        <v>576</v>
      </c>
      <c r="G555" t="s">
        <v>55</v>
      </c>
      <c r="H555" t="s">
        <v>1905</v>
      </c>
      <c r="I555" s="1" t="d">
        <v>2007-05-23</v>
      </c>
      <c r="J555" t="s">
        <v>1906</v>
      </c>
      <c r="K555" s="17" t="s">
        <v>58</v>
      </c>
      <c r="L555">
        <v>3</v>
      </c>
    </row>
    <row r="556" spans="1:12" x14ac:dyDescent="0.25">
      <c r="A556" t="s">
        <v>1907</v>
      </c>
      <c r="B556" t="s">
        <v>180</v>
      </c>
      <c r="C556" t="s">
        <v>847</v>
      </c>
      <c r="D556" t="s">
        <v>9527</v>
      </c>
      <c r="E556">
        <v>32</v>
      </c>
      <c r="F556" t="s">
        <v>1908</v>
      </c>
      <c r="G556" t="s">
        <v>423</v>
      </c>
      <c r="H556" t="s">
        <v>1909</v>
      </c>
      <c r="I556" s="1" t="d">
        <v>2010-06-22</v>
      </c>
      <c r="J556" t="s">
        <v>1910</v>
      </c>
      <c r="K556" s="17" t="s">
        <v>184</v>
      </c>
      <c r="L556">
        <v>3</v>
      </c>
    </row>
    <row r="557" spans="1:12" x14ac:dyDescent="0.25">
      <c r="A557" t="s">
        <v>1911</v>
      </c>
      <c r="B557" t="s">
        <v>709</v>
      </c>
      <c r="C557" t="s">
        <v>758</v>
      </c>
      <c r="D557" t="s">
        <v>23</v>
      </c>
      <c r="E557">
        <v>27</v>
      </c>
      <c r="F557" t="s">
        <v>406</v>
      </c>
      <c r="G557" t="s">
        <v>39</v>
      </c>
      <c r="H557" t="s">
        <v>1912</v>
      </c>
      <c r="I557" s="1" t="d">
        <v>2020-03-01</v>
      </c>
      <c r="J557" t="s">
        <v>1913</v>
      </c>
      <c r="K557" s="17" t="s">
        <v>58</v>
      </c>
      <c r="L557">
        <v>4</v>
      </c>
    </row>
    <row r="558" spans="1:12" x14ac:dyDescent="0.25">
      <c r="A558" t="s">
        <v>1914</v>
      </c>
      <c r="B558" t="s">
        <v>718</v>
      </c>
      <c r="C558" t="s">
        <v>377</v>
      </c>
      <c r="D558" t="s">
        <v>23</v>
      </c>
      <c r="E558">
        <v>26</v>
      </c>
      <c r="F558" t="s">
        <v>666</v>
      </c>
      <c r="G558" t="s">
        <v>82</v>
      </c>
      <c r="H558">
        <v>50966</v>
      </c>
      <c r="J558" t="s">
        <v>1915</v>
      </c>
      <c r="K558" s="17" t="s">
        <v>58</v>
      </c>
      <c r="L558">
        <v>4</v>
      </c>
    </row>
    <row r="559" spans="1:12" x14ac:dyDescent="0.25">
      <c r="A559" t="s">
        <v>1916</v>
      </c>
      <c r="B559" t="s">
        <v>901</v>
      </c>
      <c r="C559" t="s">
        <v>474</v>
      </c>
      <c r="D559" t="s">
        <v>9527</v>
      </c>
      <c r="E559">
        <v>25</v>
      </c>
      <c r="F559" t="s">
        <v>186</v>
      </c>
      <c r="G559" t="s">
        <v>182</v>
      </c>
      <c r="H559" s="2">
        <v>135098</v>
      </c>
      <c r="I559" s="1" t="d">
        <v>2024-11-17</v>
      </c>
      <c r="J559" t="s">
        <v>475</v>
      </c>
      <c r="K559" s="17" t="s">
        <v>100</v>
      </c>
      <c r="L559">
        <v>2</v>
      </c>
    </row>
    <row r="560" spans="1:12" x14ac:dyDescent="0.25">
      <c r="A560" t="s">
        <v>1917</v>
      </c>
      <c r="B560" t="s">
        <v>1325</v>
      </c>
      <c r="C560" t="s">
        <v>405</v>
      </c>
      <c r="D560" t="s">
        <v>23</v>
      </c>
      <c r="E560">
        <v>32</v>
      </c>
      <c r="F560" t="s">
        <v>54</v>
      </c>
      <c r="G560" t="s">
        <v>82</v>
      </c>
      <c r="H560" t="s">
        <v>1918</v>
      </c>
      <c r="I560" s="1" t="d">
        <v>2022-09-14</v>
      </c>
      <c r="J560" t="s">
        <v>1919</v>
      </c>
      <c r="K560" s="17" t="s">
        <v>207</v>
      </c>
      <c r="L560">
        <v>3</v>
      </c>
    </row>
    <row r="561" spans="1:12" x14ac:dyDescent="0.25">
      <c r="A561" t="s">
        <v>1920</v>
      </c>
      <c r="B561" t="s">
        <v>120</v>
      </c>
      <c r="C561" t="s">
        <v>1442</v>
      </c>
      <c r="D561" t="s">
        <v>46</v>
      </c>
      <c r="E561">
        <v>21</v>
      </c>
      <c r="F561" t="s">
        <v>319</v>
      </c>
      <c r="G561" t="s">
        <v>996</v>
      </c>
      <c r="H561">
        <v>116311</v>
      </c>
      <c r="I561" s="1" t="d">
        <v>2010-11-01</v>
      </c>
      <c r="J561" t="s">
        <v>1542</v>
      </c>
      <c r="K561" s="17" t="s">
        <v>58</v>
      </c>
      <c r="L561">
        <v>3</v>
      </c>
    </row>
    <row r="562" spans="1:12" x14ac:dyDescent="0.25">
      <c r="A562" t="s">
        <v>1921</v>
      </c>
      <c r="B562" t="s">
        <v>906</v>
      </c>
      <c r="C562" t="s">
        <v>225</v>
      </c>
      <c r="D562" t="s">
        <v>46</v>
      </c>
      <c r="E562">
        <v>40</v>
      </c>
      <c r="F562" t="s">
        <v>264</v>
      </c>
      <c r="G562" t="s">
        <v>641</v>
      </c>
      <c r="H562" t="s">
        <v>1922</v>
      </c>
      <c r="I562" s="1" t="d">
        <v>2010-11-14</v>
      </c>
      <c r="J562" t="s">
        <v>1923</v>
      </c>
      <c r="K562" s="17" t="s">
        <v>90</v>
      </c>
      <c r="L562">
        <v>3</v>
      </c>
    </row>
    <row r="563" spans="1:12" x14ac:dyDescent="0.25">
      <c r="A563" t="s">
        <v>1924</v>
      </c>
      <c r="B563" t="s">
        <v>151</v>
      </c>
      <c r="C563" t="s">
        <v>966</v>
      </c>
      <c r="D563" t="s">
        <v>46</v>
      </c>
      <c r="E563">
        <v>29</v>
      </c>
      <c r="F563" t="s">
        <v>169</v>
      </c>
      <c r="G563" t="s">
        <v>1584</v>
      </c>
      <c r="H563" t="s">
        <v>1925</v>
      </c>
      <c r="I563" s="1" t="d">
        <v>2020-05-30</v>
      </c>
      <c r="J563" t="s">
        <v>1926</v>
      </c>
      <c r="K563" s="17" t="s">
        <v>100</v>
      </c>
      <c r="L563">
        <v>4</v>
      </c>
    </row>
    <row r="564" spans="1:12" x14ac:dyDescent="0.25">
      <c r="A564" t="s">
        <v>1927</v>
      </c>
      <c r="B564" t="s">
        <v>1842</v>
      </c>
      <c r="C564" t="s">
        <v>1146</v>
      </c>
      <c r="D564" t="s">
        <v>9527</v>
      </c>
      <c r="E564">
        <v>36</v>
      </c>
      <c r="F564" t="s">
        <v>38</v>
      </c>
      <c r="G564" t="s">
        <v>55</v>
      </c>
      <c r="I564" s="1" t="d">
        <v>2016-09-27</v>
      </c>
      <c r="J564" t="s">
        <v>1928</v>
      </c>
      <c r="K564" s="17" t="s">
        <v>207</v>
      </c>
      <c r="L564">
        <v>4</v>
      </c>
    </row>
    <row r="565" spans="1:12" x14ac:dyDescent="0.25">
      <c r="A565" t="s">
        <v>1929</v>
      </c>
      <c r="B565" t="s">
        <v>1753</v>
      </c>
      <c r="C565" t="s">
        <v>660</v>
      </c>
      <c r="D565" t="s">
        <v>46</v>
      </c>
      <c r="E565">
        <v>49</v>
      </c>
      <c r="G565" t="s">
        <v>63</v>
      </c>
      <c r="H565" t="s">
        <v>1930</v>
      </c>
      <c r="I565" s="1" t="d">
        <v>2009-10-30</v>
      </c>
      <c r="J565" t="s">
        <v>1931</v>
      </c>
      <c r="K565" s="17" t="s">
        <v>100</v>
      </c>
      <c r="L565">
        <v>3</v>
      </c>
    </row>
    <row r="566" spans="1:12" x14ac:dyDescent="0.25">
      <c r="A566" t="s">
        <v>1932</v>
      </c>
      <c r="B566" t="s">
        <v>1002</v>
      </c>
      <c r="C566" t="s">
        <v>103</v>
      </c>
      <c r="D566" t="s">
        <v>9527</v>
      </c>
      <c r="E566">
        <v>34</v>
      </c>
      <c r="F566" t="s">
        <v>645</v>
      </c>
      <c r="G566" t="s">
        <v>82</v>
      </c>
      <c r="H566" t="s">
        <v>1933</v>
      </c>
      <c r="I566" s="1" t="d">
        <v>2020-04-22</v>
      </c>
      <c r="J566" t="s">
        <v>1934</v>
      </c>
      <c r="K566" s="17" t="s">
        <v>90</v>
      </c>
      <c r="L566">
        <v>4</v>
      </c>
    </row>
    <row r="567" spans="1:12" x14ac:dyDescent="0.25">
      <c r="A567" t="s">
        <v>1935</v>
      </c>
      <c r="B567" t="s">
        <v>1787</v>
      </c>
      <c r="C567" t="s">
        <v>181</v>
      </c>
      <c r="D567" t="s">
        <v>46</v>
      </c>
      <c r="E567">
        <v>30</v>
      </c>
      <c r="F567" t="s">
        <v>200</v>
      </c>
      <c r="G567" t="s">
        <v>82</v>
      </c>
      <c r="H567">
        <v>78237</v>
      </c>
      <c r="I567" s="1" t="d">
        <v>2021-08-15</v>
      </c>
      <c r="J567" t="s">
        <v>1597</v>
      </c>
      <c r="K567" s="17" t="s">
        <v>27</v>
      </c>
      <c r="L567">
        <v>5</v>
      </c>
    </row>
    <row r="568" spans="1:12" x14ac:dyDescent="0.25">
      <c r="A568" t="s">
        <v>1936</v>
      </c>
      <c r="B568" t="s">
        <v>659</v>
      </c>
      <c r="C568" t="s">
        <v>318</v>
      </c>
      <c r="D568" t="s">
        <v>23</v>
      </c>
      <c r="E568">
        <v>30</v>
      </c>
      <c r="F568" t="s">
        <v>666</v>
      </c>
      <c r="G568" t="s">
        <v>32</v>
      </c>
      <c r="H568" s="2">
        <v>48846</v>
      </c>
      <c r="I568" s="1" t="d">
        <v>2007-06-03</v>
      </c>
      <c r="J568" t="s">
        <v>1504</v>
      </c>
      <c r="K568" s="17" t="s">
        <v>50</v>
      </c>
      <c r="L568">
        <v>4</v>
      </c>
    </row>
    <row r="569" spans="1:12" x14ac:dyDescent="0.25">
      <c r="A569" t="s">
        <v>1937</v>
      </c>
      <c r="B569" t="s">
        <v>180</v>
      </c>
      <c r="C569" t="s">
        <v>488</v>
      </c>
      <c r="D569" t="s">
        <v>46</v>
      </c>
      <c r="E569">
        <v>36</v>
      </c>
      <c r="G569" t="s">
        <v>55</v>
      </c>
      <c r="H569" s="2">
        <v>45941</v>
      </c>
      <c r="I569" s="1" t="d">
        <v>2006-01-05</v>
      </c>
      <c r="J569" t="s">
        <v>1938</v>
      </c>
      <c r="K569" s="17" t="s">
        <v>19</v>
      </c>
      <c r="L569">
        <v>2</v>
      </c>
    </row>
    <row r="570" spans="1:12" x14ac:dyDescent="0.25">
      <c r="A570" t="s">
        <v>1939</v>
      </c>
      <c r="B570" t="s">
        <v>44</v>
      </c>
      <c r="C570" t="s">
        <v>715</v>
      </c>
      <c r="D570" t="s">
        <v>9527</v>
      </c>
      <c r="E570">
        <v>47</v>
      </c>
      <c r="F570" t="s">
        <v>15</v>
      </c>
      <c r="G570" t="s">
        <v>205</v>
      </c>
      <c r="H570" t="s">
        <v>1940</v>
      </c>
      <c r="I570" s="1" t="d">
        <v>2014-02-20</v>
      </c>
      <c r="J570" t="s">
        <v>1941</v>
      </c>
      <c r="K570" s="17" t="s">
        <v>19</v>
      </c>
      <c r="L570">
        <v>3</v>
      </c>
    </row>
    <row r="571" spans="1:12" x14ac:dyDescent="0.25">
      <c r="A571" t="s">
        <v>1942</v>
      </c>
      <c r="B571" t="s">
        <v>945</v>
      </c>
      <c r="C571" t="s">
        <v>1943</v>
      </c>
      <c r="D571" t="s">
        <v>9527</v>
      </c>
      <c r="E571">
        <v>38</v>
      </c>
      <c r="G571" t="s">
        <v>39</v>
      </c>
      <c r="H571" s="2">
        <v>67930</v>
      </c>
      <c r="I571" s="1" t="d">
        <v>2012-07-25</v>
      </c>
      <c r="J571" t="s">
        <v>1944</v>
      </c>
      <c r="K571" s="17" t="s">
        <v>149</v>
      </c>
      <c r="L571">
        <v>3</v>
      </c>
    </row>
    <row r="572" spans="1:12" x14ac:dyDescent="0.25">
      <c r="A572" t="s">
        <v>1945</v>
      </c>
      <c r="B572" t="s">
        <v>174</v>
      </c>
      <c r="C572" t="s">
        <v>318</v>
      </c>
      <c r="D572" t="s">
        <v>23</v>
      </c>
      <c r="E572">
        <v>48</v>
      </c>
      <c r="G572" t="s">
        <v>182</v>
      </c>
      <c r="H572">
        <v>111538</v>
      </c>
      <c r="I572" s="1" t="d">
        <v>2017-08-01</v>
      </c>
      <c r="J572" t="s">
        <v>1946</v>
      </c>
      <c r="K572" s="17" t="s">
        <v>58</v>
      </c>
      <c r="L572">
        <v>3</v>
      </c>
    </row>
    <row r="573" spans="1:12" x14ac:dyDescent="0.25">
      <c r="A573" t="s">
        <v>1947</v>
      </c>
      <c r="B573" t="s">
        <v>1512</v>
      </c>
      <c r="C573" t="s">
        <v>140</v>
      </c>
      <c r="D573" t="s">
        <v>46</v>
      </c>
      <c r="E573">
        <v>37</v>
      </c>
      <c r="F573" t="s">
        <v>108</v>
      </c>
      <c r="G573" t="s">
        <v>191</v>
      </c>
      <c r="H573" s="2">
        <v>92055</v>
      </c>
      <c r="I573" s="1" t="d">
        <v>2018-07-08</v>
      </c>
      <c r="J573" t="s">
        <v>1948</v>
      </c>
      <c r="K573" s="17" t="s">
        <v>184</v>
      </c>
      <c r="L573">
        <v>4</v>
      </c>
    </row>
    <row r="574" spans="1:12" x14ac:dyDescent="0.25">
      <c r="A574" t="s">
        <v>1949</v>
      </c>
      <c r="B574" t="s">
        <v>630</v>
      </c>
      <c r="C574" t="s">
        <v>1326</v>
      </c>
      <c r="D574" t="s">
        <v>9527</v>
      </c>
      <c r="E574">
        <v>36</v>
      </c>
      <c r="F574" t="s">
        <v>1950</v>
      </c>
      <c r="G574" t="s">
        <v>69</v>
      </c>
      <c r="H574" t="s">
        <v>1951</v>
      </c>
      <c r="I574" s="1" t="d">
        <v>2007-07-25</v>
      </c>
      <c r="J574" t="s">
        <v>1952</v>
      </c>
      <c r="K574" s="17" t="s">
        <v>149</v>
      </c>
      <c r="L574">
        <v>5</v>
      </c>
    </row>
    <row r="575" spans="1:12" x14ac:dyDescent="0.25">
      <c r="A575" t="s">
        <v>1953</v>
      </c>
      <c r="B575" t="s">
        <v>323</v>
      </c>
      <c r="C575" t="s">
        <v>1494</v>
      </c>
      <c r="D575" t="s">
        <v>23</v>
      </c>
      <c r="E575">
        <v>44</v>
      </c>
      <c r="G575" t="s">
        <v>82</v>
      </c>
      <c r="H575" s="2">
        <v>42719</v>
      </c>
      <c r="I575" s="1" t="d">
        <v>2017-01-02</v>
      </c>
      <c r="J575" t="s">
        <v>1954</v>
      </c>
      <c r="K575" s="17" t="s">
        <v>118</v>
      </c>
      <c r="L575">
        <v>3</v>
      </c>
    </row>
    <row r="576" spans="1:12" x14ac:dyDescent="0.25">
      <c r="A576" t="s">
        <v>1955</v>
      </c>
      <c r="B576" t="s">
        <v>294</v>
      </c>
      <c r="C576" t="s">
        <v>36</v>
      </c>
      <c r="D576" t="s">
        <v>23</v>
      </c>
      <c r="E576">
        <v>51</v>
      </c>
      <c r="F576" t="s">
        <v>559</v>
      </c>
      <c r="G576" t="s">
        <v>69</v>
      </c>
      <c r="I576" s="1" t="d">
        <v>2015-03-29</v>
      </c>
      <c r="J576" t="s">
        <v>1956</v>
      </c>
      <c r="K576" s="17" t="s">
        <v>34</v>
      </c>
      <c r="L576">
        <v>4</v>
      </c>
    </row>
    <row r="577" spans="1:12" x14ac:dyDescent="0.25">
      <c r="A577" t="s">
        <v>1957</v>
      </c>
      <c r="B577" t="s">
        <v>410</v>
      </c>
      <c r="C577" t="s">
        <v>1958</v>
      </c>
      <c r="D577" t="s">
        <v>9527</v>
      </c>
      <c r="E577">
        <v>34</v>
      </c>
      <c r="F577" t="s">
        <v>365</v>
      </c>
      <c r="G577" t="s">
        <v>115</v>
      </c>
      <c r="H577" t="s">
        <v>1959</v>
      </c>
      <c r="I577" s="1" t="d">
        <v>2011-12-22</v>
      </c>
      <c r="J577" t="s">
        <v>1960</v>
      </c>
      <c r="K577" s="17" t="s">
        <v>118</v>
      </c>
      <c r="L577">
        <v>4</v>
      </c>
    </row>
    <row r="578" spans="1:12" x14ac:dyDescent="0.25">
      <c r="A578" t="s">
        <v>1961</v>
      </c>
      <c r="B578" t="s">
        <v>102</v>
      </c>
      <c r="C578" t="s">
        <v>1266</v>
      </c>
      <c r="D578" t="s">
        <v>23</v>
      </c>
      <c r="E578">
        <v>37</v>
      </c>
      <c r="F578" t="s">
        <v>114</v>
      </c>
      <c r="G578" t="s">
        <v>39</v>
      </c>
      <c r="H578" s="2">
        <v>83529</v>
      </c>
      <c r="I578" s="1" t="d">
        <v>2005-08-17</v>
      </c>
      <c r="J578" t="s">
        <v>1962</v>
      </c>
      <c r="K578" s="17" t="s">
        <v>118</v>
      </c>
      <c r="L578">
        <v>3</v>
      </c>
    </row>
    <row r="579" spans="1:12" x14ac:dyDescent="0.25">
      <c r="A579" t="s">
        <v>1963</v>
      </c>
      <c r="B579" t="s">
        <v>804</v>
      </c>
      <c r="C579" t="s">
        <v>1964</v>
      </c>
      <c r="D579" t="s">
        <v>46</v>
      </c>
      <c r="E579">
        <v>38</v>
      </c>
      <c r="F579" t="s">
        <v>68</v>
      </c>
      <c r="G579" t="s">
        <v>39</v>
      </c>
      <c r="I579" s="1" t="d">
        <v>2021-05-10</v>
      </c>
      <c r="J579" t="s">
        <v>1965</v>
      </c>
      <c r="K579" s="17" t="s">
        <v>27</v>
      </c>
      <c r="L579">
        <v>4</v>
      </c>
    </row>
    <row r="580" spans="1:12" x14ac:dyDescent="0.25">
      <c r="A580" t="s">
        <v>1966</v>
      </c>
      <c r="B580" t="s">
        <v>709</v>
      </c>
      <c r="C580" t="s">
        <v>37</v>
      </c>
      <c r="D580" t="s">
        <v>9527</v>
      </c>
      <c r="E580">
        <v>25</v>
      </c>
      <c r="F580" t="s">
        <v>422</v>
      </c>
      <c r="G580" t="s">
        <v>217</v>
      </c>
      <c r="H580" t="s">
        <v>1967</v>
      </c>
      <c r="J580" t="s">
        <v>1968</v>
      </c>
      <c r="K580" s="17" t="s">
        <v>50</v>
      </c>
      <c r="L580">
        <v>3</v>
      </c>
    </row>
    <row r="581" spans="1:12" x14ac:dyDescent="0.25">
      <c r="A581" t="s">
        <v>1969</v>
      </c>
      <c r="B581" t="s">
        <v>102</v>
      </c>
      <c r="C581" t="s">
        <v>295</v>
      </c>
      <c r="D581" t="s">
        <v>46</v>
      </c>
      <c r="E581">
        <v>39</v>
      </c>
      <c r="F581" t="s">
        <v>190</v>
      </c>
      <c r="G581" t="s">
        <v>278</v>
      </c>
      <c r="I581" s="1" t="d">
        <v>2009-10-17</v>
      </c>
      <c r="J581" t="s">
        <v>1970</v>
      </c>
      <c r="K581" s="17" t="s">
        <v>149</v>
      </c>
      <c r="L581">
        <v>3</v>
      </c>
    </row>
    <row r="582" spans="1:12" x14ac:dyDescent="0.25">
      <c r="A582" t="s">
        <v>1971</v>
      </c>
      <c r="B582" t="s">
        <v>664</v>
      </c>
      <c r="C582" t="s">
        <v>1972</v>
      </c>
      <c r="D582" t="s">
        <v>23</v>
      </c>
      <c r="E582">
        <v>42</v>
      </c>
      <c r="F582" t="s">
        <v>31</v>
      </c>
      <c r="G582" t="s">
        <v>69</v>
      </c>
      <c r="H582" t="s">
        <v>1973</v>
      </c>
      <c r="I582" s="1" t="d">
        <v>2021-07-28</v>
      </c>
      <c r="J582" t="s">
        <v>1974</v>
      </c>
      <c r="K582" s="17" t="s">
        <v>27</v>
      </c>
      <c r="L582">
        <v>3</v>
      </c>
    </row>
    <row r="583" spans="1:12" x14ac:dyDescent="0.25">
      <c r="A583" t="s">
        <v>1975</v>
      </c>
      <c r="B583" t="s">
        <v>1350</v>
      </c>
      <c r="C583" t="s">
        <v>1976</v>
      </c>
      <c r="D583" t="s">
        <v>9527</v>
      </c>
      <c r="E583">
        <v>34</v>
      </c>
      <c r="F583" t="s">
        <v>108</v>
      </c>
      <c r="G583" t="s">
        <v>170</v>
      </c>
      <c r="H583" t="s">
        <v>1977</v>
      </c>
      <c r="I583" s="1" t="d">
        <v>2010-11-14</v>
      </c>
      <c r="J583" t="s">
        <v>1978</v>
      </c>
      <c r="K583" s="17" t="s">
        <v>184</v>
      </c>
      <c r="L583">
        <v>1</v>
      </c>
    </row>
    <row r="584" spans="1:12" x14ac:dyDescent="0.25">
      <c r="A584" t="s">
        <v>1979</v>
      </c>
      <c r="B584" t="s">
        <v>1368</v>
      </c>
      <c r="C584" t="s">
        <v>45</v>
      </c>
      <c r="D584" t="s">
        <v>9527</v>
      </c>
      <c r="E584">
        <v>43</v>
      </c>
      <c r="G584" t="s">
        <v>82</v>
      </c>
      <c r="H584" t="s">
        <v>1980</v>
      </c>
      <c r="I584" s="1" t="d">
        <v>2021-11-06</v>
      </c>
      <c r="J584" t="s">
        <v>1981</v>
      </c>
      <c r="K584" s="17" t="s">
        <v>184</v>
      </c>
      <c r="L584">
        <v>3</v>
      </c>
    </row>
    <row r="585" spans="1:12" x14ac:dyDescent="0.25">
      <c r="A585" t="s">
        <v>1982</v>
      </c>
      <c r="B585" t="s">
        <v>221</v>
      </c>
      <c r="C585" t="s">
        <v>474</v>
      </c>
      <c r="D585" t="s">
        <v>9527</v>
      </c>
      <c r="E585">
        <v>34</v>
      </c>
      <c r="F585" t="s">
        <v>1983</v>
      </c>
      <c r="G585" t="s">
        <v>48</v>
      </c>
      <c r="H585" t="s">
        <v>1984</v>
      </c>
      <c r="I585" s="1" t="d">
        <v>2021-02-01</v>
      </c>
      <c r="J585" t="s">
        <v>1985</v>
      </c>
      <c r="K585" s="17" t="s">
        <v>19</v>
      </c>
      <c r="L585">
        <v>4</v>
      </c>
    </row>
    <row r="586" spans="1:12" x14ac:dyDescent="0.25">
      <c r="A586" t="s">
        <v>1986</v>
      </c>
      <c r="B586" t="s">
        <v>1403</v>
      </c>
      <c r="C586" t="s">
        <v>599</v>
      </c>
      <c r="D586" t="s">
        <v>46</v>
      </c>
      <c r="E586">
        <v>46</v>
      </c>
      <c r="F586" t="s">
        <v>186</v>
      </c>
      <c r="G586" t="s">
        <v>182</v>
      </c>
      <c r="H586" s="2">
        <v>136250</v>
      </c>
      <c r="I586" s="1" t="d">
        <v>2012-10-24</v>
      </c>
      <c r="J586" t="s">
        <v>1603</v>
      </c>
      <c r="K586" s="17" t="s">
        <v>19</v>
      </c>
      <c r="L586">
        <v>3</v>
      </c>
    </row>
    <row r="587" spans="1:12" x14ac:dyDescent="0.25">
      <c r="A587" t="s">
        <v>1987</v>
      </c>
      <c r="B587" t="s">
        <v>773</v>
      </c>
      <c r="C587" t="s">
        <v>599</v>
      </c>
      <c r="D587" t="s">
        <v>9527</v>
      </c>
      <c r="E587">
        <v>38</v>
      </c>
      <c r="F587" t="s">
        <v>190</v>
      </c>
      <c r="G587" t="s">
        <v>191</v>
      </c>
      <c r="H587" t="s">
        <v>1988</v>
      </c>
      <c r="I587" s="1" t="d">
        <v>2015-12-05</v>
      </c>
      <c r="J587" t="s">
        <v>1989</v>
      </c>
      <c r="K587" s="17" t="s">
        <v>370</v>
      </c>
      <c r="L587">
        <v>4</v>
      </c>
    </row>
    <row r="588" spans="1:12" x14ac:dyDescent="0.25">
      <c r="A588" t="s">
        <v>1990</v>
      </c>
      <c r="B588" t="s">
        <v>931</v>
      </c>
      <c r="C588" t="s">
        <v>1991</v>
      </c>
      <c r="D588" t="s">
        <v>46</v>
      </c>
      <c r="E588">
        <v>37</v>
      </c>
      <c r="F588" t="s">
        <v>245</v>
      </c>
      <c r="G588" t="s">
        <v>141</v>
      </c>
      <c r="H588">
        <v>69131</v>
      </c>
      <c r="I588" s="1" t="d">
        <v>2019-06-07</v>
      </c>
      <c r="J588" t="s">
        <v>1992</v>
      </c>
      <c r="K588" s="17" t="s">
        <v>71</v>
      </c>
      <c r="L588">
        <v>1</v>
      </c>
    </row>
    <row r="589" spans="1:12" x14ac:dyDescent="0.25">
      <c r="A589" t="s">
        <v>1993</v>
      </c>
      <c r="B589" t="s">
        <v>221</v>
      </c>
      <c r="C589" t="s">
        <v>327</v>
      </c>
      <c r="D589" t="s">
        <v>46</v>
      </c>
      <c r="E589">
        <v>27</v>
      </c>
      <c r="F589" t="s">
        <v>31</v>
      </c>
      <c r="G589" t="s">
        <v>170</v>
      </c>
      <c r="H589" t="s">
        <v>1994</v>
      </c>
      <c r="I589" s="1" t="d">
        <v>2016-06-02</v>
      </c>
      <c r="J589" t="s">
        <v>1995</v>
      </c>
      <c r="K589" s="17" t="s">
        <v>149</v>
      </c>
      <c r="L589">
        <v>3</v>
      </c>
    </row>
    <row r="590" spans="1:12" x14ac:dyDescent="0.25">
      <c r="A590" t="s">
        <v>1996</v>
      </c>
      <c r="B590" t="s">
        <v>1997</v>
      </c>
      <c r="C590" t="s">
        <v>1384</v>
      </c>
      <c r="D590" t="s">
        <v>46</v>
      </c>
      <c r="E590">
        <v>67</v>
      </c>
      <c r="F590" t="s">
        <v>406</v>
      </c>
      <c r="G590" t="s">
        <v>1277</v>
      </c>
      <c r="I590" s="1" t="d">
        <v>2018-08-28</v>
      </c>
      <c r="J590" t="s">
        <v>1387</v>
      </c>
      <c r="K590" s="17" t="s">
        <v>149</v>
      </c>
      <c r="L590">
        <v>3</v>
      </c>
    </row>
    <row r="591" spans="1:12" x14ac:dyDescent="0.25">
      <c r="A591" t="s">
        <v>1998</v>
      </c>
      <c r="B591" t="s">
        <v>571</v>
      </c>
      <c r="C591" t="s">
        <v>715</v>
      </c>
      <c r="D591" t="s">
        <v>23</v>
      </c>
      <c r="E591">
        <v>45</v>
      </c>
      <c r="F591" t="s">
        <v>146</v>
      </c>
      <c r="G591" t="s">
        <v>842</v>
      </c>
      <c r="I591" s="1" t="d">
        <v>2020-04-05</v>
      </c>
      <c r="J591" t="s">
        <v>1999</v>
      </c>
      <c r="K591" s="17" t="s">
        <v>118</v>
      </c>
      <c r="L591">
        <v>4</v>
      </c>
    </row>
    <row r="592" spans="1:12" x14ac:dyDescent="0.25">
      <c r="A592" t="s">
        <v>2000</v>
      </c>
      <c r="B592" t="s">
        <v>621</v>
      </c>
      <c r="C592" t="s">
        <v>1622</v>
      </c>
      <c r="D592" t="s">
        <v>23</v>
      </c>
      <c r="E592">
        <v>39</v>
      </c>
      <c r="F592" t="s">
        <v>417</v>
      </c>
      <c r="G592" t="s">
        <v>48</v>
      </c>
      <c r="H592" t="s">
        <v>2001</v>
      </c>
      <c r="I592" s="1" t="d">
        <v>2014-04-09</v>
      </c>
      <c r="J592" t="s">
        <v>2002</v>
      </c>
      <c r="K592" s="17" t="s">
        <v>90</v>
      </c>
      <c r="L592">
        <v>2</v>
      </c>
    </row>
    <row r="593" spans="1:12" x14ac:dyDescent="0.25">
      <c r="A593" t="s">
        <v>2003</v>
      </c>
      <c r="B593" t="s">
        <v>936</v>
      </c>
      <c r="C593" t="s">
        <v>135</v>
      </c>
      <c r="D593" t="s">
        <v>9527</v>
      </c>
      <c r="E593">
        <v>38</v>
      </c>
      <c r="F593" t="s">
        <v>2004</v>
      </c>
      <c r="G593" t="s">
        <v>16</v>
      </c>
      <c r="H593" s="2">
        <v>72197</v>
      </c>
      <c r="I593" s="1" t="d">
        <v>2016-05-30</v>
      </c>
      <c r="J593" t="s">
        <v>2005</v>
      </c>
      <c r="K593" s="17" t="s">
        <v>27</v>
      </c>
      <c r="L593">
        <v>3</v>
      </c>
    </row>
    <row r="594" spans="1:12" x14ac:dyDescent="0.25">
      <c r="A594" t="s">
        <v>2006</v>
      </c>
      <c r="B594" t="s">
        <v>520</v>
      </c>
      <c r="C594" t="s">
        <v>361</v>
      </c>
      <c r="D594" t="s">
        <v>23</v>
      </c>
      <c r="E594">
        <v>21</v>
      </c>
      <c r="F594" t="s">
        <v>75</v>
      </c>
      <c r="G594" t="s">
        <v>16</v>
      </c>
      <c r="H594">
        <v>95890</v>
      </c>
      <c r="I594" s="1" t="d">
        <v>2015-11-10</v>
      </c>
      <c r="J594" t="s">
        <v>362</v>
      </c>
      <c r="K594" s="17" t="s">
        <v>42</v>
      </c>
      <c r="L594">
        <v>3</v>
      </c>
    </row>
    <row r="595" spans="1:12" x14ac:dyDescent="0.25">
      <c r="A595" t="s">
        <v>2007</v>
      </c>
      <c r="B595" t="s">
        <v>144</v>
      </c>
      <c r="C595" t="s">
        <v>2008</v>
      </c>
      <c r="D595" t="s">
        <v>9527</v>
      </c>
      <c r="E595">
        <v>48</v>
      </c>
      <c r="G595" t="s">
        <v>231</v>
      </c>
      <c r="H595" s="2">
        <v>105105</v>
      </c>
      <c r="I595" s="1" t="d">
        <v>2016-08-18</v>
      </c>
      <c r="J595" t="s">
        <v>2009</v>
      </c>
      <c r="K595" s="17" t="s">
        <v>100</v>
      </c>
      <c r="L595">
        <v>4</v>
      </c>
    </row>
    <row r="596" spans="1:12" x14ac:dyDescent="0.25">
      <c r="A596" t="s">
        <v>2010</v>
      </c>
      <c r="B596" t="s">
        <v>1403</v>
      </c>
      <c r="C596" t="s">
        <v>966</v>
      </c>
      <c r="D596" t="s">
        <v>23</v>
      </c>
      <c r="E596">
        <v>44</v>
      </c>
      <c r="F596" t="s">
        <v>68</v>
      </c>
      <c r="G596" t="s">
        <v>500</v>
      </c>
      <c r="H596" s="2">
        <v>93024</v>
      </c>
      <c r="I596" s="1" t="d">
        <v>2009-04-25</v>
      </c>
      <c r="J596" t="s">
        <v>2011</v>
      </c>
      <c r="K596" s="17" t="s">
        <v>118</v>
      </c>
      <c r="L596">
        <v>3</v>
      </c>
    </row>
    <row r="597" spans="1:12" x14ac:dyDescent="0.25">
      <c r="A597" t="s">
        <v>2012</v>
      </c>
      <c r="B597" t="s">
        <v>1826</v>
      </c>
      <c r="C597" t="s">
        <v>2013</v>
      </c>
      <c r="D597" t="s">
        <v>9527</v>
      </c>
      <c r="E597">
        <v>29</v>
      </c>
      <c r="F597" t="s">
        <v>126</v>
      </c>
      <c r="G597" t="s">
        <v>357</v>
      </c>
      <c r="H597" t="s">
        <v>2014</v>
      </c>
      <c r="I597" s="1" t="d">
        <v>2018-06-27</v>
      </c>
      <c r="J597" t="s">
        <v>2015</v>
      </c>
      <c r="K597" s="17" t="s">
        <v>42</v>
      </c>
      <c r="L597">
        <v>3</v>
      </c>
    </row>
    <row r="598" spans="1:12" x14ac:dyDescent="0.25">
      <c r="A598" t="s">
        <v>2016</v>
      </c>
      <c r="B598" t="s">
        <v>162</v>
      </c>
      <c r="C598" t="s">
        <v>2017</v>
      </c>
      <c r="D598" t="s">
        <v>46</v>
      </c>
      <c r="E598">
        <v>51</v>
      </c>
      <c r="F598" t="s">
        <v>1116</v>
      </c>
      <c r="G598" t="s">
        <v>337</v>
      </c>
      <c r="H598" t="s">
        <v>2018</v>
      </c>
      <c r="I598" s="1" t="d">
        <v>2012-09-26</v>
      </c>
      <c r="J598" t="s">
        <v>1507</v>
      </c>
      <c r="K598" s="17" t="s">
        <v>149</v>
      </c>
      <c r="L598">
        <v>4</v>
      </c>
    </row>
    <row r="599" spans="1:12" x14ac:dyDescent="0.25">
      <c r="A599" t="s">
        <v>2019</v>
      </c>
      <c r="B599" t="s">
        <v>1124</v>
      </c>
      <c r="C599" t="s">
        <v>361</v>
      </c>
      <c r="D599" t="s">
        <v>23</v>
      </c>
      <c r="E599">
        <v>46</v>
      </c>
      <c r="F599" t="s">
        <v>859</v>
      </c>
      <c r="G599" t="s">
        <v>205</v>
      </c>
      <c r="H599" t="s">
        <v>2020</v>
      </c>
      <c r="I599" s="1" t="d">
        <v>2011-10-22</v>
      </c>
      <c r="J599" t="s">
        <v>2021</v>
      </c>
      <c r="K599" s="17" t="s">
        <v>71</v>
      </c>
      <c r="L599">
        <v>3</v>
      </c>
    </row>
    <row r="600" spans="1:12" x14ac:dyDescent="0.25">
      <c r="A600" t="s">
        <v>2022</v>
      </c>
      <c r="B600" t="s">
        <v>499</v>
      </c>
      <c r="C600" t="s">
        <v>2023</v>
      </c>
      <c r="D600" t="s">
        <v>46</v>
      </c>
      <c r="E600">
        <v>21</v>
      </c>
      <c r="F600" t="s">
        <v>2024</v>
      </c>
      <c r="G600" t="s">
        <v>357</v>
      </c>
      <c r="I600" s="1" t="d">
        <v>2015-07-27</v>
      </c>
      <c r="J600" t="s">
        <v>2025</v>
      </c>
      <c r="K600" s="17" t="s">
        <v>27</v>
      </c>
      <c r="L600">
        <v>3</v>
      </c>
    </row>
    <row r="601" spans="1:12" x14ac:dyDescent="0.25">
      <c r="A601" t="s">
        <v>2026</v>
      </c>
      <c r="B601" t="s">
        <v>769</v>
      </c>
      <c r="C601" t="s">
        <v>395</v>
      </c>
      <c r="D601" t="s">
        <v>46</v>
      </c>
      <c r="E601">
        <v>33</v>
      </c>
      <c r="F601" t="s">
        <v>859</v>
      </c>
      <c r="G601" t="s">
        <v>283</v>
      </c>
      <c r="H601" t="s">
        <v>2027</v>
      </c>
      <c r="I601" s="1" t="d">
        <v>2011-05-05</v>
      </c>
      <c r="J601" t="s">
        <v>959</v>
      </c>
      <c r="K601" s="17" t="s">
        <v>90</v>
      </c>
      <c r="L601">
        <v>3</v>
      </c>
    </row>
    <row r="602" spans="1:12" x14ac:dyDescent="0.25">
      <c r="A602" t="s">
        <v>2028</v>
      </c>
      <c r="B602" t="s">
        <v>499</v>
      </c>
      <c r="C602" t="s">
        <v>252</v>
      </c>
      <c r="D602" t="s">
        <v>9527</v>
      </c>
      <c r="E602">
        <v>21</v>
      </c>
      <c r="F602" t="s">
        <v>2029</v>
      </c>
      <c r="G602" t="s">
        <v>115</v>
      </c>
      <c r="H602" t="s">
        <v>2030</v>
      </c>
      <c r="I602" s="1" t="d">
        <v>2019-12-22</v>
      </c>
      <c r="J602" t="s">
        <v>501</v>
      </c>
      <c r="K602" s="17" t="s">
        <v>118</v>
      </c>
      <c r="L602">
        <v>4</v>
      </c>
    </row>
    <row r="603" spans="1:12" x14ac:dyDescent="0.25">
      <c r="A603" t="s">
        <v>2031</v>
      </c>
      <c r="B603" t="s">
        <v>467</v>
      </c>
      <c r="C603" t="s">
        <v>37</v>
      </c>
      <c r="D603" t="s">
        <v>23</v>
      </c>
      <c r="E603">
        <v>41</v>
      </c>
      <c r="F603" t="s">
        <v>559</v>
      </c>
      <c r="G603" t="s">
        <v>82</v>
      </c>
      <c r="H603" t="s">
        <v>2032</v>
      </c>
      <c r="J603" t="s">
        <v>2033</v>
      </c>
      <c r="K603" s="17" t="s">
        <v>42</v>
      </c>
      <c r="L603">
        <v>3</v>
      </c>
    </row>
    <row r="604" spans="1:12" x14ac:dyDescent="0.25">
      <c r="A604" t="s">
        <v>2034</v>
      </c>
      <c r="B604" t="s">
        <v>583</v>
      </c>
      <c r="C604" t="s">
        <v>665</v>
      </c>
      <c r="D604" t="s">
        <v>23</v>
      </c>
      <c r="E604">
        <v>30</v>
      </c>
      <c r="F604" t="s">
        <v>589</v>
      </c>
      <c r="G604" t="s">
        <v>141</v>
      </c>
      <c r="H604" t="s">
        <v>2035</v>
      </c>
      <c r="I604" s="1" t="d">
        <v>2010-06-15</v>
      </c>
      <c r="J604" t="s">
        <v>2036</v>
      </c>
      <c r="K604" s="17" t="s">
        <v>34</v>
      </c>
      <c r="L604">
        <v>4</v>
      </c>
    </row>
    <row r="605" spans="1:12" x14ac:dyDescent="0.25">
      <c r="A605" t="s">
        <v>2037</v>
      </c>
      <c r="B605" t="s">
        <v>86</v>
      </c>
      <c r="C605" t="s">
        <v>427</v>
      </c>
      <c r="D605" t="s">
        <v>46</v>
      </c>
      <c r="E605">
        <v>34</v>
      </c>
      <c r="F605" t="s">
        <v>38</v>
      </c>
      <c r="G605" t="s">
        <v>191</v>
      </c>
      <c r="H605">
        <v>60134</v>
      </c>
      <c r="I605" s="1" t="d">
        <v>2022-01-09</v>
      </c>
      <c r="J605" t="s">
        <v>1778</v>
      </c>
      <c r="K605" s="17" t="s">
        <v>50</v>
      </c>
      <c r="L605">
        <v>3</v>
      </c>
    </row>
    <row r="606" spans="1:12" x14ac:dyDescent="0.25">
      <c r="A606" t="s">
        <v>2038</v>
      </c>
      <c r="B606" t="s">
        <v>448</v>
      </c>
      <c r="C606" t="s">
        <v>168</v>
      </c>
      <c r="D606" t="s">
        <v>23</v>
      </c>
      <c r="E606">
        <v>54</v>
      </c>
      <c r="F606" t="s">
        <v>365</v>
      </c>
      <c r="G606" t="s">
        <v>55</v>
      </c>
      <c r="H606" t="s">
        <v>2039</v>
      </c>
      <c r="I606" s="1" t="d">
        <v>2008-06-14</v>
      </c>
      <c r="J606" t="s">
        <v>1497</v>
      </c>
      <c r="K606" s="17" t="s">
        <v>34</v>
      </c>
      <c r="L606">
        <v>4</v>
      </c>
    </row>
    <row r="607" spans="1:12" x14ac:dyDescent="0.25">
      <c r="A607" t="s">
        <v>2040</v>
      </c>
      <c r="B607" t="s">
        <v>2041</v>
      </c>
      <c r="C607" t="s">
        <v>540</v>
      </c>
      <c r="D607" t="s">
        <v>46</v>
      </c>
      <c r="E607">
        <v>42</v>
      </c>
      <c r="F607" t="s">
        <v>269</v>
      </c>
      <c r="G607" t="s">
        <v>115</v>
      </c>
      <c r="H607" t="s">
        <v>2042</v>
      </c>
      <c r="I607" s="1" t="d">
        <v>2016-09-04</v>
      </c>
      <c r="J607" t="s">
        <v>2043</v>
      </c>
      <c r="K607" s="17" t="s">
        <v>184</v>
      </c>
      <c r="L607">
        <v>5</v>
      </c>
    </row>
    <row r="608" spans="1:12" x14ac:dyDescent="0.25">
      <c r="A608" t="s">
        <v>2044</v>
      </c>
      <c r="B608" t="s">
        <v>2045</v>
      </c>
      <c r="C608" t="s">
        <v>474</v>
      </c>
      <c r="D608" t="s">
        <v>9527</v>
      </c>
      <c r="E608">
        <v>22</v>
      </c>
      <c r="G608" t="s">
        <v>842</v>
      </c>
      <c r="H608" t="s">
        <v>2046</v>
      </c>
      <c r="J608" t="s">
        <v>2047</v>
      </c>
      <c r="K608" s="17" t="s">
        <v>71</v>
      </c>
      <c r="L608">
        <v>4</v>
      </c>
    </row>
    <row r="609" spans="1:12" x14ac:dyDescent="0.25">
      <c r="A609" t="s">
        <v>2048</v>
      </c>
      <c r="B609" t="s">
        <v>684</v>
      </c>
      <c r="C609" t="s">
        <v>181</v>
      </c>
      <c r="D609" t="s">
        <v>46</v>
      </c>
      <c r="E609">
        <v>41</v>
      </c>
      <c r="F609" t="s">
        <v>649</v>
      </c>
      <c r="G609" t="s">
        <v>63</v>
      </c>
      <c r="H609" s="2">
        <v>139262</v>
      </c>
      <c r="I609" s="1" t="d">
        <v>2019-12-05</v>
      </c>
      <c r="J609" t="s">
        <v>2049</v>
      </c>
      <c r="K609" s="17" t="s">
        <v>34</v>
      </c>
      <c r="L609">
        <v>5</v>
      </c>
    </row>
    <row r="610" spans="1:12" x14ac:dyDescent="0.25">
      <c r="A610" t="s">
        <v>2050</v>
      </c>
      <c r="B610" t="s">
        <v>162</v>
      </c>
      <c r="C610" t="s">
        <v>1030</v>
      </c>
      <c r="D610" t="s">
        <v>23</v>
      </c>
      <c r="E610">
        <v>44</v>
      </c>
      <c r="F610" t="s">
        <v>264</v>
      </c>
      <c r="G610" t="s">
        <v>88</v>
      </c>
      <c r="H610" t="s">
        <v>2051</v>
      </c>
      <c r="I610" s="1" t="d">
        <v>2020-10-09</v>
      </c>
      <c r="J610" t="s">
        <v>2052</v>
      </c>
      <c r="K610" s="17" t="s">
        <v>100</v>
      </c>
      <c r="L610">
        <v>2</v>
      </c>
    </row>
    <row r="611" spans="1:12" x14ac:dyDescent="0.25">
      <c r="A611" t="s">
        <v>2053</v>
      </c>
      <c r="B611" t="s">
        <v>2054</v>
      </c>
      <c r="C611" t="s">
        <v>2055</v>
      </c>
      <c r="D611" t="s">
        <v>46</v>
      </c>
      <c r="E611">
        <v>44</v>
      </c>
      <c r="F611" t="s">
        <v>649</v>
      </c>
      <c r="G611" t="s">
        <v>217</v>
      </c>
      <c r="I611" s="1" t="d">
        <v>2008-12-16</v>
      </c>
      <c r="J611" t="s">
        <v>2056</v>
      </c>
      <c r="K611" s="17" t="s">
        <v>207</v>
      </c>
      <c r="L611">
        <v>4</v>
      </c>
    </row>
    <row r="612" spans="1:12" x14ac:dyDescent="0.25">
      <c r="A612" t="s">
        <v>2057</v>
      </c>
      <c r="B612" t="s">
        <v>262</v>
      </c>
      <c r="C612" t="s">
        <v>295</v>
      </c>
      <c r="D612" t="s">
        <v>46</v>
      </c>
      <c r="E612">
        <v>45</v>
      </c>
      <c r="F612" t="s">
        <v>532</v>
      </c>
      <c r="G612" t="s">
        <v>337</v>
      </c>
      <c r="H612" t="s">
        <v>2058</v>
      </c>
      <c r="I612" s="1" t="d">
        <v>2010-05-30</v>
      </c>
      <c r="J612" t="s">
        <v>2059</v>
      </c>
      <c r="K612" s="17" t="s">
        <v>27</v>
      </c>
      <c r="L612">
        <v>4</v>
      </c>
    </row>
    <row r="613" spans="1:12" x14ac:dyDescent="0.25">
      <c r="A613" t="s">
        <v>2060</v>
      </c>
      <c r="B613" t="s">
        <v>2061</v>
      </c>
      <c r="C613" t="s">
        <v>1146</v>
      </c>
      <c r="D613" t="s">
        <v>46</v>
      </c>
      <c r="E613">
        <v>40</v>
      </c>
      <c r="F613" t="s">
        <v>38</v>
      </c>
      <c r="G613" t="s">
        <v>177</v>
      </c>
      <c r="H613">
        <v>53015</v>
      </c>
      <c r="I613" s="1" t="d">
        <v>2012-06-02</v>
      </c>
      <c r="J613" t="s">
        <v>2062</v>
      </c>
      <c r="K613" s="17" t="s">
        <v>58</v>
      </c>
      <c r="L613">
        <v>4</v>
      </c>
    </row>
    <row r="614" spans="1:12" x14ac:dyDescent="0.25">
      <c r="A614" t="s">
        <v>2063</v>
      </c>
      <c r="B614" t="s">
        <v>151</v>
      </c>
      <c r="C614" t="s">
        <v>2064</v>
      </c>
      <c r="D614" t="s">
        <v>9527</v>
      </c>
      <c r="E614">
        <v>42</v>
      </c>
      <c r="F614" t="s">
        <v>2065</v>
      </c>
      <c r="G614" t="s">
        <v>842</v>
      </c>
      <c r="I614" s="1" t="d">
        <v>2018-12-02</v>
      </c>
      <c r="J614" t="s">
        <v>96</v>
      </c>
      <c r="K614" s="17" t="s">
        <v>100</v>
      </c>
      <c r="L614">
        <v>3</v>
      </c>
    </row>
    <row r="615" spans="1:12" x14ac:dyDescent="0.25">
      <c r="A615" t="s">
        <v>2066</v>
      </c>
      <c r="B615" t="s">
        <v>630</v>
      </c>
      <c r="C615" t="s">
        <v>61</v>
      </c>
      <c r="D615" t="s">
        <v>23</v>
      </c>
      <c r="E615">
        <v>28</v>
      </c>
      <c r="F615" t="s">
        <v>15</v>
      </c>
      <c r="G615" t="s">
        <v>48</v>
      </c>
      <c r="I615" s="1" t="d">
        <v>2020-08-08</v>
      </c>
      <c r="J615" t="s">
        <v>2067</v>
      </c>
      <c r="K615" s="17" t="s">
        <v>370</v>
      </c>
      <c r="L615">
        <v>4</v>
      </c>
    </row>
    <row r="616" spans="1:12" x14ac:dyDescent="0.25">
      <c r="A616" t="s">
        <v>2068</v>
      </c>
      <c r="B616" t="s">
        <v>221</v>
      </c>
      <c r="C616" t="s">
        <v>599</v>
      </c>
      <c r="D616" t="s">
        <v>9527</v>
      </c>
      <c r="E616">
        <v>32</v>
      </c>
      <c r="F616" t="s">
        <v>417</v>
      </c>
      <c r="G616" t="s">
        <v>278</v>
      </c>
      <c r="H616" s="2">
        <v>96617</v>
      </c>
      <c r="I616" s="1" t="d">
        <v>2012-04-24</v>
      </c>
      <c r="J616" t="s">
        <v>2069</v>
      </c>
      <c r="K616" s="17" t="s">
        <v>184</v>
      </c>
      <c r="L616">
        <v>3</v>
      </c>
    </row>
    <row r="617" spans="1:12" x14ac:dyDescent="0.25">
      <c r="A617" t="s">
        <v>2070</v>
      </c>
      <c r="B617" t="s">
        <v>323</v>
      </c>
      <c r="C617" t="s">
        <v>93</v>
      </c>
      <c r="D617" t="s">
        <v>46</v>
      </c>
      <c r="E617">
        <v>22</v>
      </c>
      <c r="F617" t="s">
        <v>81</v>
      </c>
      <c r="G617" t="s">
        <v>147</v>
      </c>
      <c r="I617" s="1" t="d">
        <v>2010-02-12</v>
      </c>
      <c r="J617" t="s">
        <v>2071</v>
      </c>
      <c r="K617" s="17" t="s">
        <v>90</v>
      </c>
      <c r="L617">
        <v>3</v>
      </c>
    </row>
    <row r="618" spans="1:12" x14ac:dyDescent="0.25">
      <c r="A618" t="s">
        <v>2072</v>
      </c>
      <c r="B618" t="s">
        <v>281</v>
      </c>
      <c r="C618" t="s">
        <v>291</v>
      </c>
      <c r="D618" t="s">
        <v>46</v>
      </c>
      <c r="E618">
        <v>45</v>
      </c>
      <c r="F618" t="s">
        <v>153</v>
      </c>
      <c r="G618" t="s">
        <v>69</v>
      </c>
      <c r="H618" s="2">
        <v>84031</v>
      </c>
      <c r="I618" s="1" t="d">
        <v>2013-01-30</v>
      </c>
      <c r="J618" t="s">
        <v>2073</v>
      </c>
      <c r="K618" s="17" t="s">
        <v>90</v>
      </c>
      <c r="L618">
        <v>4</v>
      </c>
    </row>
    <row r="619" spans="1:12" x14ac:dyDescent="0.25">
      <c r="A619" t="s">
        <v>2074</v>
      </c>
      <c r="B619" t="s">
        <v>841</v>
      </c>
      <c r="C619" t="s">
        <v>2075</v>
      </c>
      <c r="D619" t="s">
        <v>9527</v>
      </c>
      <c r="E619">
        <v>39</v>
      </c>
      <c r="G619" t="s">
        <v>39</v>
      </c>
      <c r="H619" t="s">
        <v>2076</v>
      </c>
      <c r="I619" s="1" t="d">
        <v>2012-04-13</v>
      </c>
      <c r="J619" t="s">
        <v>2077</v>
      </c>
      <c r="K619" s="17" t="s">
        <v>118</v>
      </c>
      <c r="L619">
        <v>3</v>
      </c>
    </row>
    <row r="620" spans="1:12" x14ac:dyDescent="0.25">
      <c r="A620" t="s">
        <v>2078</v>
      </c>
      <c r="B620" t="s">
        <v>470</v>
      </c>
      <c r="C620" t="s">
        <v>2079</v>
      </c>
      <c r="D620" t="s">
        <v>46</v>
      </c>
      <c r="E620">
        <v>25</v>
      </c>
      <c r="F620" t="s">
        <v>859</v>
      </c>
      <c r="G620" t="s">
        <v>337</v>
      </c>
      <c r="H620" t="s">
        <v>2080</v>
      </c>
      <c r="I620" s="1" t="d">
        <v>2022-03-29</v>
      </c>
      <c r="J620" t="s">
        <v>2081</v>
      </c>
      <c r="K620" s="17" t="s">
        <v>100</v>
      </c>
      <c r="L620">
        <v>3</v>
      </c>
    </row>
    <row r="621" spans="1:12" x14ac:dyDescent="0.25">
      <c r="A621" t="s">
        <v>2082</v>
      </c>
      <c r="B621" t="s">
        <v>841</v>
      </c>
      <c r="C621" t="s">
        <v>37</v>
      </c>
      <c r="D621" t="s">
        <v>46</v>
      </c>
      <c r="E621">
        <v>39</v>
      </c>
      <c r="F621" t="s">
        <v>81</v>
      </c>
      <c r="G621" t="s">
        <v>614</v>
      </c>
      <c r="H621" t="s">
        <v>2083</v>
      </c>
      <c r="J621" t="s">
        <v>2084</v>
      </c>
      <c r="K621" s="17" t="s">
        <v>118</v>
      </c>
      <c r="L621">
        <v>5</v>
      </c>
    </row>
    <row r="622" spans="1:12" x14ac:dyDescent="0.25">
      <c r="A622" t="s">
        <v>2085</v>
      </c>
      <c r="B622" t="s">
        <v>833</v>
      </c>
      <c r="C622" t="s">
        <v>1356</v>
      </c>
      <c r="D622" t="s">
        <v>9527</v>
      </c>
      <c r="E622">
        <v>33</v>
      </c>
      <c r="F622" t="s">
        <v>918</v>
      </c>
      <c r="G622" t="s">
        <v>217</v>
      </c>
      <c r="I622" s="1" t="d">
        <v>2006-08-02</v>
      </c>
      <c r="J622" t="s">
        <v>298</v>
      </c>
      <c r="K622" s="17" t="s">
        <v>184</v>
      </c>
      <c r="L622">
        <v>3</v>
      </c>
    </row>
    <row r="623" spans="1:12" x14ac:dyDescent="0.25">
      <c r="A623" t="s">
        <v>2086</v>
      </c>
      <c r="B623" t="s">
        <v>102</v>
      </c>
      <c r="C623" t="s">
        <v>1564</v>
      </c>
      <c r="D623" t="s">
        <v>23</v>
      </c>
      <c r="E623">
        <v>42</v>
      </c>
      <c r="G623" t="s">
        <v>842</v>
      </c>
      <c r="I623" s="1" t="d">
        <v>2007-07-19</v>
      </c>
      <c r="J623" t="s">
        <v>1510</v>
      </c>
      <c r="K623" s="17" t="s">
        <v>90</v>
      </c>
      <c r="L623">
        <v>5</v>
      </c>
    </row>
    <row r="624" spans="1:12" x14ac:dyDescent="0.25">
      <c r="A624" t="s">
        <v>2087</v>
      </c>
      <c r="B624" t="s">
        <v>221</v>
      </c>
      <c r="C624" t="s">
        <v>1564</v>
      </c>
      <c r="D624" t="s">
        <v>23</v>
      </c>
      <c r="E624">
        <v>41</v>
      </c>
      <c r="F624" t="s">
        <v>114</v>
      </c>
      <c r="G624" t="s">
        <v>69</v>
      </c>
      <c r="H624" t="s">
        <v>2088</v>
      </c>
      <c r="I624" s="1" t="d">
        <v>2024-10-24</v>
      </c>
      <c r="J624" t="s">
        <v>693</v>
      </c>
      <c r="K624" s="17" t="s">
        <v>42</v>
      </c>
      <c r="L624">
        <v>4</v>
      </c>
    </row>
    <row r="625" spans="1:12" x14ac:dyDescent="0.25">
      <c r="A625" t="s">
        <v>2089</v>
      </c>
      <c r="B625" t="s">
        <v>1257</v>
      </c>
      <c r="C625" t="s">
        <v>87</v>
      </c>
      <c r="D625" t="s">
        <v>9527</v>
      </c>
      <c r="E625">
        <v>31</v>
      </c>
      <c r="F625" t="s">
        <v>2090</v>
      </c>
      <c r="G625" t="s">
        <v>88</v>
      </c>
      <c r="I625" s="1" t="d">
        <v>2010-10-29</v>
      </c>
      <c r="J625" t="s">
        <v>2091</v>
      </c>
      <c r="K625" s="17" t="s">
        <v>34</v>
      </c>
      <c r="L625">
        <v>4</v>
      </c>
    </row>
    <row r="626" spans="1:12" x14ac:dyDescent="0.25">
      <c r="A626" t="s">
        <v>2092</v>
      </c>
      <c r="B626" t="s">
        <v>773</v>
      </c>
      <c r="C626" t="s">
        <v>175</v>
      </c>
      <c r="D626" t="s">
        <v>46</v>
      </c>
      <c r="E626">
        <v>41</v>
      </c>
      <c r="F626" t="s">
        <v>186</v>
      </c>
      <c r="G626" t="s">
        <v>109</v>
      </c>
      <c r="H626" t="s">
        <v>2093</v>
      </c>
      <c r="I626" s="1" t="d">
        <v>2013-01-12</v>
      </c>
      <c r="J626" t="s">
        <v>431</v>
      </c>
      <c r="K626" s="17" t="s">
        <v>27</v>
      </c>
      <c r="L626">
        <v>4</v>
      </c>
    </row>
    <row r="627" spans="1:12" x14ac:dyDescent="0.25">
      <c r="A627" t="s">
        <v>2094</v>
      </c>
      <c r="B627" t="s">
        <v>2095</v>
      </c>
      <c r="C627" t="s">
        <v>2096</v>
      </c>
      <c r="D627" t="s">
        <v>46</v>
      </c>
      <c r="E627">
        <v>32</v>
      </c>
      <c r="F627" t="s">
        <v>169</v>
      </c>
      <c r="G627" t="s">
        <v>39</v>
      </c>
      <c r="H627" s="2">
        <v>62851</v>
      </c>
      <c r="I627" s="1" t="d">
        <v>2019-12-01</v>
      </c>
      <c r="J627" t="s">
        <v>2097</v>
      </c>
      <c r="K627" s="17" t="s">
        <v>50</v>
      </c>
      <c r="L627">
        <v>4</v>
      </c>
    </row>
    <row r="628" spans="1:12" x14ac:dyDescent="0.25">
      <c r="A628" t="s">
        <v>2098</v>
      </c>
      <c r="B628" t="s">
        <v>79</v>
      </c>
      <c r="C628" t="s">
        <v>1030</v>
      </c>
      <c r="D628" t="s">
        <v>9527</v>
      </c>
      <c r="E628">
        <v>51</v>
      </c>
      <c r="F628" t="s">
        <v>186</v>
      </c>
      <c r="G628" t="s">
        <v>48</v>
      </c>
      <c r="H628" s="2">
        <v>84860</v>
      </c>
      <c r="I628" s="1" t="d">
        <v>2018-08-10</v>
      </c>
      <c r="J628" t="s">
        <v>2099</v>
      </c>
      <c r="K628" s="17" t="s">
        <v>149</v>
      </c>
      <c r="L628">
        <v>2</v>
      </c>
    </row>
    <row r="629" spans="1:12" x14ac:dyDescent="0.25">
      <c r="A629" t="s">
        <v>2100</v>
      </c>
      <c r="B629" t="s">
        <v>79</v>
      </c>
      <c r="C629" t="s">
        <v>1320</v>
      </c>
      <c r="D629" t="s">
        <v>9527</v>
      </c>
      <c r="E629">
        <v>55</v>
      </c>
      <c r="F629" t="s">
        <v>264</v>
      </c>
      <c r="G629" t="s">
        <v>500</v>
      </c>
      <c r="H629" t="s">
        <v>2101</v>
      </c>
      <c r="I629" s="1" t="d">
        <v>2016-02-01</v>
      </c>
      <c r="J629" t="s">
        <v>2102</v>
      </c>
      <c r="K629" s="17" t="s">
        <v>27</v>
      </c>
      <c r="L629">
        <v>3</v>
      </c>
    </row>
    <row r="630" spans="1:12" x14ac:dyDescent="0.25">
      <c r="A630" t="s">
        <v>2103</v>
      </c>
      <c r="B630" t="s">
        <v>355</v>
      </c>
      <c r="C630" t="s">
        <v>168</v>
      </c>
      <c r="D630" t="s">
        <v>23</v>
      </c>
      <c r="E630">
        <v>53</v>
      </c>
      <c r="F630" t="s">
        <v>196</v>
      </c>
      <c r="G630" t="s">
        <v>500</v>
      </c>
      <c r="H630" t="s">
        <v>2104</v>
      </c>
      <c r="I630" s="1" t="d">
        <v>2019-11-05</v>
      </c>
      <c r="J630" t="s">
        <v>2105</v>
      </c>
      <c r="K630" s="17" t="s">
        <v>71</v>
      </c>
      <c r="L630">
        <v>3</v>
      </c>
    </row>
    <row r="631" spans="1:12" x14ac:dyDescent="0.25">
      <c r="A631" t="s">
        <v>2106</v>
      </c>
      <c r="B631" t="s">
        <v>833</v>
      </c>
      <c r="C631" t="s">
        <v>555</v>
      </c>
      <c r="D631" t="s">
        <v>9527</v>
      </c>
      <c r="E631">
        <v>38</v>
      </c>
      <c r="F631" t="s">
        <v>146</v>
      </c>
      <c r="G631" t="s">
        <v>170</v>
      </c>
      <c r="H631" t="s">
        <v>2107</v>
      </c>
      <c r="I631" s="1" t="d">
        <v>2015-10-05</v>
      </c>
      <c r="J631" t="s">
        <v>2108</v>
      </c>
      <c r="K631" s="17" t="s">
        <v>27</v>
      </c>
      <c r="L631">
        <v>3</v>
      </c>
    </row>
    <row r="632" spans="1:12" x14ac:dyDescent="0.25">
      <c r="A632" t="s">
        <v>2109</v>
      </c>
      <c r="B632" t="s">
        <v>563</v>
      </c>
      <c r="C632" t="s">
        <v>324</v>
      </c>
      <c r="D632" t="s">
        <v>23</v>
      </c>
      <c r="E632">
        <v>34</v>
      </c>
      <c r="F632" t="s">
        <v>230</v>
      </c>
      <c r="G632" t="s">
        <v>88</v>
      </c>
      <c r="H632" s="2">
        <v>68532</v>
      </c>
      <c r="I632" s="1" t="d">
        <v>2007-11-22</v>
      </c>
      <c r="J632" t="s">
        <v>2110</v>
      </c>
      <c r="K632" s="17" t="s">
        <v>90</v>
      </c>
      <c r="L632">
        <v>3</v>
      </c>
    </row>
    <row r="633" spans="1:12" x14ac:dyDescent="0.25">
      <c r="A633" t="s">
        <v>2111</v>
      </c>
      <c r="B633" t="s">
        <v>199</v>
      </c>
      <c r="C633" t="s">
        <v>665</v>
      </c>
      <c r="D633" t="s">
        <v>23</v>
      </c>
      <c r="E633">
        <v>43</v>
      </c>
      <c r="F633" t="s">
        <v>859</v>
      </c>
      <c r="G633" t="s">
        <v>526</v>
      </c>
      <c r="H633" t="s">
        <v>2112</v>
      </c>
      <c r="I633" s="1" t="d">
        <v>2019-05-29</v>
      </c>
      <c r="J633" t="s">
        <v>2113</v>
      </c>
      <c r="K633" s="17" t="s">
        <v>90</v>
      </c>
      <c r="L633">
        <v>5</v>
      </c>
    </row>
    <row r="634" spans="1:12" x14ac:dyDescent="0.25">
      <c r="A634" t="s">
        <v>2114</v>
      </c>
      <c r="B634" t="s">
        <v>60</v>
      </c>
      <c r="C634" t="s">
        <v>291</v>
      </c>
      <c r="D634" t="s">
        <v>46</v>
      </c>
      <c r="E634">
        <v>41</v>
      </c>
      <c r="F634" t="s">
        <v>75</v>
      </c>
      <c r="G634" t="s">
        <v>48</v>
      </c>
      <c r="H634" t="s">
        <v>2115</v>
      </c>
      <c r="I634" s="1" t="d">
        <v>2007-10-17</v>
      </c>
      <c r="J634" t="s">
        <v>2116</v>
      </c>
      <c r="K634" s="17" t="s">
        <v>118</v>
      </c>
      <c r="L634">
        <v>3</v>
      </c>
    </row>
    <row r="635" spans="1:12" x14ac:dyDescent="0.25">
      <c r="A635" t="s">
        <v>2117</v>
      </c>
      <c r="B635" t="s">
        <v>199</v>
      </c>
      <c r="C635" t="s">
        <v>2118</v>
      </c>
      <c r="D635" t="s">
        <v>46</v>
      </c>
      <c r="E635">
        <v>28</v>
      </c>
      <c r="F635" t="s">
        <v>114</v>
      </c>
      <c r="G635" t="s">
        <v>16</v>
      </c>
      <c r="H635" t="s">
        <v>2119</v>
      </c>
      <c r="I635" s="1" t="d">
        <v>2020-08-04</v>
      </c>
      <c r="J635" t="s">
        <v>2056</v>
      </c>
      <c r="K635" s="17" t="s">
        <v>42</v>
      </c>
      <c r="L635">
        <v>5</v>
      </c>
    </row>
    <row r="636" spans="1:12" x14ac:dyDescent="0.25">
      <c r="A636" t="s">
        <v>2120</v>
      </c>
      <c r="B636" t="s">
        <v>2121</v>
      </c>
      <c r="C636" t="s">
        <v>898</v>
      </c>
      <c r="D636" t="s">
        <v>23</v>
      </c>
      <c r="E636">
        <v>34</v>
      </c>
      <c r="F636" t="s">
        <v>24</v>
      </c>
      <c r="G636" t="s">
        <v>170</v>
      </c>
      <c r="H636" t="s">
        <v>2122</v>
      </c>
      <c r="I636" s="1" t="d">
        <v>2005-05-15</v>
      </c>
      <c r="J636" t="s">
        <v>2123</v>
      </c>
      <c r="K636" s="17" t="s">
        <v>207</v>
      </c>
      <c r="L636">
        <v>3</v>
      </c>
    </row>
    <row r="637" spans="1:12" x14ac:dyDescent="0.25">
      <c r="A637" t="s">
        <v>2124</v>
      </c>
      <c r="B637" t="s">
        <v>404</v>
      </c>
      <c r="C637" t="s">
        <v>324</v>
      </c>
      <c r="D637" t="s">
        <v>9527</v>
      </c>
      <c r="E637">
        <v>23</v>
      </c>
      <c r="F637" t="s">
        <v>122</v>
      </c>
      <c r="G637" t="s">
        <v>170</v>
      </c>
      <c r="H637" t="s">
        <v>2125</v>
      </c>
      <c r="I637" s="1" t="d">
        <v>2024-09-01</v>
      </c>
      <c r="J637" t="s">
        <v>1514</v>
      </c>
      <c r="K637" s="17" t="s">
        <v>42</v>
      </c>
      <c r="L637">
        <v>4</v>
      </c>
    </row>
    <row r="638" spans="1:12" x14ac:dyDescent="0.25">
      <c r="A638" t="s">
        <v>2126</v>
      </c>
      <c r="B638" t="s">
        <v>571</v>
      </c>
      <c r="C638" t="s">
        <v>2127</v>
      </c>
      <c r="D638" t="s">
        <v>23</v>
      </c>
      <c r="E638">
        <v>43</v>
      </c>
      <c r="F638" t="s">
        <v>1147</v>
      </c>
      <c r="G638" t="s">
        <v>141</v>
      </c>
      <c r="I638" s="1" t="d">
        <v>2011-10-02</v>
      </c>
      <c r="J638" t="s">
        <v>1708</v>
      </c>
      <c r="K638" s="17" t="s">
        <v>118</v>
      </c>
      <c r="L638">
        <v>3</v>
      </c>
    </row>
    <row r="639" spans="1:12" x14ac:dyDescent="0.25">
      <c r="A639" t="s">
        <v>2128</v>
      </c>
      <c r="B639" t="s">
        <v>874</v>
      </c>
      <c r="C639" t="s">
        <v>739</v>
      </c>
      <c r="D639" t="s">
        <v>9527</v>
      </c>
      <c r="E639">
        <v>26</v>
      </c>
      <c r="F639" t="s">
        <v>1107</v>
      </c>
      <c r="G639" t="s">
        <v>48</v>
      </c>
      <c r="H639" t="s">
        <v>2129</v>
      </c>
      <c r="I639" s="1" t="d">
        <v>2022-06-01</v>
      </c>
      <c r="J639" t="s">
        <v>1569</v>
      </c>
      <c r="K639" s="17" t="s">
        <v>34</v>
      </c>
      <c r="L639">
        <v>3</v>
      </c>
    </row>
    <row r="640" spans="1:12" x14ac:dyDescent="0.25">
      <c r="A640" t="s">
        <v>2130</v>
      </c>
      <c r="B640" t="s">
        <v>340</v>
      </c>
      <c r="C640" t="s">
        <v>1146</v>
      </c>
      <c r="D640" t="s">
        <v>23</v>
      </c>
      <c r="E640">
        <v>49</v>
      </c>
      <c r="G640" t="s">
        <v>288</v>
      </c>
      <c r="H640" s="2">
        <v>45258</v>
      </c>
      <c r="I640" s="1" t="d">
        <v>2021-02-27</v>
      </c>
      <c r="J640" t="s">
        <v>2131</v>
      </c>
      <c r="K640" s="17" t="s">
        <v>207</v>
      </c>
      <c r="L640">
        <v>3</v>
      </c>
    </row>
    <row r="641" spans="1:12" x14ac:dyDescent="0.25">
      <c r="A641" t="s">
        <v>2132</v>
      </c>
      <c r="B641" t="s">
        <v>335</v>
      </c>
      <c r="C641" t="s">
        <v>2023</v>
      </c>
      <c r="D641" t="s">
        <v>46</v>
      </c>
      <c r="E641">
        <v>49</v>
      </c>
      <c r="F641" t="s">
        <v>104</v>
      </c>
      <c r="G641" t="s">
        <v>212</v>
      </c>
      <c r="H641" t="s">
        <v>2133</v>
      </c>
      <c r="I641" s="1" t="d">
        <v>2024-04-08</v>
      </c>
      <c r="J641" t="s">
        <v>2134</v>
      </c>
      <c r="K641" s="17" t="s">
        <v>100</v>
      </c>
      <c r="L641">
        <v>5</v>
      </c>
    </row>
    <row r="642" spans="1:12" x14ac:dyDescent="0.25">
      <c r="A642" t="s">
        <v>2135</v>
      </c>
      <c r="B642" t="s">
        <v>410</v>
      </c>
      <c r="C642" t="s">
        <v>204</v>
      </c>
      <c r="D642" t="s">
        <v>23</v>
      </c>
      <c r="E642">
        <v>27</v>
      </c>
      <c r="F642" t="s">
        <v>264</v>
      </c>
      <c r="G642" t="s">
        <v>141</v>
      </c>
      <c r="H642">
        <v>99213</v>
      </c>
      <c r="I642" s="1" t="d">
        <v>2011-08-30</v>
      </c>
      <c r="J642" t="s">
        <v>2136</v>
      </c>
      <c r="K642" s="17" t="s">
        <v>71</v>
      </c>
      <c r="L642">
        <v>4</v>
      </c>
    </row>
    <row r="643" spans="1:12" x14ac:dyDescent="0.25">
      <c r="A643" t="s">
        <v>2137</v>
      </c>
      <c r="B643" t="s">
        <v>29</v>
      </c>
      <c r="C643" t="s">
        <v>457</v>
      </c>
      <c r="D643" t="s">
        <v>46</v>
      </c>
      <c r="E643">
        <v>39</v>
      </c>
      <c r="F643" t="s">
        <v>47</v>
      </c>
      <c r="G643" t="s">
        <v>191</v>
      </c>
      <c r="H643">
        <v>49370</v>
      </c>
      <c r="I643" s="1" t="d">
        <v>2011-07-30</v>
      </c>
      <c r="J643" t="s">
        <v>2138</v>
      </c>
      <c r="K643" s="17" t="s">
        <v>149</v>
      </c>
      <c r="L643">
        <v>4</v>
      </c>
    </row>
    <row r="644" spans="1:12" x14ac:dyDescent="0.25">
      <c r="A644" t="s">
        <v>2139</v>
      </c>
      <c r="B644" t="s">
        <v>1382</v>
      </c>
      <c r="C644" t="s">
        <v>2140</v>
      </c>
      <c r="D644" t="s">
        <v>23</v>
      </c>
      <c r="E644">
        <v>53</v>
      </c>
      <c r="F644" t="s">
        <v>68</v>
      </c>
      <c r="G644" t="s">
        <v>141</v>
      </c>
      <c r="H644" t="s">
        <v>2141</v>
      </c>
      <c r="I644" s="1" t="d">
        <v>2017-04-06</v>
      </c>
      <c r="J644" t="s">
        <v>1410</v>
      </c>
      <c r="K644" s="17" t="s">
        <v>207</v>
      </c>
      <c r="L644">
        <v>4</v>
      </c>
    </row>
    <row r="645" spans="1:12" x14ac:dyDescent="0.25">
      <c r="A645" t="s">
        <v>2142</v>
      </c>
      <c r="B645" t="s">
        <v>1382</v>
      </c>
      <c r="C645" t="s">
        <v>395</v>
      </c>
      <c r="D645" t="s">
        <v>23</v>
      </c>
      <c r="E645">
        <v>39</v>
      </c>
      <c r="F645" t="s">
        <v>104</v>
      </c>
      <c r="G645" t="s">
        <v>2143</v>
      </c>
      <c r="H645" t="s">
        <v>2144</v>
      </c>
      <c r="I645" s="1" t="d">
        <v>2023-03-16</v>
      </c>
      <c r="J645" t="s">
        <v>2145</v>
      </c>
      <c r="K645" s="17" t="s">
        <v>27</v>
      </c>
      <c r="L645">
        <v>3</v>
      </c>
    </row>
    <row r="646" spans="1:12" x14ac:dyDescent="0.25">
      <c r="A646" t="s">
        <v>2146</v>
      </c>
      <c r="B646" t="s">
        <v>2147</v>
      </c>
      <c r="C646" t="s">
        <v>286</v>
      </c>
      <c r="D646" t="s">
        <v>23</v>
      </c>
      <c r="E646">
        <v>23</v>
      </c>
      <c r="F646" t="s">
        <v>589</v>
      </c>
      <c r="G646" t="s">
        <v>127</v>
      </c>
      <c r="H646" t="s">
        <v>2148</v>
      </c>
      <c r="I646" s="1" t="d">
        <v>2024-11-15</v>
      </c>
      <c r="J646" t="s">
        <v>2149</v>
      </c>
      <c r="K646" s="17" t="s">
        <v>149</v>
      </c>
      <c r="L646">
        <v>4</v>
      </c>
    </row>
    <row r="647" spans="1:12" x14ac:dyDescent="0.25">
      <c r="A647" t="s">
        <v>2150</v>
      </c>
      <c r="B647" t="s">
        <v>404</v>
      </c>
      <c r="C647" t="s">
        <v>204</v>
      </c>
      <c r="D647" t="s">
        <v>46</v>
      </c>
      <c r="E647">
        <v>28</v>
      </c>
      <c r="F647" t="s">
        <v>230</v>
      </c>
      <c r="G647" t="s">
        <v>55</v>
      </c>
      <c r="H647" t="s">
        <v>2151</v>
      </c>
      <c r="I647" s="1" t="d">
        <v>2007-06-26</v>
      </c>
      <c r="J647" t="s">
        <v>1601</v>
      </c>
      <c r="K647" s="17" t="s">
        <v>27</v>
      </c>
      <c r="L647">
        <v>3</v>
      </c>
    </row>
    <row r="648" spans="1:12" x14ac:dyDescent="0.25">
      <c r="A648" t="s">
        <v>2152</v>
      </c>
      <c r="B648" t="s">
        <v>404</v>
      </c>
      <c r="C648" t="s">
        <v>729</v>
      </c>
      <c r="D648" t="s">
        <v>46</v>
      </c>
      <c r="E648">
        <v>21</v>
      </c>
      <c r="F648" t="s">
        <v>169</v>
      </c>
      <c r="G648" t="s">
        <v>39</v>
      </c>
      <c r="I648" s="1" t="d">
        <v>2015-07-31</v>
      </c>
      <c r="J648" t="s">
        <v>836</v>
      </c>
      <c r="K648" s="17" t="s">
        <v>42</v>
      </c>
      <c r="L648">
        <v>4</v>
      </c>
    </row>
    <row r="649" spans="1:12" x14ac:dyDescent="0.25">
      <c r="A649" t="s">
        <v>2153</v>
      </c>
      <c r="B649" t="s">
        <v>120</v>
      </c>
      <c r="C649" t="s">
        <v>336</v>
      </c>
      <c r="D649" t="s">
        <v>9527</v>
      </c>
      <c r="E649">
        <v>34</v>
      </c>
      <c r="F649" t="s">
        <v>122</v>
      </c>
      <c r="G649" t="s">
        <v>1719</v>
      </c>
      <c r="H649" t="s">
        <v>2154</v>
      </c>
      <c r="I649" s="1" t="d">
        <v>2015-12-09</v>
      </c>
      <c r="J649" t="s">
        <v>338</v>
      </c>
      <c r="K649" s="17" t="s">
        <v>50</v>
      </c>
      <c r="L649">
        <v>3</v>
      </c>
    </row>
    <row r="650" spans="1:12" x14ac:dyDescent="0.25">
      <c r="A650" t="s">
        <v>2155</v>
      </c>
      <c r="B650" t="s">
        <v>2156</v>
      </c>
      <c r="C650" t="s">
        <v>145</v>
      </c>
      <c r="D650" t="s">
        <v>46</v>
      </c>
      <c r="E650">
        <v>54</v>
      </c>
      <c r="F650" t="s">
        <v>576</v>
      </c>
      <c r="G650" t="s">
        <v>82</v>
      </c>
      <c r="I650" s="1" t="d">
        <v>2005-10-21</v>
      </c>
      <c r="J650" t="s">
        <v>2157</v>
      </c>
      <c r="K650" s="17" t="s">
        <v>19</v>
      </c>
      <c r="L650">
        <v>4</v>
      </c>
    </row>
    <row r="651" spans="1:12" x14ac:dyDescent="0.25">
      <c r="A651" t="s">
        <v>2158</v>
      </c>
      <c r="B651" t="s">
        <v>808</v>
      </c>
      <c r="C651" t="s">
        <v>512</v>
      </c>
      <c r="D651" t="s">
        <v>46</v>
      </c>
      <c r="E651">
        <v>41</v>
      </c>
      <c r="F651" t="s">
        <v>216</v>
      </c>
      <c r="G651" t="s">
        <v>115</v>
      </c>
      <c r="H651">
        <v>62505</v>
      </c>
      <c r="I651" s="1" t="d">
        <v>2008-04-21</v>
      </c>
      <c r="J651" t="s">
        <v>2159</v>
      </c>
      <c r="K651" s="17" t="s">
        <v>58</v>
      </c>
      <c r="L651">
        <v>3</v>
      </c>
    </row>
    <row r="652" spans="1:12" x14ac:dyDescent="0.25">
      <c r="A652" t="s">
        <v>2160</v>
      </c>
      <c r="B652" t="s">
        <v>1086</v>
      </c>
      <c r="C652" t="s">
        <v>168</v>
      </c>
      <c r="D652" t="s">
        <v>46</v>
      </c>
      <c r="E652">
        <v>38</v>
      </c>
      <c r="G652" t="s">
        <v>115</v>
      </c>
      <c r="H652" t="s">
        <v>2161</v>
      </c>
      <c r="I652" s="1" t="d">
        <v>2011-01-16</v>
      </c>
      <c r="J652" t="s">
        <v>2162</v>
      </c>
      <c r="K652" s="17" t="s">
        <v>50</v>
      </c>
      <c r="L652">
        <v>3</v>
      </c>
    </row>
    <row r="653" spans="1:12" x14ac:dyDescent="0.25">
      <c r="A653" t="s">
        <v>2163</v>
      </c>
      <c r="B653" t="s">
        <v>1241</v>
      </c>
      <c r="C653" t="s">
        <v>508</v>
      </c>
      <c r="D653" t="s">
        <v>9527</v>
      </c>
      <c r="E653">
        <v>37</v>
      </c>
      <c r="F653" t="s">
        <v>411</v>
      </c>
      <c r="G653" t="s">
        <v>191</v>
      </c>
      <c r="H653" s="2">
        <v>46073</v>
      </c>
      <c r="I653" s="1" t="d">
        <v>2017-11-26</v>
      </c>
      <c r="J653" t="s">
        <v>2164</v>
      </c>
      <c r="K653" s="17" t="s">
        <v>184</v>
      </c>
      <c r="L653">
        <v>2</v>
      </c>
    </row>
    <row r="654" spans="1:12" x14ac:dyDescent="0.25">
      <c r="A654" t="s">
        <v>2165</v>
      </c>
      <c r="B654" t="s">
        <v>659</v>
      </c>
      <c r="C654" t="s">
        <v>440</v>
      </c>
      <c r="D654" t="s">
        <v>9527</v>
      </c>
      <c r="E654">
        <v>46</v>
      </c>
      <c r="F654" t="s">
        <v>859</v>
      </c>
      <c r="G654" t="s">
        <v>88</v>
      </c>
      <c r="H654">
        <v>65105</v>
      </c>
      <c r="I654" s="1" t="d">
        <v>2006-12-27</v>
      </c>
      <c r="J654" t="s">
        <v>2166</v>
      </c>
      <c r="K654" s="17" t="s">
        <v>149</v>
      </c>
      <c r="L654">
        <v>4</v>
      </c>
    </row>
    <row r="655" spans="1:12" x14ac:dyDescent="0.25">
      <c r="A655" t="s">
        <v>2167</v>
      </c>
      <c r="B655" t="s">
        <v>112</v>
      </c>
      <c r="C655" t="s">
        <v>2168</v>
      </c>
      <c r="D655" t="s">
        <v>46</v>
      </c>
      <c r="E655">
        <v>24</v>
      </c>
      <c r="F655" t="s">
        <v>373</v>
      </c>
      <c r="G655" t="s">
        <v>191</v>
      </c>
      <c r="I655" s="1" t="d">
        <v>2013-11-28</v>
      </c>
      <c r="J655" t="s">
        <v>1574</v>
      </c>
      <c r="K655" s="17" t="s">
        <v>27</v>
      </c>
      <c r="L655">
        <v>4</v>
      </c>
    </row>
    <row r="656" spans="1:12" x14ac:dyDescent="0.25">
      <c r="A656" t="s">
        <v>2169</v>
      </c>
      <c r="B656" t="s">
        <v>773</v>
      </c>
      <c r="C656" t="s">
        <v>336</v>
      </c>
      <c r="D656" t="s">
        <v>9527</v>
      </c>
      <c r="E656">
        <v>27</v>
      </c>
      <c r="F656" t="s">
        <v>532</v>
      </c>
      <c r="G656" t="s">
        <v>69</v>
      </c>
      <c r="H656" t="s">
        <v>2170</v>
      </c>
      <c r="I656" s="1" t="d">
        <v>2018-10-08</v>
      </c>
      <c r="J656" t="s">
        <v>884</v>
      </c>
      <c r="K656" s="17" t="s">
        <v>19</v>
      </c>
      <c r="L656">
        <v>4</v>
      </c>
    </row>
    <row r="657" spans="1:12" x14ac:dyDescent="0.25">
      <c r="A657" t="s">
        <v>2171</v>
      </c>
      <c r="B657" t="s">
        <v>1769</v>
      </c>
      <c r="C657" t="s">
        <v>163</v>
      </c>
      <c r="D657" t="s">
        <v>46</v>
      </c>
      <c r="E657">
        <v>39</v>
      </c>
      <c r="F657" t="s">
        <v>365</v>
      </c>
      <c r="G657" t="s">
        <v>177</v>
      </c>
      <c r="H657" t="s">
        <v>2172</v>
      </c>
      <c r="I657" s="1" t="d">
        <v>2007-01-02</v>
      </c>
      <c r="J657" t="s">
        <v>2173</v>
      </c>
      <c r="K657" s="17" t="s">
        <v>100</v>
      </c>
      <c r="L657">
        <v>3</v>
      </c>
    </row>
    <row r="658" spans="1:12" x14ac:dyDescent="0.25">
      <c r="A658" t="s">
        <v>2174</v>
      </c>
      <c r="B658" t="s">
        <v>130</v>
      </c>
      <c r="C658" t="s">
        <v>215</v>
      </c>
      <c r="D658" t="s">
        <v>46</v>
      </c>
      <c r="E658">
        <v>21</v>
      </c>
      <c r="F658" t="s">
        <v>2090</v>
      </c>
      <c r="G658" t="s">
        <v>55</v>
      </c>
      <c r="H658" t="s">
        <v>2175</v>
      </c>
      <c r="I658" s="1" t="d">
        <v>2020-08-23</v>
      </c>
      <c r="J658" t="s">
        <v>2176</v>
      </c>
      <c r="K658" s="17" t="s">
        <v>50</v>
      </c>
      <c r="L658">
        <v>4</v>
      </c>
    </row>
    <row r="659" spans="1:12" x14ac:dyDescent="0.25">
      <c r="A659" t="s">
        <v>2177</v>
      </c>
      <c r="B659" t="s">
        <v>718</v>
      </c>
      <c r="C659" t="s">
        <v>158</v>
      </c>
      <c r="D659" t="s">
        <v>46</v>
      </c>
      <c r="E659">
        <v>42</v>
      </c>
      <c r="G659" t="s">
        <v>357</v>
      </c>
      <c r="H659" t="s">
        <v>2178</v>
      </c>
      <c r="I659" s="1" t="d">
        <v>2022-12-21</v>
      </c>
      <c r="J659" t="s">
        <v>222</v>
      </c>
      <c r="K659" s="17" t="s">
        <v>90</v>
      </c>
      <c r="L659">
        <v>3</v>
      </c>
    </row>
    <row r="660" spans="1:12" x14ac:dyDescent="0.25">
      <c r="A660" t="s">
        <v>2179</v>
      </c>
      <c r="B660" t="s">
        <v>945</v>
      </c>
      <c r="C660" t="s">
        <v>665</v>
      </c>
      <c r="D660" t="s">
        <v>9527</v>
      </c>
      <c r="E660">
        <v>33</v>
      </c>
      <c r="F660" t="s">
        <v>532</v>
      </c>
      <c r="G660" t="s">
        <v>88</v>
      </c>
      <c r="H660" t="s">
        <v>2180</v>
      </c>
      <c r="I660" s="1" t="d">
        <v>2015-12-25</v>
      </c>
      <c r="J660" t="s">
        <v>2181</v>
      </c>
      <c r="K660" s="17" t="s">
        <v>27</v>
      </c>
      <c r="L660">
        <v>5</v>
      </c>
    </row>
    <row r="661" spans="1:12" x14ac:dyDescent="0.25">
      <c r="A661" t="s">
        <v>2182</v>
      </c>
      <c r="B661" t="s">
        <v>79</v>
      </c>
      <c r="C661" t="s">
        <v>1052</v>
      </c>
      <c r="D661" t="s">
        <v>9527</v>
      </c>
      <c r="E661">
        <v>26</v>
      </c>
      <c r="F661" t="s">
        <v>989</v>
      </c>
      <c r="G661" t="s">
        <v>842</v>
      </c>
      <c r="H661" t="s">
        <v>2183</v>
      </c>
      <c r="I661" s="1" t="d">
        <v>2010-08-07</v>
      </c>
      <c r="J661" t="s">
        <v>2184</v>
      </c>
      <c r="K661" s="17" t="s">
        <v>34</v>
      </c>
      <c r="L661">
        <v>3</v>
      </c>
    </row>
    <row r="662" spans="1:12" x14ac:dyDescent="0.25">
      <c r="A662" t="s">
        <v>2185</v>
      </c>
      <c r="B662" t="s">
        <v>670</v>
      </c>
      <c r="C662" t="s">
        <v>1428</v>
      </c>
      <c r="D662" t="s">
        <v>46</v>
      </c>
      <c r="E662">
        <v>37</v>
      </c>
      <c r="F662" t="s">
        <v>94</v>
      </c>
      <c r="G662" t="s">
        <v>82</v>
      </c>
      <c r="H662" t="s">
        <v>2186</v>
      </c>
      <c r="I662" s="1" t="d">
        <v>2009-06-16</v>
      </c>
      <c r="J662" t="s">
        <v>2187</v>
      </c>
      <c r="K662" s="17" t="s">
        <v>19</v>
      </c>
      <c r="L662">
        <v>3</v>
      </c>
    </row>
    <row r="663" spans="1:12" x14ac:dyDescent="0.25">
      <c r="A663" t="s">
        <v>2188</v>
      </c>
      <c r="B663" t="s">
        <v>92</v>
      </c>
      <c r="C663" t="s">
        <v>140</v>
      </c>
      <c r="D663" t="s">
        <v>46</v>
      </c>
      <c r="E663">
        <v>29</v>
      </c>
      <c r="F663" t="s">
        <v>62</v>
      </c>
      <c r="G663" t="s">
        <v>82</v>
      </c>
      <c r="H663">
        <v>70269</v>
      </c>
      <c r="I663" s="1" t="d">
        <v>2022-07-01</v>
      </c>
      <c r="J663" t="s">
        <v>1302</v>
      </c>
      <c r="K663" s="17" t="s">
        <v>184</v>
      </c>
      <c r="L663">
        <v>5</v>
      </c>
    </row>
    <row r="664" spans="1:12" x14ac:dyDescent="0.25">
      <c r="A664" t="s">
        <v>2189</v>
      </c>
      <c r="B664" t="s">
        <v>2190</v>
      </c>
      <c r="C664" t="s">
        <v>488</v>
      </c>
      <c r="D664" t="s">
        <v>9527</v>
      </c>
      <c r="E664">
        <v>41</v>
      </c>
      <c r="F664" t="s">
        <v>417</v>
      </c>
      <c r="G664" t="s">
        <v>2191</v>
      </c>
      <c r="H664" s="2">
        <v>118988</v>
      </c>
      <c r="I664" s="1" t="d">
        <v>2019-02-10</v>
      </c>
      <c r="J664" t="s">
        <v>1439</v>
      </c>
      <c r="K664" s="17" t="s">
        <v>19</v>
      </c>
      <c r="L664">
        <v>4</v>
      </c>
    </row>
    <row r="665" spans="1:12" x14ac:dyDescent="0.25">
      <c r="A665" t="s">
        <v>2192</v>
      </c>
      <c r="B665" t="s">
        <v>2193</v>
      </c>
      <c r="C665" t="s">
        <v>61</v>
      </c>
      <c r="D665" t="s">
        <v>46</v>
      </c>
      <c r="E665">
        <v>52</v>
      </c>
      <c r="F665" t="s">
        <v>186</v>
      </c>
      <c r="G665" t="s">
        <v>115</v>
      </c>
      <c r="H665" t="s">
        <v>2194</v>
      </c>
      <c r="I665" s="1" t="d">
        <v>2009-06-28</v>
      </c>
      <c r="J665" t="s">
        <v>2195</v>
      </c>
      <c r="K665" s="17" t="s">
        <v>100</v>
      </c>
      <c r="L665">
        <v>3</v>
      </c>
    </row>
    <row r="666" spans="1:12" x14ac:dyDescent="0.25">
      <c r="A666" t="s">
        <v>2196</v>
      </c>
      <c r="B666" t="s">
        <v>2197</v>
      </c>
      <c r="C666" t="s">
        <v>252</v>
      </c>
      <c r="D666" t="s">
        <v>46</v>
      </c>
      <c r="E666">
        <v>49</v>
      </c>
      <c r="F666" t="s">
        <v>1203</v>
      </c>
      <c r="G666" t="s">
        <v>1285</v>
      </c>
      <c r="H666">
        <v>49062</v>
      </c>
      <c r="I666" s="1" t="d">
        <v>2012-01-10</v>
      </c>
      <c r="J666" t="s">
        <v>2198</v>
      </c>
      <c r="K666" s="17" t="s">
        <v>19</v>
      </c>
      <c r="L666">
        <v>3</v>
      </c>
    </row>
    <row r="667" spans="1:12" x14ac:dyDescent="0.25">
      <c r="A667" t="s">
        <v>2199</v>
      </c>
      <c r="B667" t="s">
        <v>936</v>
      </c>
      <c r="C667" t="s">
        <v>2200</v>
      </c>
      <c r="D667" t="s">
        <v>9527</v>
      </c>
      <c r="E667">
        <v>21</v>
      </c>
      <c r="F667" t="s">
        <v>411</v>
      </c>
      <c r="G667" t="s">
        <v>407</v>
      </c>
      <c r="I667" s="1" t="d">
        <v>2012-04-07</v>
      </c>
      <c r="J667" t="s">
        <v>2201</v>
      </c>
      <c r="K667" s="17" t="s">
        <v>19</v>
      </c>
      <c r="L667">
        <v>3</v>
      </c>
    </row>
    <row r="668" spans="1:12" x14ac:dyDescent="0.25">
      <c r="A668" t="s">
        <v>2202</v>
      </c>
      <c r="B668" t="s">
        <v>808</v>
      </c>
      <c r="C668" t="s">
        <v>2023</v>
      </c>
      <c r="D668" t="s">
        <v>46</v>
      </c>
      <c r="E668">
        <v>41</v>
      </c>
      <c r="F668" t="s">
        <v>711</v>
      </c>
      <c r="G668" t="s">
        <v>191</v>
      </c>
      <c r="I668" s="1" t="d">
        <v>2012-06-17</v>
      </c>
      <c r="J668" t="s">
        <v>2203</v>
      </c>
      <c r="K668" s="17" t="s">
        <v>100</v>
      </c>
      <c r="L668">
        <v>5</v>
      </c>
    </row>
    <row r="669" spans="1:12" x14ac:dyDescent="0.25">
      <c r="A669" t="s">
        <v>2204</v>
      </c>
      <c r="B669" t="s">
        <v>134</v>
      </c>
      <c r="C669" t="s">
        <v>851</v>
      </c>
      <c r="D669" t="s">
        <v>9527</v>
      </c>
      <c r="E669">
        <v>33</v>
      </c>
      <c r="F669" t="s">
        <v>417</v>
      </c>
      <c r="G669" t="s">
        <v>205</v>
      </c>
      <c r="H669" t="s">
        <v>2205</v>
      </c>
      <c r="I669" s="1" t="d">
        <v>2015-07-18</v>
      </c>
      <c r="J669" t="s">
        <v>2206</v>
      </c>
      <c r="K669" s="17" t="s">
        <v>149</v>
      </c>
      <c r="L669">
        <v>3</v>
      </c>
    </row>
    <row r="670" spans="1:12" x14ac:dyDescent="0.25">
      <c r="A670" t="s">
        <v>2207</v>
      </c>
      <c r="B670" t="s">
        <v>86</v>
      </c>
      <c r="C670" t="s">
        <v>215</v>
      </c>
      <c r="D670" t="s">
        <v>46</v>
      </c>
      <c r="E670">
        <v>44</v>
      </c>
      <c r="F670" t="s">
        <v>1950</v>
      </c>
      <c r="G670" t="s">
        <v>217</v>
      </c>
      <c r="H670" s="2">
        <v>88977</v>
      </c>
      <c r="I670" s="1" t="d">
        <v>2019-11-18</v>
      </c>
      <c r="J670" t="s">
        <v>2208</v>
      </c>
      <c r="K670" s="17" t="s">
        <v>90</v>
      </c>
      <c r="L670">
        <v>3</v>
      </c>
    </row>
    <row r="671" spans="1:12" x14ac:dyDescent="0.25">
      <c r="A671" t="s">
        <v>2209</v>
      </c>
      <c r="B671" t="s">
        <v>151</v>
      </c>
      <c r="C671" t="s">
        <v>14</v>
      </c>
      <c r="D671" t="s">
        <v>46</v>
      </c>
      <c r="E671">
        <v>34</v>
      </c>
      <c r="F671" t="s">
        <v>1116</v>
      </c>
      <c r="G671" t="s">
        <v>177</v>
      </c>
      <c r="H671">
        <v>999999</v>
      </c>
      <c r="I671" s="1" t="d">
        <v>2018-10-04</v>
      </c>
      <c r="J671" t="s">
        <v>2210</v>
      </c>
      <c r="K671" s="17" t="s">
        <v>71</v>
      </c>
      <c r="L671">
        <v>5</v>
      </c>
    </row>
    <row r="672" spans="1:12" x14ac:dyDescent="0.25">
      <c r="A672" t="s">
        <v>2211</v>
      </c>
      <c r="B672" t="s">
        <v>60</v>
      </c>
      <c r="C672" t="s">
        <v>2212</v>
      </c>
      <c r="D672" t="s">
        <v>23</v>
      </c>
      <c r="E672">
        <v>49</v>
      </c>
      <c r="F672" t="s">
        <v>38</v>
      </c>
      <c r="G672" t="s">
        <v>423</v>
      </c>
      <c r="H672">
        <v>52555</v>
      </c>
      <c r="I672" s="1" t="d">
        <v>2006-03-21</v>
      </c>
      <c r="J672" t="s">
        <v>2213</v>
      </c>
      <c r="K672" s="17" t="s">
        <v>34</v>
      </c>
      <c r="L672">
        <v>5</v>
      </c>
    </row>
    <row r="673" spans="1:12" x14ac:dyDescent="0.25">
      <c r="A673" t="s">
        <v>2214</v>
      </c>
      <c r="B673" t="s">
        <v>1096</v>
      </c>
      <c r="C673" t="s">
        <v>2215</v>
      </c>
      <c r="D673" t="s">
        <v>46</v>
      </c>
      <c r="E673">
        <v>42</v>
      </c>
      <c r="F673" t="s">
        <v>406</v>
      </c>
      <c r="G673" t="s">
        <v>127</v>
      </c>
      <c r="H673">
        <v>57915</v>
      </c>
      <c r="I673" s="1" t="d">
        <v>2023-12-11</v>
      </c>
      <c r="J673" t="s">
        <v>2216</v>
      </c>
      <c r="K673" s="17" t="s">
        <v>19</v>
      </c>
      <c r="L673">
        <v>3</v>
      </c>
    </row>
    <row r="674" spans="1:12" x14ac:dyDescent="0.25">
      <c r="A674" t="s">
        <v>2217</v>
      </c>
      <c r="B674" t="s">
        <v>448</v>
      </c>
      <c r="C674" t="s">
        <v>93</v>
      </c>
      <c r="D674" t="s">
        <v>23</v>
      </c>
      <c r="E674">
        <v>45</v>
      </c>
      <c r="F674" t="s">
        <v>399</v>
      </c>
      <c r="G674" t="s">
        <v>1199</v>
      </c>
      <c r="H674" t="s">
        <v>2218</v>
      </c>
      <c r="I674" s="1" t="d">
        <v>2010-03-07</v>
      </c>
      <c r="J674" t="s">
        <v>2219</v>
      </c>
      <c r="K674" s="17" t="s">
        <v>149</v>
      </c>
      <c r="L674">
        <v>4</v>
      </c>
    </row>
    <row r="675" spans="1:12" x14ac:dyDescent="0.25">
      <c r="A675" t="s">
        <v>2220</v>
      </c>
      <c r="B675" t="s">
        <v>1842</v>
      </c>
      <c r="C675" t="s">
        <v>1384</v>
      </c>
      <c r="D675" t="s">
        <v>9527</v>
      </c>
      <c r="E675">
        <v>21</v>
      </c>
      <c r="F675" t="s">
        <v>296</v>
      </c>
      <c r="G675" t="s">
        <v>16</v>
      </c>
      <c r="H675" s="2">
        <v>111745</v>
      </c>
      <c r="I675" s="1" t="d">
        <v>2013-09-02</v>
      </c>
      <c r="J675" t="s">
        <v>919</v>
      </c>
      <c r="K675" s="17" t="s">
        <v>42</v>
      </c>
      <c r="L675">
        <v>5</v>
      </c>
    </row>
    <row r="676" spans="1:12" x14ac:dyDescent="0.25">
      <c r="A676" t="s">
        <v>2221</v>
      </c>
      <c r="B676" t="s">
        <v>2222</v>
      </c>
      <c r="C676" t="s">
        <v>381</v>
      </c>
      <c r="D676" t="s">
        <v>46</v>
      </c>
      <c r="E676">
        <v>43</v>
      </c>
      <c r="F676" t="s">
        <v>62</v>
      </c>
      <c r="G676" t="s">
        <v>328</v>
      </c>
      <c r="H676">
        <v>71769</v>
      </c>
      <c r="I676" s="1" t="d">
        <v>2024-03-19</v>
      </c>
      <c r="J676" t="s">
        <v>2223</v>
      </c>
      <c r="K676" s="17" t="s">
        <v>19</v>
      </c>
      <c r="L676">
        <v>3</v>
      </c>
    </row>
    <row r="677" spans="1:12" x14ac:dyDescent="0.25">
      <c r="A677" t="s">
        <v>2224</v>
      </c>
      <c r="B677" t="s">
        <v>804</v>
      </c>
      <c r="C677" t="s">
        <v>395</v>
      </c>
      <c r="D677" t="s">
        <v>46</v>
      </c>
      <c r="E677">
        <v>41</v>
      </c>
      <c r="F677" t="s">
        <v>406</v>
      </c>
      <c r="G677" t="s">
        <v>177</v>
      </c>
      <c r="H677" t="s">
        <v>2225</v>
      </c>
      <c r="I677" s="1" t="d">
        <v>2011-05-10</v>
      </c>
      <c r="J677" t="s">
        <v>2226</v>
      </c>
      <c r="K677" s="17" t="s">
        <v>149</v>
      </c>
      <c r="L677">
        <v>1</v>
      </c>
    </row>
    <row r="678" spans="1:12" x14ac:dyDescent="0.25">
      <c r="A678" t="s">
        <v>2227</v>
      </c>
      <c r="B678" t="s">
        <v>13</v>
      </c>
      <c r="C678" t="s">
        <v>572</v>
      </c>
      <c r="D678" t="s">
        <v>23</v>
      </c>
      <c r="E678">
        <v>46</v>
      </c>
      <c r="F678" t="s">
        <v>296</v>
      </c>
      <c r="G678" t="s">
        <v>842</v>
      </c>
      <c r="H678" t="s">
        <v>2228</v>
      </c>
      <c r="I678" s="1" t="d">
        <v>2011-02-02</v>
      </c>
      <c r="J678" t="s">
        <v>2229</v>
      </c>
      <c r="K678" s="17" t="s">
        <v>50</v>
      </c>
      <c r="L678">
        <v>3</v>
      </c>
    </row>
    <row r="679" spans="1:12" x14ac:dyDescent="0.25">
      <c r="A679" t="s">
        <v>2230</v>
      </c>
      <c r="B679" t="s">
        <v>786</v>
      </c>
      <c r="C679" t="s">
        <v>2231</v>
      </c>
      <c r="D679" t="s">
        <v>9527</v>
      </c>
      <c r="E679">
        <v>34</v>
      </c>
      <c r="G679" t="s">
        <v>177</v>
      </c>
      <c r="H679" t="s">
        <v>2232</v>
      </c>
      <c r="I679" s="1" t="d">
        <v>2023-03-14</v>
      </c>
      <c r="J679" t="s">
        <v>784</v>
      </c>
      <c r="K679" s="17" t="s">
        <v>27</v>
      </c>
      <c r="L679">
        <v>3</v>
      </c>
    </row>
    <row r="680" spans="1:12" x14ac:dyDescent="0.25">
      <c r="A680" t="s">
        <v>2233</v>
      </c>
      <c r="B680" t="s">
        <v>2234</v>
      </c>
      <c r="C680" t="s">
        <v>225</v>
      </c>
      <c r="D680" t="s">
        <v>46</v>
      </c>
      <c r="E680">
        <v>49</v>
      </c>
      <c r="G680" t="s">
        <v>205</v>
      </c>
      <c r="H680" t="s">
        <v>2235</v>
      </c>
      <c r="I680" s="1" t="d">
        <v>2008-11-08</v>
      </c>
      <c r="J680" t="s">
        <v>863</v>
      </c>
      <c r="K680" s="17" t="s">
        <v>207</v>
      </c>
      <c r="L680">
        <v>4</v>
      </c>
    </row>
    <row r="681" spans="1:12" x14ac:dyDescent="0.25">
      <c r="A681" t="s">
        <v>2236</v>
      </c>
      <c r="B681" t="s">
        <v>66</v>
      </c>
      <c r="C681" t="s">
        <v>103</v>
      </c>
      <c r="D681" t="s">
        <v>46</v>
      </c>
      <c r="E681">
        <v>27</v>
      </c>
      <c r="F681" t="s">
        <v>238</v>
      </c>
      <c r="G681" t="s">
        <v>351</v>
      </c>
      <c r="H681">
        <v>52159</v>
      </c>
      <c r="I681" s="1" t="d">
        <v>2009-05-30</v>
      </c>
      <c r="J681" t="s">
        <v>57</v>
      </c>
      <c r="K681" s="17" t="s">
        <v>207</v>
      </c>
      <c r="L681">
        <v>5</v>
      </c>
    </row>
    <row r="682" spans="1:12" x14ac:dyDescent="0.25">
      <c r="A682" t="s">
        <v>2237</v>
      </c>
      <c r="B682" t="s">
        <v>404</v>
      </c>
      <c r="C682" t="s">
        <v>1332</v>
      </c>
      <c r="D682" t="s">
        <v>23</v>
      </c>
      <c r="E682">
        <v>32</v>
      </c>
      <c r="F682" t="s">
        <v>38</v>
      </c>
      <c r="G682" t="s">
        <v>191</v>
      </c>
      <c r="H682">
        <v>58437</v>
      </c>
      <c r="I682" s="1" t="d">
        <v>2010-04-15</v>
      </c>
      <c r="J682" t="s">
        <v>2238</v>
      </c>
      <c r="K682" s="17" t="s">
        <v>27</v>
      </c>
      <c r="L682">
        <v>3</v>
      </c>
    </row>
    <row r="683" spans="1:12" x14ac:dyDescent="0.25">
      <c r="A683" t="s">
        <v>2239</v>
      </c>
      <c r="B683" t="s">
        <v>79</v>
      </c>
      <c r="C683" t="s">
        <v>1039</v>
      </c>
      <c r="D683" t="s">
        <v>9527</v>
      </c>
      <c r="E683">
        <v>21</v>
      </c>
      <c r="F683" t="s">
        <v>373</v>
      </c>
      <c r="G683" t="s">
        <v>458</v>
      </c>
      <c r="H683" s="2">
        <v>86614</v>
      </c>
      <c r="I683" s="1" t="d">
        <v>2018-06-15</v>
      </c>
      <c r="J683" t="s">
        <v>2240</v>
      </c>
      <c r="K683" s="17" t="s">
        <v>58</v>
      </c>
      <c r="L683">
        <v>5</v>
      </c>
    </row>
    <row r="684" spans="1:12" x14ac:dyDescent="0.25">
      <c r="A684" t="s">
        <v>2241</v>
      </c>
      <c r="B684" t="s">
        <v>659</v>
      </c>
      <c r="C684" t="s">
        <v>2242</v>
      </c>
      <c r="D684" t="s">
        <v>23</v>
      </c>
      <c r="E684">
        <v>46</v>
      </c>
      <c r="F684" t="s">
        <v>15</v>
      </c>
      <c r="G684" t="s">
        <v>1556</v>
      </c>
      <c r="H684">
        <v>85819</v>
      </c>
      <c r="I684" s="1" t="d">
        <v>2010-11-15</v>
      </c>
      <c r="J684" t="s">
        <v>222</v>
      </c>
      <c r="K684" s="17" t="s">
        <v>27</v>
      </c>
      <c r="L684">
        <v>4</v>
      </c>
    </row>
    <row r="685" spans="1:12" x14ac:dyDescent="0.25">
      <c r="A685" t="s">
        <v>2243</v>
      </c>
      <c r="B685" t="s">
        <v>1738</v>
      </c>
      <c r="C685" t="s">
        <v>252</v>
      </c>
      <c r="D685" t="s">
        <v>46</v>
      </c>
      <c r="E685">
        <v>30</v>
      </c>
      <c r="F685" t="s">
        <v>365</v>
      </c>
      <c r="G685" t="s">
        <v>39</v>
      </c>
      <c r="H685">
        <v>52858</v>
      </c>
      <c r="J685" t="s">
        <v>2244</v>
      </c>
      <c r="K685" s="17" t="s">
        <v>118</v>
      </c>
      <c r="L685">
        <v>5</v>
      </c>
    </row>
    <row r="686" spans="1:12" x14ac:dyDescent="0.25">
      <c r="A686" t="s">
        <v>2245</v>
      </c>
      <c r="B686" t="s">
        <v>199</v>
      </c>
      <c r="C686" t="s">
        <v>2246</v>
      </c>
      <c r="D686" t="s">
        <v>23</v>
      </c>
      <c r="E686">
        <v>44</v>
      </c>
      <c r="F686" t="s">
        <v>253</v>
      </c>
      <c r="G686" t="s">
        <v>55</v>
      </c>
      <c r="H686">
        <v>56408</v>
      </c>
      <c r="I686" s="1" t="d">
        <v>2009-12-12</v>
      </c>
      <c r="J686" t="s">
        <v>1245</v>
      </c>
      <c r="K686" s="17" t="s">
        <v>184</v>
      </c>
      <c r="L686">
        <v>4</v>
      </c>
    </row>
    <row r="687" spans="1:12" x14ac:dyDescent="0.25">
      <c r="A687" t="s">
        <v>2247</v>
      </c>
      <c r="B687" t="s">
        <v>2248</v>
      </c>
      <c r="C687" t="s">
        <v>2249</v>
      </c>
      <c r="D687" t="s">
        <v>23</v>
      </c>
      <c r="E687">
        <v>37</v>
      </c>
      <c r="F687" t="s">
        <v>200</v>
      </c>
      <c r="G687" t="s">
        <v>69</v>
      </c>
      <c r="H687" s="2">
        <v>95764</v>
      </c>
      <c r="I687" s="1" t="d">
        <v>2007-04-13</v>
      </c>
      <c r="J687" t="s">
        <v>2250</v>
      </c>
      <c r="K687" s="17" t="s">
        <v>50</v>
      </c>
      <c r="L687">
        <v>4</v>
      </c>
    </row>
    <row r="688" spans="1:12" x14ac:dyDescent="0.25">
      <c r="A688" t="s">
        <v>2251</v>
      </c>
      <c r="B688" t="s">
        <v>2252</v>
      </c>
      <c r="C688" t="s">
        <v>1205</v>
      </c>
      <c r="D688" t="s">
        <v>46</v>
      </c>
      <c r="E688">
        <v>36</v>
      </c>
      <c r="F688" t="s">
        <v>169</v>
      </c>
      <c r="G688" t="s">
        <v>500</v>
      </c>
      <c r="H688" t="s">
        <v>2253</v>
      </c>
      <c r="I688" s="1" t="d">
        <v>2020-01-12</v>
      </c>
      <c r="J688" t="s">
        <v>2254</v>
      </c>
      <c r="K688" s="17" t="s">
        <v>19</v>
      </c>
      <c r="L688">
        <v>4</v>
      </c>
    </row>
    <row r="689" spans="1:12" x14ac:dyDescent="0.25">
      <c r="A689" t="s">
        <v>2255</v>
      </c>
      <c r="B689" t="s">
        <v>659</v>
      </c>
      <c r="C689" t="s">
        <v>827</v>
      </c>
      <c r="D689" t="s">
        <v>46</v>
      </c>
      <c r="E689">
        <v>40</v>
      </c>
      <c r="F689" t="s">
        <v>1699</v>
      </c>
      <c r="G689" t="s">
        <v>170</v>
      </c>
      <c r="H689">
        <v>49053</v>
      </c>
      <c r="J689" t="s">
        <v>2256</v>
      </c>
      <c r="K689" s="17" t="s">
        <v>184</v>
      </c>
      <c r="L689">
        <v>3</v>
      </c>
    </row>
    <row r="690" spans="1:12" x14ac:dyDescent="0.25">
      <c r="A690" t="s">
        <v>2257</v>
      </c>
      <c r="B690" t="s">
        <v>1241</v>
      </c>
      <c r="C690" t="s">
        <v>699</v>
      </c>
      <c r="D690" t="s">
        <v>46</v>
      </c>
      <c r="E690">
        <v>50</v>
      </c>
      <c r="F690" t="s">
        <v>38</v>
      </c>
      <c r="G690" t="s">
        <v>1215</v>
      </c>
      <c r="H690" t="s">
        <v>2258</v>
      </c>
      <c r="I690" s="1" t="d">
        <v>2016-12-28</v>
      </c>
      <c r="J690" t="s">
        <v>2259</v>
      </c>
      <c r="K690" s="17" t="s">
        <v>118</v>
      </c>
      <c r="L690">
        <v>3</v>
      </c>
    </row>
    <row r="691" spans="1:12" x14ac:dyDescent="0.25">
      <c r="A691" t="s">
        <v>2260</v>
      </c>
      <c r="B691" t="s">
        <v>86</v>
      </c>
      <c r="C691" t="s">
        <v>291</v>
      </c>
      <c r="D691" t="s">
        <v>9527</v>
      </c>
      <c r="E691">
        <v>41</v>
      </c>
      <c r="F691" t="s">
        <v>576</v>
      </c>
      <c r="G691" t="s">
        <v>212</v>
      </c>
      <c r="H691" t="s">
        <v>2261</v>
      </c>
      <c r="I691" s="1" t="d">
        <v>2008-01-05</v>
      </c>
      <c r="J691" t="s">
        <v>1310</v>
      </c>
      <c r="K691" s="17" t="s">
        <v>71</v>
      </c>
      <c r="L691">
        <v>4</v>
      </c>
    </row>
    <row r="692" spans="1:12" x14ac:dyDescent="0.25">
      <c r="A692" t="s">
        <v>1240</v>
      </c>
      <c r="B692" t="s">
        <v>874</v>
      </c>
      <c r="C692" t="s">
        <v>181</v>
      </c>
      <c r="D692" t="s">
        <v>46</v>
      </c>
      <c r="E692">
        <v>45</v>
      </c>
      <c r="F692" t="s">
        <v>971</v>
      </c>
      <c r="G692" t="s">
        <v>357</v>
      </c>
      <c r="H692">
        <v>131324</v>
      </c>
      <c r="I692" s="1" t="d">
        <v>2010-02-08</v>
      </c>
      <c r="J692" t="s">
        <v>899</v>
      </c>
      <c r="K692" s="17" t="s">
        <v>118</v>
      </c>
      <c r="L692">
        <v>2</v>
      </c>
    </row>
    <row r="693" spans="1:12" x14ac:dyDescent="0.25">
      <c r="A693" t="s">
        <v>2262</v>
      </c>
      <c r="B693" t="s">
        <v>87</v>
      </c>
      <c r="C693" t="s">
        <v>1576</v>
      </c>
      <c r="D693" t="s">
        <v>46</v>
      </c>
      <c r="E693">
        <v>27</v>
      </c>
      <c r="F693" t="s">
        <v>47</v>
      </c>
      <c r="G693" t="s">
        <v>1703</v>
      </c>
      <c r="I693" s="1" t="d">
        <v>2015-02-21</v>
      </c>
      <c r="J693" t="s">
        <v>2263</v>
      </c>
      <c r="K693" s="17" t="s">
        <v>19</v>
      </c>
      <c r="L693">
        <v>5</v>
      </c>
    </row>
    <row r="694" spans="1:12" x14ac:dyDescent="0.25">
      <c r="A694" t="s">
        <v>2264</v>
      </c>
      <c r="B694" t="s">
        <v>482</v>
      </c>
      <c r="C694" t="s">
        <v>525</v>
      </c>
      <c r="D694" t="s">
        <v>23</v>
      </c>
      <c r="E694">
        <v>39</v>
      </c>
      <c r="F694" t="s">
        <v>238</v>
      </c>
      <c r="G694" t="s">
        <v>32</v>
      </c>
      <c r="H694" t="s">
        <v>2265</v>
      </c>
      <c r="I694" s="1" t="d">
        <v>2007-01-11</v>
      </c>
      <c r="J694" t="s">
        <v>2266</v>
      </c>
      <c r="K694" s="17" t="s">
        <v>184</v>
      </c>
      <c r="L694">
        <v>5</v>
      </c>
    </row>
    <row r="695" spans="1:12" x14ac:dyDescent="0.25">
      <c r="A695" t="s">
        <v>2267</v>
      </c>
      <c r="B695" t="s">
        <v>262</v>
      </c>
      <c r="C695" t="s">
        <v>1010</v>
      </c>
      <c r="D695" t="s">
        <v>9527</v>
      </c>
      <c r="E695">
        <v>41</v>
      </c>
      <c r="F695" t="s">
        <v>978</v>
      </c>
      <c r="G695" t="s">
        <v>82</v>
      </c>
      <c r="H695" t="s">
        <v>2268</v>
      </c>
      <c r="I695" s="1" t="d">
        <v>2008-07-28</v>
      </c>
      <c r="J695" t="s">
        <v>2269</v>
      </c>
      <c r="K695" s="17" t="s">
        <v>19</v>
      </c>
      <c r="L695">
        <v>5</v>
      </c>
    </row>
    <row r="696" spans="1:12" x14ac:dyDescent="0.25">
      <c r="A696" t="s">
        <v>2270</v>
      </c>
      <c r="B696" t="s">
        <v>467</v>
      </c>
      <c r="C696" t="s">
        <v>37</v>
      </c>
      <c r="D696" t="s">
        <v>23</v>
      </c>
      <c r="E696">
        <v>30</v>
      </c>
      <c r="F696" t="s">
        <v>258</v>
      </c>
      <c r="G696" t="s">
        <v>357</v>
      </c>
      <c r="I696" s="1" t="d">
        <v>2014-11-17</v>
      </c>
      <c r="J696" t="s">
        <v>2033</v>
      </c>
      <c r="K696" s="17" t="s">
        <v>100</v>
      </c>
      <c r="L696">
        <v>4</v>
      </c>
    </row>
    <row r="697" spans="1:12" x14ac:dyDescent="0.25">
      <c r="A697" t="s">
        <v>2271</v>
      </c>
      <c r="B697" t="s">
        <v>2272</v>
      </c>
      <c r="C697" t="s">
        <v>483</v>
      </c>
      <c r="D697" t="s">
        <v>46</v>
      </c>
      <c r="E697">
        <v>40</v>
      </c>
      <c r="F697" t="s">
        <v>68</v>
      </c>
      <c r="G697" t="s">
        <v>82</v>
      </c>
      <c r="H697" s="2">
        <v>80311</v>
      </c>
      <c r="I697" s="1" t="d">
        <v>2021-07-12</v>
      </c>
      <c r="J697" t="s">
        <v>2273</v>
      </c>
      <c r="K697" s="17" t="s">
        <v>90</v>
      </c>
      <c r="L697">
        <v>5</v>
      </c>
    </row>
    <row r="698" spans="1:12" x14ac:dyDescent="0.25">
      <c r="A698" t="s">
        <v>2274</v>
      </c>
      <c r="B698" t="s">
        <v>52</v>
      </c>
      <c r="C698" t="s">
        <v>152</v>
      </c>
      <c r="D698" t="s">
        <v>9527</v>
      </c>
      <c r="E698">
        <v>30</v>
      </c>
      <c r="F698" t="s">
        <v>2275</v>
      </c>
      <c r="G698" t="s">
        <v>115</v>
      </c>
      <c r="H698" s="2">
        <v>98766</v>
      </c>
      <c r="I698" s="1" t="d">
        <v>2019-03-15</v>
      </c>
      <c r="J698" t="s">
        <v>2276</v>
      </c>
      <c r="K698" s="17" t="s">
        <v>58</v>
      </c>
      <c r="L698">
        <v>2</v>
      </c>
    </row>
    <row r="699" spans="1:12" x14ac:dyDescent="0.25">
      <c r="A699" t="s">
        <v>2277</v>
      </c>
      <c r="B699" t="s">
        <v>1096</v>
      </c>
      <c r="C699" t="s">
        <v>195</v>
      </c>
      <c r="D699" t="s">
        <v>9527</v>
      </c>
      <c r="E699">
        <v>34</v>
      </c>
      <c r="F699" t="s">
        <v>264</v>
      </c>
      <c r="G699" t="s">
        <v>39</v>
      </c>
      <c r="H699" s="2">
        <v>82168</v>
      </c>
      <c r="I699" s="1" t="d">
        <v>2018-07-25</v>
      </c>
      <c r="J699" t="s">
        <v>2278</v>
      </c>
      <c r="K699" s="17" t="s">
        <v>370</v>
      </c>
      <c r="L699">
        <v>3</v>
      </c>
    </row>
    <row r="700" spans="1:12" x14ac:dyDescent="0.25">
      <c r="A700" t="s">
        <v>2279</v>
      </c>
      <c r="B700" t="s">
        <v>167</v>
      </c>
      <c r="C700" t="s">
        <v>719</v>
      </c>
      <c r="D700" t="s">
        <v>23</v>
      </c>
      <c r="E700">
        <v>28</v>
      </c>
      <c r="F700" t="s">
        <v>94</v>
      </c>
      <c r="G700" t="s">
        <v>907</v>
      </c>
      <c r="J700" t="s">
        <v>298</v>
      </c>
      <c r="K700" s="17" t="s">
        <v>149</v>
      </c>
      <c r="L700">
        <v>2</v>
      </c>
    </row>
    <row r="701" spans="1:12" x14ac:dyDescent="0.25">
      <c r="A701" t="s">
        <v>2280</v>
      </c>
      <c r="B701" t="s">
        <v>228</v>
      </c>
      <c r="C701" t="s">
        <v>729</v>
      </c>
      <c r="D701" t="s">
        <v>9527</v>
      </c>
      <c r="E701">
        <v>59</v>
      </c>
      <c r="F701" t="s">
        <v>576</v>
      </c>
      <c r="G701" t="s">
        <v>16</v>
      </c>
      <c r="H701" t="s">
        <v>2281</v>
      </c>
      <c r="I701" s="1" t="d">
        <v>2016-05-14</v>
      </c>
      <c r="J701" t="s">
        <v>1225</v>
      </c>
      <c r="K701" s="17" t="s">
        <v>207</v>
      </c>
      <c r="L701">
        <v>3</v>
      </c>
    </row>
    <row r="702" spans="1:12" x14ac:dyDescent="0.25">
      <c r="A702" t="s">
        <v>2282</v>
      </c>
      <c r="B702" t="s">
        <v>130</v>
      </c>
      <c r="C702" t="s">
        <v>168</v>
      </c>
      <c r="D702" t="s">
        <v>46</v>
      </c>
      <c r="E702">
        <v>49</v>
      </c>
      <c r="F702" t="s">
        <v>350</v>
      </c>
      <c r="G702" t="s">
        <v>115</v>
      </c>
      <c r="H702" t="s">
        <v>2283</v>
      </c>
      <c r="I702" s="1" t="d">
        <v>2009-10-26</v>
      </c>
      <c r="J702" t="s">
        <v>2273</v>
      </c>
      <c r="K702" s="17" t="s">
        <v>71</v>
      </c>
      <c r="L702">
        <v>4</v>
      </c>
    </row>
    <row r="703" spans="1:12" x14ac:dyDescent="0.25">
      <c r="A703" t="s">
        <v>2284</v>
      </c>
      <c r="B703" t="s">
        <v>134</v>
      </c>
      <c r="C703" t="s">
        <v>1052</v>
      </c>
      <c r="D703" t="s">
        <v>23</v>
      </c>
      <c r="E703">
        <v>42</v>
      </c>
      <c r="F703" t="s">
        <v>645</v>
      </c>
      <c r="G703" t="s">
        <v>177</v>
      </c>
      <c r="H703">
        <v>41800</v>
      </c>
      <c r="J703" t="s">
        <v>2285</v>
      </c>
      <c r="K703" s="17" t="s">
        <v>71</v>
      </c>
      <c r="L703">
        <v>3</v>
      </c>
    </row>
    <row r="704" spans="1:12" x14ac:dyDescent="0.25">
      <c r="A704" t="s">
        <v>2286</v>
      </c>
      <c r="B704" t="s">
        <v>21</v>
      </c>
      <c r="C704" t="s">
        <v>416</v>
      </c>
      <c r="D704" t="s">
        <v>23</v>
      </c>
      <c r="E704">
        <v>38</v>
      </c>
      <c r="F704" t="s">
        <v>649</v>
      </c>
      <c r="G704" t="s">
        <v>357</v>
      </c>
      <c r="H704" t="s">
        <v>2287</v>
      </c>
      <c r="I704" s="1" t="d">
        <v>2021-01-23</v>
      </c>
      <c r="J704" t="s">
        <v>2181</v>
      </c>
      <c r="K704" s="17" t="s">
        <v>58</v>
      </c>
      <c r="L704">
        <v>2</v>
      </c>
    </row>
    <row r="705" spans="1:12" x14ac:dyDescent="0.25">
      <c r="A705" t="s">
        <v>2288</v>
      </c>
      <c r="B705" t="s">
        <v>563</v>
      </c>
      <c r="C705" t="s">
        <v>1039</v>
      </c>
      <c r="D705" t="s">
        <v>9527</v>
      </c>
      <c r="E705">
        <v>45</v>
      </c>
      <c r="F705" t="s">
        <v>68</v>
      </c>
      <c r="G705" t="s">
        <v>191</v>
      </c>
      <c r="H705" t="s">
        <v>2289</v>
      </c>
      <c r="J705" t="s">
        <v>2290</v>
      </c>
      <c r="K705" s="17" t="s">
        <v>34</v>
      </c>
      <c r="L705">
        <v>4</v>
      </c>
    </row>
    <row r="706" spans="1:12" x14ac:dyDescent="0.25">
      <c r="A706" t="s">
        <v>2291</v>
      </c>
      <c r="B706" t="s">
        <v>630</v>
      </c>
      <c r="C706" t="s">
        <v>2292</v>
      </c>
      <c r="D706" t="s">
        <v>46</v>
      </c>
      <c r="E706">
        <v>38</v>
      </c>
      <c r="F706" t="s">
        <v>196</v>
      </c>
      <c r="G706" t="s">
        <v>170</v>
      </c>
      <c r="H706" s="2">
        <v>40079</v>
      </c>
      <c r="I706" s="1" t="d">
        <v>2010-01-28</v>
      </c>
      <c r="J706" t="s">
        <v>2293</v>
      </c>
      <c r="K706" s="17" t="s">
        <v>149</v>
      </c>
      <c r="L706">
        <v>3</v>
      </c>
    </row>
    <row r="707" spans="1:12" x14ac:dyDescent="0.25">
      <c r="A707" t="s">
        <v>2294</v>
      </c>
      <c r="B707" t="s">
        <v>262</v>
      </c>
      <c r="C707" t="s">
        <v>2295</v>
      </c>
      <c r="D707" t="s">
        <v>9527</v>
      </c>
      <c r="E707">
        <v>41</v>
      </c>
      <c r="F707" t="s">
        <v>186</v>
      </c>
      <c r="G707" t="s">
        <v>69</v>
      </c>
      <c r="H707">
        <v>102031</v>
      </c>
      <c r="I707" s="1" t="d">
        <v>2022-07-25</v>
      </c>
      <c r="J707" t="s">
        <v>2296</v>
      </c>
      <c r="K707" s="17" t="s">
        <v>149</v>
      </c>
      <c r="L707">
        <v>4</v>
      </c>
    </row>
    <row r="708" spans="1:12" x14ac:dyDescent="0.25">
      <c r="A708" t="s">
        <v>2297</v>
      </c>
      <c r="B708" t="s">
        <v>826</v>
      </c>
      <c r="C708" t="s">
        <v>210</v>
      </c>
      <c r="D708" t="s">
        <v>23</v>
      </c>
      <c r="E708">
        <v>26</v>
      </c>
      <c r="F708" t="s">
        <v>230</v>
      </c>
      <c r="G708" t="s">
        <v>212</v>
      </c>
      <c r="H708" s="2">
        <v>59716</v>
      </c>
      <c r="I708" s="1" t="d">
        <v>2005-04-19</v>
      </c>
      <c r="J708" t="s">
        <v>2298</v>
      </c>
      <c r="K708" s="17" t="s">
        <v>90</v>
      </c>
      <c r="L708">
        <v>5</v>
      </c>
    </row>
    <row r="709" spans="1:12" x14ac:dyDescent="0.25">
      <c r="A709" t="s">
        <v>2299</v>
      </c>
      <c r="B709" t="s">
        <v>228</v>
      </c>
      <c r="C709" t="s">
        <v>2300</v>
      </c>
      <c r="D709" t="s">
        <v>9527</v>
      </c>
      <c r="E709">
        <v>43</v>
      </c>
      <c r="F709" t="s">
        <v>62</v>
      </c>
      <c r="G709" t="s">
        <v>177</v>
      </c>
      <c r="I709" s="1" t="d">
        <v>2011-07-07</v>
      </c>
      <c r="J709" t="s">
        <v>192</v>
      </c>
      <c r="K709" s="17" t="s">
        <v>50</v>
      </c>
      <c r="L709">
        <v>4</v>
      </c>
    </row>
    <row r="710" spans="1:12" x14ac:dyDescent="0.25">
      <c r="A710" t="s">
        <v>2301</v>
      </c>
      <c r="B710" t="s">
        <v>548</v>
      </c>
      <c r="C710" t="s">
        <v>1494</v>
      </c>
      <c r="D710" t="s">
        <v>9527</v>
      </c>
      <c r="E710">
        <v>41</v>
      </c>
      <c r="F710" t="s">
        <v>2302</v>
      </c>
      <c r="G710" t="s">
        <v>1703</v>
      </c>
      <c r="I710" s="1" t="d">
        <v>2009-09-15</v>
      </c>
      <c r="J710" t="s">
        <v>2303</v>
      </c>
      <c r="K710" s="17" t="s">
        <v>19</v>
      </c>
      <c r="L710">
        <v>4</v>
      </c>
    </row>
    <row r="711" spans="1:12" x14ac:dyDescent="0.25">
      <c r="A711" t="s">
        <v>2304</v>
      </c>
      <c r="B711" t="s">
        <v>130</v>
      </c>
      <c r="C711" t="s">
        <v>1337</v>
      </c>
      <c r="D711" t="s">
        <v>23</v>
      </c>
      <c r="E711">
        <v>44</v>
      </c>
      <c r="F711" t="s">
        <v>47</v>
      </c>
      <c r="G711" t="s">
        <v>996</v>
      </c>
      <c r="H711">
        <v>106335</v>
      </c>
      <c r="I711" s="1" t="d">
        <v>2022-01-28</v>
      </c>
      <c r="J711" t="s">
        <v>2305</v>
      </c>
      <c r="K711" s="17" t="s">
        <v>42</v>
      </c>
      <c r="L711">
        <v>4</v>
      </c>
    </row>
    <row r="712" spans="1:12" x14ac:dyDescent="0.25">
      <c r="A712" t="s">
        <v>2306</v>
      </c>
      <c r="B712" t="s">
        <v>1481</v>
      </c>
      <c r="C712" t="s">
        <v>521</v>
      </c>
      <c r="D712" t="s">
        <v>46</v>
      </c>
      <c r="E712">
        <v>28</v>
      </c>
      <c r="F712" t="s">
        <v>522</v>
      </c>
      <c r="G712" t="s">
        <v>231</v>
      </c>
      <c r="H712" t="s">
        <v>2307</v>
      </c>
      <c r="I712" s="1" t="d">
        <v>2022-01-13</v>
      </c>
      <c r="J712" t="s">
        <v>1843</v>
      </c>
      <c r="K712" s="17" t="s">
        <v>58</v>
      </c>
      <c r="L712">
        <v>4</v>
      </c>
    </row>
    <row r="713" spans="1:12" x14ac:dyDescent="0.25">
      <c r="A713" t="s">
        <v>1945</v>
      </c>
      <c r="B713" t="s">
        <v>1002</v>
      </c>
      <c r="C713" t="s">
        <v>263</v>
      </c>
      <c r="D713" t="s">
        <v>23</v>
      </c>
      <c r="E713">
        <v>48</v>
      </c>
      <c r="F713" t="s">
        <v>126</v>
      </c>
      <c r="G713" t="s">
        <v>937</v>
      </c>
      <c r="H713" t="s">
        <v>2308</v>
      </c>
      <c r="I713" s="1" t="d">
        <v>2017-08-01</v>
      </c>
      <c r="J713" t="s">
        <v>1946</v>
      </c>
      <c r="K713" s="17" t="s">
        <v>58</v>
      </c>
      <c r="L713">
        <v>3</v>
      </c>
    </row>
    <row r="714" spans="1:12" x14ac:dyDescent="0.25">
      <c r="A714" t="s">
        <v>2309</v>
      </c>
      <c r="B714" t="s">
        <v>2310</v>
      </c>
      <c r="C714" t="s">
        <v>474</v>
      </c>
      <c r="D714" t="s">
        <v>46</v>
      </c>
      <c r="E714">
        <v>34</v>
      </c>
      <c r="F714" t="s">
        <v>122</v>
      </c>
      <c r="G714" t="s">
        <v>212</v>
      </c>
      <c r="H714" t="s">
        <v>2311</v>
      </c>
      <c r="J714" t="s">
        <v>1304</v>
      </c>
      <c r="K714" s="17" t="s">
        <v>118</v>
      </c>
      <c r="L714">
        <v>3</v>
      </c>
    </row>
    <row r="715" spans="1:12" x14ac:dyDescent="0.25">
      <c r="A715" t="s">
        <v>2312</v>
      </c>
      <c r="B715" t="s">
        <v>1002</v>
      </c>
      <c r="C715" t="s">
        <v>2313</v>
      </c>
      <c r="D715" t="s">
        <v>23</v>
      </c>
      <c r="E715">
        <v>49</v>
      </c>
      <c r="F715" t="s">
        <v>1568</v>
      </c>
      <c r="G715" t="s">
        <v>842</v>
      </c>
      <c r="H715">
        <v>149508</v>
      </c>
      <c r="I715" s="1" t="d">
        <v>2017-06-11</v>
      </c>
      <c r="J715" t="s">
        <v>2314</v>
      </c>
      <c r="K715" s="17" t="s">
        <v>370</v>
      </c>
      <c r="L715">
        <v>3</v>
      </c>
    </row>
    <row r="716" spans="1:12" x14ac:dyDescent="0.25">
      <c r="A716" t="s">
        <v>2315</v>
      </c>
      <c r="B716" t="s">
        <v>670</v>
      </c>
      <c r="C716" t="s">
        <v>145</v>
      </c>
      <c r="D716" t="s">
        <v>23</v>
      </c>
      <c r="E716">
        <v>35</v>
      </c>
      <c r="F716" t="s">
        <v>38</v>
      </c>
      <c r="G716" t="s">
        <v>69</v>
      </c>
      <c r="I716" s="1" t="d">
        <v>2022-03-14</v>
      </c>
      <c r="J716" t="s">
        <v>1439</v>
      </c>
      <c r="K716" s="17" t="s">
        <v>149</v>
      </c>
      <c r="L716">
        <v>3</v>
      </c>
    </row>
    <row r="717" spans="1:12" x14ac:dyDescent="0.25">
      <c r="A717" t="s">
        <v>2316</v>
      </c>
      <c r="B717" t="s">
        <v>1422</v>
      </c>
      <c r="C717" t="s">
        <v>555</v>
      </c>
      <c r="D717" t="s">
        <v>23</v>
      </c>
      <c r="E717">
        <v>39</v>
      </c>
      <c r="G717" t="s">
        <v>500</v>
      </c>
      <c r="H717" t="s">
        <v>2317</v>
      </c>
      <c r="I717" s="1" t="d">
        <v>2022-04-27</v>
      </c>
      <c r="J717" t="s">
        <v>1661</v>
      </c>
      <c r="K717" s="17" t="s">
        <v>118</v>
      </c>
      <c r="L717">
        <v>2</v>
      </c>
    </row>
    <row r="718" spans="1:12" x14ac:dyDescent="0.25">
      <c r="A718" t="s">
        <v>2318</v>
      </c>
      <c r="B718" t="s">
        <v>410</v>
      </c>
      <c r="C718" t="s">
        <v>225</v>
      </c>
      <c r="D718" t="s">
        <v>9527</v>
      </c>
      <c r="E718">
        <v>41</v>
      </c>
      <c r="F718" t="s">
        <v>238</v>
      </c>
      <c r="G718" t="s">
        <v>357</v>
      </c>
      <c r="H718" t="s">
        <v>2319</v>
      </c>
      <c r="I718" s="1" t="d">
        <v>2005-10-26</v>
      </c>
      <c r="J718" t="s">
        <v>2136</v>
      </c>
      <c r="K718" s="17" t="s">
        <v>34</v>
      </c>
      <c r="L718">
        <v>2</v>
      </c>
    </row>
    <row r="719" spans="1:12" x14ac:dyDescent="0.25">
      <c r="A719" t="s">
        <v>2320</v>
      </c>
      <c r="B719" t="s">
        <v>470</v>
      </c>
      <c r="C719" t="s">
        <v>552</v>
      </c>
      <c r="D719" t="s">
        <v>9527</v>
      </c>
      <c r="E719">
        <v>47</v>
      </c>
      <c r="F719" t="s">
        <v>269</v>
      </c>
      <c r="G719" t="s">
        <v>212</v>
      </c>
      <c r="H719" t="s">
        <v>2321</v>
      </c>
      <c r="I719" s="1" t="d">
        <v>2019-08-28</v>
      </c>
      <c r="J719" t="s">
        <v>1816</v>
      </c>
      <c r="K719" s="17" t="s">
        <v>58</v>
      </c>
      <c r="L719">
        <v>2</v>
      </c>
    </row>
    <row r="720" spans="1:12" x14ac:dyDescent="0.25">
      <c r="A720" t="s">
        <v>2322</v>
      </c>
      <c r="B720" t="s">
        <v>112</v>
      </c>
      <c r="C720" t="s">
        <v>2323</v>
      </c>
      <c r="D720" t="s">
        <v>46</v>
      </c>
      <c r="E720">
        <v>43</v>
      </c>
      <c r="F720" t="s">
        <v>422</v>
      </c>
      <c r="G720" t="s">
        <v>39</v>
      </c>
      <c r="H720" t="s">
        <v>2324</v>
      </c>
      <c r="I720" s="1" t="d">
        <v>2024-12-19</v>
      </c>
      <c r="J720" t="s">
        <v>2325</v>
      </c>
      <c r="K720" s="17" t="s">
        <v>27</v>
      </c>
      <c r="L720">
        <v>3</v>
      </c>
    </row>
    <row r="721" spans="1:12" x14ac:dyDescent="0.25">
      <c r="A721" t="s">
        <v>2326</v>
      </c>
      <c r="B721" t="s">
        <v>670</v>
      </c>
      <c r="C721" t="s">
        <v>961</v>
      </c>
      <c r="D721" t="s">
        <v>46</v>
      </c>
      <c r="E721">
        <v>36</v>
      </c>
      <c r="F721" t="s">
        <v>411</v>
      </c>
      <c r="G721" t="s">
        <v>337</v>
      </c>
      <c r="H721">
        <v>45439</v>
      </c>
      <c r="I721" s="1" t="d">
        <v>2015-10-17</v>
      </c>
      <c r="J721" t="s">
        <v>2327</v>
      </c>
      <c r="K721" s="17" t="s">
        <v>71</v>
      </c>
      <c r="L721">
        <v>4</v>
      </c>
    </row>
    <row r="722" spans="1:12" x14ac:dyDescent="0.25">
      <c r="A722" t="s">
        <v>2328</v>
      </c>
      <c r="B722" t="s">
        <v>936</v>
      </c>
      <c r="C722" t="s">
        <v>584</v>
      </c>
      <c r="D722" t="s">
        <v>23</v>
      </c>
      <c r="E722">
        <v>43</v>
      </c>
      <c r="F722" t="s">
        <v>399</v>
      </c>
      <c r="G722" t="s">
        <v>217</v>
      </c>
      <c r="H722">
        <v>82760</v>
      </c>
      <c r="I722" s="1" t="d">
        <v>2014-07-22</v>
      </c>
      <c r="J722" t="s">
        <v>2329</v>
      </c>
      <c r="K722" s="17" t="s">
        <v>71</v>
      </c>
      <c r="L722">
        <v>3</v>
      </c>
    </row>
    <row r="723" spans="1:12" x14ac:dyDescent="0.25">
      <c r="A723" t="s">
        <v>2330</v>
      </c>
      <c r="B723" t="s">
        <v>548</v>
      </c>
      <c r="C723" t="s">
        <v>1520</v>
      </c>
      <c r="D723" t="s">
        <v>46</v>
      </c>
      <c r="E723">
        <v>27</v>
      </c>
      <c r="F723" t="s">
        <v>406</v>
      </c>
      <c r="G723" t="s">
        <v>504</v>
      </c>
      <c r="H723" t="s">
        <v>2331</v>
      </c>
      <c r="I723" s="1" t="d">
        <v>2020-07-18</v>
      </c>
      <c r="J723" t="s">
        <v>2332</v>
      </c>
      <c r="K723" s="17" t="s">
        <v>207</v>
      </c>
      <c r="L723">
        <v>4</v>
      </c>
    </row>
    <row r="724" spans="1:12" x14ac:dyDescent="0.25">
      <c r="A724" t="s">
        <v>2333</v>
      </c>
      <c r="B724" t="s">
        <v>92</v>
      </c>
      <c r="C724" t="s">
        <v>805</v>
      </c>
      <c r="D724" t="s">
        <v>46</v>
      </c>
      <c r="E724">
        <v>46</v>
      </c>
      <c r="G724" t="s">
        <v>782</v>
      </c>
      <c r="H724" t="s">
        <v>2334</v>
      </c>
      <c r="I724" s="1" t="d">
        <v>2014-03-20</v>
      </c>
      <c r="J724" t="s">
        <v>2335</v>
      </c>
      <c r="K724" s="17" t="s">
        <v>184</v>
      </c>
      <c r="L724">
        <v>4</v>
      </c>
    </row>
    <row r="725" spans="1:12" x14ac:dyDescent="0.25">
      <c r="A725" t="s">
        <v>2336</v>
      </c>
      <c r="B725" t="s">
        <v>1002</v>
      </c>
      <c r="C725" t="s">
        <v>1142</v>
      </c>
      <c r="D725" t="s">
        <v>9527</v>
      </c>
      <c r="E725">
        <v>21</v>
      </c>
      <c r="F725" t="s">
        <v>522</v>
      </c>
      <c r="G725" t="s">
        <v>2337</v>
      </c>
      <c r="H725" s="2">
        <v>77054</v>
      </c>
      <c r="I725" s="1" t="d">
        <v>2013-11-27</v>
      </c>
      <c r="J725" t="s">
        <v>2338</v>
      </c>
      <c r="K725" s="17" t="s">
        <v>19</v>
      </c>
      <c r="L725">
        <v>5</v>
      </c>
    </row>
    <row r="726" spans="1:12" x14ac:dyDescent="0.25">
      <c r="A726" t="s">
        <v>2339</v>
      </c>
      <c r="B726" t="s">
        <v>180</v>
      </c>
      <c r="C726" t="s">
        <v>22</v>
      </c>
      <c r="D726" t="s">
        <v>23</v>
      </c>
      <c r="E726">
        <v>55</v>
      </c>
      <c r="F726" t="s">
        <v>645</v>
      </c>
      <c r="G726" t="s">
        <v>39</v>
      </c>
      <c r="H726" s="2">
        <v>41701</v>
      </c>
      <c r="I726" s="1" t="d">
        <v>2014-10-27</v>
      </c>
      <c r="J726" t="s">
        <v>2340</v>
      </c>
      <c r="K726" s="17" t="s">
        <v>100</v>
      </c>
      <c r="L726">
        <v>3</v>
      </c>
    </row>
    <row r="727" spans="1:12" x14ac:dyDescent="0.25">
      <c r="A727" t="s">
        <v>2341</v>
      </c>
      <c r="B727" t="s">
        <v>862</v>
      </c>
      <c r="C727" t="s">
        <v>1356</v>
      </c>
      <c r="D727" t="s">
        <v>9527</v>
      </c>
      <c r="E727">
        <v>21</v>
      </c>
      <c r="F727" t="s">
        <v>264</v>
      </c>
      <c r="G727" t="s">
        <v>191</v>
      </c>
      <c r="H727">
        <v>74001</v>
      </c>
      <c r="I727" s="1" t="d">
        <v>2015-07-19</v>
      </c>
      <c r="J727" t="s">
        <v>2342</v>
      </c>
      <c r="K727" s="17" t="s">
        <v>34</v>
      </c>
      <c r="L727">
        <v>3</v>
      </c>
    </row>
    <row r="728" spans="1:12" x14ac:dyDescent="0.25">
      <c r="A728" t="s">
        <v>2343</v>
      </c>
      <c r="B728" t="s">
        <v>29</v>
      </c>
      <c r="C728" t="s">
        <v>2344</v>
      </c>
      <c r="D728" t="s">
        <v>46</v>
      </c>
      <c r="E728">
        <v>29</v>
      </c>
      <c r="F728" t="s">
        <v>422</v>
      </c>
      <c r="G728" t="s">
        <v>16</v>
      </c>
      <c r="H728" t="s">
        <v>2345</v>
      </c>
      <c r="I728" s="1" t="d">
        <v>2024-09-28</v>
      </c>
      <c r="J728" t="s">
        <v>2346</v>
      </c>
      <c r="K728" s="17" t="s">
        <v>207</v>
      </c>
      <c r="L728">
        <v>5</v>
      </c>
    </row>
    <row r="729" spans="1:12" x14ac:dyDescent="0.25">
      <c r="A729" t="s">
        <v>2347</v>
      </c>
      <c r="B729" t="s">
        <v>1350</v>
      </c>
      <c r="C729" t="s">
        <v>291</v>
      </c>
      <c r="D729" t="s">
        <v>9527</v>
      </c>
      <c r="E729">
        <v>49</v>
      </c>
      <c r="F729" t="s">
        <v>2065</v>
      </c>
      <c r="G729" t="s">
        <v>212</v>
      </c>
      <c r="H729" t="s">
        <v>2348</v>
      </c>
      <c r="I729" s="1" t="d">
        <v>2006-05-07</v>
      </c>
      <c r="J729" t="s">
        <v>1582</v>
      </c>
      <c r="K729" s="17" t="s">
        <v>58</v>
      </c>
      <c r="L729">
        <v>3</v>
      </c>
    </row>
    <row r="730" spans="1:12" x14ac:dyDescent="0.25">
      <c r="A730" t="s">
        <v>2349</v>
      </c>
      <c r="B730" t="s">
        <v>2350</v>
      </c>
      <c r="C730" t="s">
        <v>37</v>
      </c>
      <c r="D730" t="s">
        <v>23</v>
      </c>
      <c r="E730">
        <v>26</v>
      </c>
      <c r="F730" t="s">
        <v>373</v>
      </c>
      <c r="G730" t="s">
        <v>177</v>
      </c>
      <c r="H730">
        <v>76206</v>
      </c>
      <c r="I730" s="1" t="d">
        <v>2008-01-22</v>
      </c>
      <c r="J730" t="s">
        <v>2351</v>
      </c>
      <c r="K730" s="17" t="s">
        <v>207</v>
      </c>
      <c r="L730">
        <v>2</v>
      </c>
    </row>
    <row r="731" spans="1:12" x14ac:dyDescent="0.25">
      <c r="A731" t="s">
        <v>2352</v>
      </c>
      <c r="B731" t="s">
        <v>448</v>
      </c>
      <c r="C731" t="s">
        <v>107</v>
      </c>
      <c r="D731" t="s">
        <v>9527</v>
      </c>
      <c r="E731">
        <v>28</v>
      </c>
      <c r="F731" t="s">
        <v>264</v>
      </c>
      <c r="G731" t="s">
        <v>182</v>
      </c>
      <c r="H731">
        <v>133848</v>
      </c>
      <c r="I731" s="1" t="d">
        <v>2018-10-16</v>
      </c>
      <c r="J731" t="s">
        <v>1449</v>
      </c>
      <c r="K731" s="17" t="s">
        <v>118</v>
      </c>
      <c r="L731">
        <v>4</v>
      </c>
    </row>
    <row r="732" spans="1:12" x14ac:dyDescent="0.25">
      <c r="A732" t="s">
        <v>2353</v>
      </c>
      <c r="B732" t="s">
        <v>670</v>
      </c>
      <c r="C732" t="s">
        <v>747</v>
      </c>
      <c r="D732" t="s">
        <v>23</v>
      </c>
      <c r="E732">
        <v>54</v>
      </c>
      <c r="F732" t="s">
        <v>978</v>
      </c>
      <c r="G732" t="s">
        <v>878</v>
      </c>
      <c r="H732" t="s">
        <v>2354</v>
      </c>
      <c r="I732" s="1" t="d">
        <v>2011-05-01</v>
      </c>
      <c r="J732" t="s">
        <v>2355</v>
      </c>
      <c r="K732" s="17" t="s">
        <v>370</v>
      </c>
      <c r="L732">
        <v>3</v>
      </c>
    </row>
    <row r="733" spans="1:12" x14ac:dyDescent="0.25">
      <c r="A733" t="s">
        <v>2356</v>
      </c>
      <c r="B733" t="s">
        <v>228</v>
      </c>
      <c r="C733" t="s">
        <v>181</v>
      </c>
      <c r="D733" t="s">
        <v>9527</v>
      </c>
      <c r="E733">
        <v>38</v>
      </c>
      <c r="F733" t="s">
        <v>146</v>
      </c>
      <c r="G733" t="s">
        <v>69</v>
      </c>
      <c r="H733" t="s">
        <v>2357</v>
      </c>
      <c r="I733" s="1" t="d">
        <v>2019-02-13</v>
      </c>
      <c r="J733" t="s">
        <v>1108</v>
      </c>
      <c r="K733" s="17" t="s">
        <v>118</v>
      </c>
      <c r="L733">
        <v>3</v>
      </c>
    </row>
    <row r="734" spans="1:12" x14ac:dyDescent="0.25">
      <c r="A734" t="s">
        <v>2358</v>
      </c>
      <c r="B734" t="s">
        <v>670</v>
      </c>
      <c r="C734" t="s">
        <v>684</v>
      </c>
      <c r="D734" t="s">
        <v>23</v>
      </c>
      <c r="E734">
        <v>32</v>
      </c>
      <c r="F734" t="s">
        <v>146</v>
      </c>
      <c r="G734" t="s">
        <v>16</v>
      </c>
      <c r="H734" s="2">
        <v>146823</v>
      </c>
      <c r="I734" s="1" t="d">
        <v>2017-05-28</v>
      </c>
      <c r="J734" t="s">
        <v>2359</v>
      </c>
      <c r="K734" s="17" t="s">
        <v>71</v>
      </c>
      <c r="L734">
        <v>3</v>
      </c>
    </row>
    <row r="735" spans="1:12" x14ac:dyDescent="0.25">
      <c r="A735" t="s">
        <v>2360</v>
      </c>
      <c r="B735" t="s">
        <v>1181</v>
      </c>
      <c r="C735" t="s">
        <v>361</v>
      </c>
      <c r="D735" t="s">
        <v>9527</v>
      </c>
      <c r="E735">
        <v>21</v>
      </c>
      <c r="F735" t="s">
        <v>258</v>
      </c>
      <c r="G735" t="s">
        <v>182</v>
      </c>
      <c r="H735">
        <v>87177</v>
      </c>
      <c r="I735" s="1" t="d">
        <v>2017-01-23</v>
      </c>
      <c r="J735" t="s">
        <v>2361</v>
      </c>
      <c r="K735" s="17" t="s">
        <v>50</v>
      </c>
      <c r="L735">
        <v>4</v>
      </c>
    </row>
    <row r="736" spans="1:12" x14ac:dyDescent="0.25">
      <c r="A736" t="s">
        <v>2362</v>
      </c>
      <c r="B736" t="s">
        <v>102</v>
      </c>
      <c r="C736" t="s">
        <v>961</v>
      </c>
      <c r="D736" t="s">
        <v>9527</v>
      </c>
      <c r="E736">
        <v>44</v>
      </c>
      <c r="F736" t="s">
        <v>589</v>
      </c>
      <c r="G736" t="s">
        <v>217</v>
      </c>
      <c r="I736" s="1" t="d">
        <v>2019-10-28</v>
      </c>
      <c r="J736" t="s">
        <v>2363</v>
      </c>
      <c r="K736" s="17" t="s">
        <v>34</v>
      </c>
      <c r="L736">
        <v>4</v>
      </c>
    </row>
    <row r="737" spans="1:12" x14ac:dyDescent="0.25">
      <c r="A737" t="s">
        <v>2364</v>
      </c>
      <c r="B737" t="s">
        <v>2365</v>
      </c>
      <c r="C737" t="s">
        <v>295</v>
      </c>
      <c r="D737" t="s">
        <v>9527</v>
      </c>
      <c r="E737">
        <v>25</v>
      </c>
      <c r="F737" t="s">
        <v>1532</v>
      </c>
      <c r="G737" t="s">
        <v>39</v>
      </c>
      <c r="H737" s="2">
        <v>50703</v>
      </c>
      <c r="I737" s="1" t="d">
        <v>2012-10-19</v>
      </c>
      <c r="J737" t="s">
        <v>2366</v>
      </c>
      <c r="K737" s="17" t="s">
        <v>207</v>
      </c>
      <c r="L737">
        <v>3</v>
      </c>
    </row>
    <row r="738" spans="1:12" x14ac:dyDescent="0.25">
      <c r="A738" t="s">
        <v>2367</v>
      </c>
      <c r="B738" t="s">
        <v>750</v>
      </c>
      <c r="C738" t="s">
        <v>252</v>
      </c>
      <c r="D738" t="s">
        <v>9527</v>
      </c>
      <c r="E738">
        <v>38</v>
      </c>
      <c r="F738" t="s">
        <v>645</v>
      </c>
      <c r="G738" t="s">
        <v>337</v>
      </c>
      <c r="H738" t="s">
        <v>2368</v>
      </c>
      <c r="I738" s="1" t="d">
        <v>2013-05-07</v>
      </c>
      <c r="J738" t="s">
        <v>2369</v>
      </c>
      <c r="K738" s="17" t="s">
        <v>149</v>
      </c>
      <c r="L738">
        <v>3</v>
      </c>
    </row>
    <row r="739" spans="1:12" x14ac:dyDescent="0.25">
      <c r="A739" t="s">
        <v>2370</v>
      </c>
      <c r="B739" t="s">
        <v>630</v>
      </c>
      <c r="C739" t="s">
        <v>2371</v>
      </c>
      <c r="D739" t="s">
        <v>46</v>
      </c>
      <c r="E739">
        <v>51</v>
      </c>
      <c r="F739" t="s">
        <v>2372</v>
      </c>
      <c r="G739" t="s">
        <v>39</v>
      </c>
      <c r="I739" s="1" t="d">
        <v>2008-08-05</v>
      </c>
      <c r="J739" t="s">
        <v>2373</v>
      </c>
      <c r="K739" s="17" t="s">
        <v>34</v>
      </c>
      <c r="L739">
        <v>3</v>
      </c>
    </row>
    <row r="740" spans="1:12" x14ac:dyDescent="0.25">
      <c r="A740" t="s">
        <v>2374</v>
      </c>
      <c r="B740" t="s">
        <v>2272</v>
      </c>
      <c r="C740" t="s">
        <v>181</v>
      </c>
      <c r="D740" t="s">
        <v>46</v>
      </c>
      <c r="E740">
        <v>37</v>
      </c>
      <c r="F740" t="s">
        <v>126</v>
      </c>
      <c r="G740" t="s">
        <v>205</v>
      </c>
      <c r="H740" s="2">
        <v>75883</v>
      </c>
      <c r="I740" s="1" t="d">
        <v>2012-01-09</v>
      </c>
      <c r="J740" t="s">
        <v>2375</v>
      </c>
      <c r="K740" s="17" t="s">
        <v>90</v>
      </c>
      <c r="L740">
        <v>5</v>
      </c>
    </row>
    <row r="741" spans="1:12" x14ac:dyDescent="0.25">
      <c r="A741" t="s">
        <v>2376</v>
      </c>
      <c r="B741" t="s">
        <v>630</v>
      </c>
      <c r="C741" t="s">
        <v>1377</v>
      </c>
      <c r="D741" t="s">
        <v>46</v>
      </c>
      <c r="E741">
        <v>31</v>
      </c>
      <c r="F741" t="s">
        <v>216</v>
      </c>
      <c r="G741" t="s">
        <v>48</v>
      </c>
      <c r="H741">
        <v>57457</v>
      </c>
      <c r="I741" s="1" t="d">
        <v>2023-06-07</v>
      </c>
      <c r="J741" t="s">
        <v>2377</v>
      </c>
      <c r="K741" s="17" t="s">
        <v>90</v>
      </c>
      <c r="L741">
        <v>4</v>
      </c>
    </row>
    <row r="742" spans="1:12" x14ac:dyDescent="0.25">
      <c r="A742" t="s">
        <v>2378</v>
      </c>
      <c r="B742" t="s">
        <v>2379</v>
      </c>
      <c r="C742" t="s">
        <v>2380</v>
      </c>
      <c r="D742" t="s">
        <v>9527</v>
      </c>
      <c r="E742">
        <v>21</v>
      </c>
      <c r="F742" t="s">
        <v>296</v>
      </c>
      <c r="G742" t="s">
        <v>48</v>
      </c>
      <c r="H742">
        <v>79411</v>
      </c>
      <c r="I742" s="1" t="d">
        <v>2009-09-19</v>
      </c>
      <c r="J742" t="s">
        <v>2381</v>
      </c>
      <c r="K742" s="17" t="s">
        <v>149</v>
      </c>
      <c r="L742">
        <v>3</v>
      </c>
    </row>
    <row r="743" spans="1:12" x14ac:dyDescent="0.25">
      <c r="A743" t="s">
        <v>2382</v>
      </c>
      <c r="B743" t="s">
        <v>199</v>
      </c>
      <c r="C743" t="s">
        <v>624</v>
      </c>
      <c r="D743" t="s">
        <v>46</v>
      </c>
      <c r="E743">
        <v>41</v>
      </c>
      <c r="F743" t="s">
        <v>114</v>
      </c>
      <c r="G743" t="s">
        <v>63</v>
      </c>
      <c r="H743">
        <v>214125</v>
      </c>
      <c r="I743" s="1" t="d">
        <v>2008-08-06</v>
      </c>
      <c r="J743" t="s">
        <v>1655</v>
      </c>
      <c r="K743" s="17" t="s">
        <v>58</v>
      </c>
      <c r="L743">
        <v>3</v>
      </c>
    </row>
    <row r="744" spans="1:12" x14ac:dyDescent="0.25">
      <c r="A744" t="s">
        <v>2383</v>
      </c>
      <c r="B744" t="s">
        <v>670</v>
      </c>
      <c r="C744" t="s">
        <v>163</v>
      </c>
      <c r="D744" t="s">
        <v>23</v>
      </c>
      <c r="E744">
        <v>37</v>
      </c>
      <c r="F744" t="s">
        <v>68</v>
      </c>
      <c r="G744" t="s">
        <v>357</v>
      </c>
      <c r="H744" t="s">
        <v>2384</v>
      </c>
      <c r="J744" t="s">
        <v>2385</v>
      </c>
      <c r="K744" s="17" t="s">
        <v>207</v>
      </c>
      <c r="L744">
        <v>4</v>
      </c>
    </row>
    <row r="745" spans="1:12" x14ac:dyDescent="0.25">
      <c r="A745" t="s">
        <v>2386</v>
      </c>
      <c r="B745" t="s">
        <v>1896</v>
      </c>
      <c r="C745" t="s">
        <v>898</v>
      </c>
      <c r="D745" t="s">
        <v>9527</v>
      </c>
      <c r="E745">
        <v>46</v>
      </c>
      <c r="F745" t="s">
        <v>269</v>
      </c>
      <c r="G745" t="s">
        <v>39</v>
      </c>
      <c r="H745" t="s">
        <v>2387</v>
      </c>
      <c r="I745" s="1" t="d">
        <v>2018-04-02</v>
      </c>
      <c r="J745" t="s">
        <v>2388</v>
      </c>
      <c r="K745" s="17" t="s">
        <v>149</v>
      </c>
      <c r="L745">
        <v>2</v>
      </c>
    </row>
    <row r="746" spans="1:12" x14ac:dyDescent="0.25">
      <c r="A746" t="s">
        <v>2389</v>
      </c>
      <c r="B746" t="s">
        <v>2252</v>
      </c>
      <c r="C746" t="s">
        <v>140</v>
      </c>
      <c r="D746" t="s">
        <v>46</v>
      </c>
      <c r="E746">
        <v>42</v>
      </c>
      <c r="F746" t="s">
        <v>38</v>
      </c>
      <c r="G746" t="s">
        <v>48</v>
      </c>
      <c r="H746" s="2">
        <v>55734</v>
      </c>
      <c r="I746" s="1" t="d">
        <v>2009-12-25</v>
      </c>
      <c r="J746" t="s">
        <v>513</v>
      </c>
      <c r="K746" s="17" t="s">
        <v>71</v>
      </c>
      <c r="L746">
        <v>3</v>
      </c>
    </row>
    <row r="747" spans="1:12" x14ac:dyDescent="0.25">
      <c r="A747" t="s">
        <v>2390</v>
      </c>
      <c r="B747" t="s">
        <v>2061</v>
      </c>
      <c r="C747" t="s">
        <v>2391</v>
      </c>
      <c r="D747" t="s">
        <v>46</v>
      </c>
      <c r="E747">
        <v>34</v>
      </c>
      <c r="F747" t="s">
        <v>422</v>
      </c>
      <c r="G747" t="s">
        <v>82</v>
      </c>
      <c r="H747" s="2">
        <v>68473</v>
      </c>
      <c r="I747" s="1" t="d">
        <v>2018-12-30</v>
      </c>
      <c r="J747" t="s">
        <v>2392</v>
      </c>
      <c r="K747" s="17" t="s">
        <v>27</v>
      </c>
      <c r="L747">
        <v>5</v>
      </c>
    </row>
    <row r="748" spans="1:12" x14ac:dyDescent="0.25">
      <c r="A748" t="s">
        <v>2393</v>
      </c>
      <c r="B748" t="s">
        <v>37</v>
      </c>
      <c r="C748" t="s">
        <v>739</v>
      </c>
      <c r="D748" t="s">
        <v>23</v>
      </c>
      <c r="E748">
        <v>31</v>
      </c>
      <c r="F748" t="s">
        <v>211</v>
      </c>
      <c r="G748" t="s">
        <v>82</v>
      </c>
      <c r="H748" t="s">
        <v>2394</v>
      </c>
      <c r="I748" s="1" t="d">
        <v>2017-11-24</v>
      </c>
      <c r="J748" t="s">
        <v>2395</v>
      </c>
      <c r="K748" s="17" t="s">
        <v>149</v>
      </c>
      <c r="L748">
        <v>3</v>
      </c>
    </row>
    <row r="749" spans="1:12" x14ac:dyDescent="0.25">
      <c r="A749" t="s">
        <v>2396</v>
      </c>
      <c r="B749" t="s">
        <v>456</v>
      </c>
      <c r="C749" t="s">
        <v>291</v>
      </c>
      <c r="D749" t="s">
        <v>9527</v>
      </c>
      <c r="E749">
        <v>44</v>
      </c>
      <c r="G749" t="s">
        <v>504</v>
      </c>
      <c r="I749" s="1" t="d">
        <v>2005-12-17</v>
      </c>
      <c r="J749" t="s">
        <v>2116</v>
      </c>
      <c r="K749" s="17" t="s">
        <v>207</v>
      </c>
      <c r="L749">
        <v>2</v>
      </c>
    </row>
    <row r="750" spans="1:12" x14ac:dyDescent="0.25">
      <c r="A750" t="s">
        <v>2397</v>
      </c>
      <c r="B750" t="s">
        <v>157</v>
      </c>
      <c r="C750" t="s">
        <v>1657</v>
      </c>
      <c r="D750" t="s">
        <v>9527</v>
      </c>
      <c r="E750">
        <v>31</v>
      </c>
      <c r="F750" t="s">
        <v>200</v>
      </c>
      <c r="G750" t="s">
        <v>16</v>
      </c>
      <c r="H750" t="s">
        <v>2398</v>
      </c>
      <c r="I750" s="1" t="d">
        <v>2016-12-28</v>
      </c>
      <c r="J750" t="s">
        <v>1008</v>
      </c>
      <c r="K750" s="17" t="s">
        <v>100</v>
      </c>
      <c r="L750">
        <v>4</v>
      </c>
    </row>
    <row r="751" spans="1:12" x14ac:dyDescent="0.25">
      <c r="A751" t="s">
        <v>2399</v>
      </c>
      <c r="B751" t="s">
        <v>323</v>
      </c>
      <c r="C751" t="s">
        <v>158</v>
      </c>
      <c r="D751" t="s">
        <v>9527</v>
      </c>
      <c r="E751">
        <v>50</v>
      </c>
      <c r="F751" t="s">
        <v>2400</v>
      </c>
      <c r="G751" t="s">
        <v>212</v>
      </c>
      <c r="I751" s="1" t="d">
        <v>2013-06-30</v>
      </c>
      <c r="J751" t="s">
        <v>957</v>
      </c>
      <c r="K751" s="17" t="s">
        <v>58</v>
      </c>
      <c r="L751">
        <v>4</v>
      </c>
    </row>
    <row r="752" spans="1:12" x14ac:dyDescent="0.25">
      <c r="A752" t="s">
        <v>2401</v>
      </c>
      <c r="B752" t="s">
        <v>410</v>
      </c>
      <c r="C752" t="s">
        <v>45</v>
      </c>
      <c r="D752" t="s">
        <v>9527</v>
      </c>
      <c r="E752">
        <v>36</v>
      </c>
      <c r="F752" t="s">
        <v>230</v>
      </c>
      <c r="G752" t="s">
        <v>82</v>
      </c>
      <c r="H752" t="s">
        <v>2402</v>
      </c>
      <c r="I752" s="1" t="d">
        <v>2015-06-06</v>
      </c>
      <c r="J752" t="s">
        <v>1352</v>
      </c>
      <c r="K752" s="17" t="s">
        <v>19</v>
      </c>
      <c r="L752">
        <v>5</v>
      </c>
    </row>
    <row r="753" spans="1:12" x14ac:dyDescent="0.25">
      <c r="A753" t="s">
        <v>2403</v>
      </c>
      <c r="B753" t="s">
        <v>13</v>
      </c>
      <c r="C753" t="s">
        <v>2404</v>
      </c>
      <c r="D753" t="s">
        <v>9527</v>
      </c>
      <c r="E753">
        <v>21</v>
      </c>
      <c r="F753" t="s">
        <v>230</v>
      </c>
      <c r="G753" t="s">
        <v>458</v>
      </c>
      <c r="H753">
        <v>63436</v>
      </c>
      <c r="I753" s="1" t="d">
        <v>2013-09-25</v>
      </c>
      <c r="J753" t="s">
        <v>2405</v>
      </c>
      <c r="K753" s="17" t="s">
        <v>370</v>
      </c>
      <c r="L753">
        <v>4</v>
      </c>
    </row>
    <row r="754" spans="1:12" x14ac:dyDescent="0.25">
      <c r="A754" t="s">
        <v>2406</v>
      </c>
      <c r="B754" t="s">
        <v>86</v>
      </c>
      <c r="C754" t="s">
        <v>440</v>
      </c>
      <c r="D754" t="s">
        <v>9527</v>
      </c>
      <c r="E754">
        <v>46</v>
      </c>
      <c r="F754" t="s">
        <v>114</v>
      </c>
      <c r="G754" t="s">
        <v>88</v>
      </c>
      <c r="H754" t="s">
        <v>2407</v>
      </c>
      <c r="I754" s="1" t="d">
        <v>2014-11-10</v>
      </c>
      <c r="J754" t="s">
        <v>657</v>
      </c>
      <c r="K754" s="17" t="s">
        <v>100</v>
      </c>
      <c r="L754">
        <v>4</v>
      </c>
    </row>
    <row r="755" spans="1:12" x14ac:dyDescent="0.25">
      <c r="A755" t="s">
        <v>1727</v>
      </c>
      <c r="B755" t="s">
        <v>199</v>
      </c>
      <c r="C755" t="s">
        <v>699</v>
      </c>
      <c r="D755" t="s">
        <v>23</v>
      </c>
      <c r="E755">
        <v>54</v>
      </c>
      <c r="F755" t="s">
        <v>169</v>
      </c>
      <c r="G755" t="s">
        <v>69</v>
      </c>
      <c r="H755" s="2">
        <v>54257</v>
      </c>
      <c r="I755" s="1" t="d">
        <v>2014-10-21</v>
      </c>
      <c r="J755" t="s">
        <v>1728</v>
      </c>
      <c r="K755" s="17" t="s">
        <v>42</v>
      </c>
      <c r="L755">
        <v>4</v>
      </c>
    </row>
    <row r="756" spans="1:12" x14ac:dyDescent="0.25">
      <c r="A756" t="s">
        <v>2408</v>
      </c>
      <c r="B756" t="s">
        <v>2409</v>
      </c>
      <c r="C756" t="s">
        <v>758</v>
      </c>
      <c r="D756" t="s">
        <v>46</v>
      </c>
      <c r="E756">
        <v>52</v>
      </c>
      <c r="F756" t="s">
        <v>269</v>
      </c>
      <c r="G756" t="s">
        <v>842</v>
      </c>
      <c r="H756" t="s">
        <v>2410</v>
      </c>
      <c r="I756" s="1" t="d">
        <v>2010-01-06</v>
      </c>
      <c r="J756" t="s">
        <v>1514</v>
      </c>
      <c r="K756" s="17" t="s">
        <v>50</v>
      </c>
      <c r="L756">
        <v>4</v>
      </c>
    </row>
    <row r="757" spans="1:12" x14ac:dyDescent="0.25">
      <c r="A757" t="s">
        <v>2411</v>
      </c>
      <c r="B757" t="s">
        <v>936</v>
      </c>
      <c r="C757" t="s">
        <v>729</v>
      </c>
      <c r="D757" t="s">
        <v>9527</v>
      </c>
      <c r="E757">
        <v>28</v>
      </c>
      <c r="F757" t="s">
        <v>532</v>
      </c>
      <c r="G757" t="s">
        <v>357</v>
      </c>
      <c r="H757">
        <v>99211</v>
      </c>
      <c r="I757" s="1" t="d">
        <v>2018-09-07</v>
      </c>
      <c r="J757" t="s">
        <v>235</v>
      </c>
      <c r="K757" s="17" t="s">
        <v>19</v>
      </c>
      <c r="L757">
        <v>5</v>
      </c>
    </row>
    <row r="758" spans="1:12" x14ac:dyDescent="0.25">
      <c r="A758" t="s">
        <v>2412</v>
      </c>
      <c r="B758" t="s">
        <v>174</v>
      </c>
      <c r="C758" t="s">
        <v>37</v>
      </c>
      <c r="D758" t="s">
        <v>9527</v>
      </c>
      <c r="E758">
        <v>37</v>
      </c>
      <c r="F758" t="s">
        <v>38</v>
      </c>
      <c r="G758" t="s">
        <v>2413</v>
      </c>
      <c r="H758" t="s">
        <v>2414</v>
      </c>
      <c r="I758" s="1" t="d">
        <v>2015-01-18</v>
      </c>
      <c r="J758" t="s">
        <v>1227</v>
      </c>
      <c r="K758" s="17" t="s">
        <v>118</v>
      </c>
      <c r="L758">
        <v>1</v>
      </c>
    </row>
    <row r="759" spans="1:12" x14ac:dyDescent="0.25">
      <c r="A759" t="s">
        <v>2415</v>
      </c>
      <c r="B759" t="s">
        <v>1374</v>
      </c>
      <c r="C759" t="s">
        <v>1030</v>
      </c>
      <c r="D759" t="s">
        <v>46</v>
      </c>
      <c r="E759">
        <v>22</v>
      </c>
      <c r="F759" t="s">
        <v>190</v>
      </c>
      <c r="G759" t="s">
        <v>458</v>
      </c>
      <c r="H759" t="s">
        <v>2416</v>
      </c>
      <c r="I759" s="1" t="d">
        <v>2007-06-16</v>
      </c>
      <c r="J759" t="s">
        <v>2417</v>
      </c>
      <c r="K759" s="17" t="s">
        <v>71</v>
      </c>
      <c r="L759">
        <v>2</v>
      </c>
    </row>
    <row r="760" spans="1:12" x14ac:dyDescent="0.25">
      <c r="A760" t="s">
        <v>2418</v>
      </c>
      <c r="B760" t="s">
        <v>846</v>
      </c>
      <c r="C760" t="s">
        <v>395</v>
      </c>
      <c r="D760" t="s">
        <v>23</v>
      </c>
      <c r="E760">
        <v>21</v>
      </c>
      <c r="F760" t="s">
        <v>68</v>
      </c>
      <c r="G760" t="s">
        <v>39</v>
      </c>
      <c r="H760" t="s">
        <v>2419</v>
      </c>
      <c r="I760" s="1" t="d">
        <v>2021-12-16</v>
      </c>
      <c r="J760" t="s">
        <v>2420</v>
      </c>
      <c r="K760" s="17" t="s">
        <v>184</v>
      </c>
      <c r="L760">
        <v>4</v>
      </c>
    </row>
    <row r="761" spans="1:12" x14ac:dyDescent="0.25">
      <c r="A761" t="s">
        <v>2421</v>
      </c>
      <c r="B761" t="s">
        <v>1422</v>
      </c>
      <c r="C761" t="s">
        <v>291</v>
      </c>
      <c r="D761" t="s">
        <v>9527</v>
      </c>
      <c r="E761">
        <v>52</v>
      </c>
      <c r="F761" t="s">
        <v>666</v>
      </c>
      <c r="G761" t="s">
        <v>485</v>
      </c>
      <c r="H761">
        <v>125578</v>
      </c>
      <c r="I761" s="1" t="d">
        <v>2020-04-26</v>
      </c>
      <c r="J761" t="s">
        <v>2422</v>
      </c>
      <c r="K761" s="17" t="s">
        <v>58</v>
      </c>
      <c r="L761">
        <v>3</v>
      </c>
    </row>
    <row r="762" spans="1:12" x14ac:dyDescent="0.25">
      <c r="A762" t="s">
        <v>2423</v>
      </c>
      <c r="B762" t="s">
        <v>311</v>
      </c>
      <c r="C762" t="s">
        <v>145</v>
      </c>
      <c r="D762" t="s">
        <v>9527</v>
      </c>
      <c r="E762">
        <v>42</v>
      </c>
      <c r="F762" t="s">
        <v>200</v>
      </c>
      <c r="G762" t="s">
        <v>48</v>
      </c>
      <c r="H762">
        <v>84968</v>
      </c>
      <c r="I762" s="1" t="d">
        <v>2023-03-19</v>
      </c>
      <c r="J762" t="s">
        <v>867</v>
      </c>
      <c r="K762" s="17" t="s">
        <v>34</v>
      </c>
      <c r="L762">
        <v>3</v>
      </c>
    </row>
    <row r="763" spans="1:12" x14ac:dyDescent="0.25">
      <c r="A763" t="s">
        <v>2424</v>
      </c>
      <c r="B763" t="s">
        <v>735</v>
      </c>
      <c r="C763" t="s">
        <v>14</v>
      </c>
      <c r="D763" t="s">
        <v>23</v>
      </c>
      <c r="E763">
        <v>67</v>
      </c>
      <c r="F763" t="s">
        <v>62</v>
      </c>
      <c r="G763" t="s">
        <v>504</v>
      </c>
      <c r="H763" t="s">
        <v>2425</v>
      </c>
      <c r="I763" s="1" t="d">
        <v>2006-06-25</v>
      </c>
      <c r="J763" t="s">
        <v>2426</v>
      </c>
      <c r="K763" s="17" t="s">
        <v>100</v>
      </c>
      <c r="L763">
        <v>4</v>
      </c>
    </row>
    <row r="764" spans="1:12" x14ac:dyDescent="0.25">
      <c r="A764" t="s">
        <v>2427</v>
      </c>
      <c r="B764" t="s">
        <v>262</v>
      </c>
      <c r="C764" t="s">
        <v>2428</v>
      </c>
      <c r="D764" t="s">
        <v>9527</v>
      </c>
      <c r="E764">
        <v>30</v>
      </c>
      <c r="F764" t="s">
        <v>196</v>
      </c>
      <c r="G764" t="s">
        <v>526</v>
      </c>
      <c r="I764" s="1" t="d">
        <v>2012-06-26</v>
      </c>
      <c r="J764" t="s">
        <v>2429</v>
      </c>
      <c r="K764" s="17" t="s">
        <v>184</v>
      </c>
      <c r="L764">
        <v>4</v>
      </c>
    </row>
    <row r="765" spans="1:12" x14ac:dyDescent="0.25">
      <c r="A765" t="s">
        <v>2430</v>
      </c>
      <c r="B765" t="s">
        <v>2431</v>
      </c>
      <c r="C765" t="s">
        <v>2432</v>
      </c>
      <c r="D765" t="s">
        <v>23</v>
      </c>
      <c r="E765">
        <v>27</v>
      </c>
      <c r="F765" t="s">
        <v>296</v>
      </c>
      <c r="G765" t="s">
        <v>16</v>
      </c>
      <c r="H765" t="s">
        <v>2433</v>
      </c>
      <c r="I765" s="1" t="d">
        <v>2008-09-23</v>
      </c>
      <c r="J765" t="s">
        <v>2434</v>
      </c>
      <c r="K765" s="17" t="s">
        <v>27</v>
      </c>
      <c r="L765">
        <v>2</v>
      </c>
    </row>
    <row r="766" spans="1:12" x14ac:dyDescent="0.25">
      <c r="A766" t="s">
        <v>2435</v>
      </c>
      <c r="B766" t="s">
        <v>2436</v>
      </c>
      <c r="C766" t="s">
        <v>2242</v>
      </c>
      <c r="D766" t="s">
        <v>9527</v>
      </c>
      <c r="E766">
        <v>33</v>
      </c>
      <c r="F766" t="s">
        <v>196</v>
      </c>
      <c r="G766" t="s">
        <v>177</v>
      </c>
      <c r="H766">
        <v>999999</v>
      </c>
      <c r="I766" s="1" t="d">
        <v>2018-02-02</v>
      </c>
      <c r="J766" t="s">
        <v>2437</v>
      </c>
      <c r="K766" s="17" t="s">
        <v>207</v>
      </c>
      <c r="L766">
        <v>3</v>
      </c>
    </row>
    <row r="767" spans="1:12" x14ac:dyDescent="0.25">
      <c r="A767" t="s">
        <v>2438</v>
      </c>
      <c r="B767" t="s">
        <v>130</v>
      </c>
      <c r="C767" t="s">
        <v>67</v>
      </c>
      <c r="D767" t="s">
        <v>23</v>
      </c>
      <c r="E767">
        <v>21</v>
      </c>
      <c r="F767" t="s">
        <v>296</v>
      </c>
      <c r="G767" t="s">
        <v>177</v>
      </c>
      <c r="H767">
        <v>64100</v>
      </c>
      <c r="I767" s="1" t="d">
        <v>2020-01-25</v>
      </c>
      <c r="J767" t="s">
        <v>2439</v>
      </c>
      <c r="K767" s="17" t="s">
        <v>207</v>
      </c>
      <c r="L767">
        <v>3</v>
      </c>
    </row>
    <row r="768" spans="1:12" x14ac:dyDescent="0.25">
      <c r="A768" t="s">
        <v>2440</v>
      </c>
      <c r="B768" t="s">
        <v>507</v>
      </c>
      <c r="C768" t="s">
        <v>2441</v>
      </c>
      <c r="D768" t="s">
        <v>23</v>
      </c>
      <c r="E768">
        <v>40</v>
      </c>
      <c r="G768" t="s">
        <v>1121</v>
      </c>
      <c r="H768" s="2">
        <v>204978</v>
      </c>
      <c r="I768" s="1" t="d">
        <v>2019-10-31</v>
      </c>
      <c r="J768" t="s">
        <v>2442</v>
      </c>
      <c r="K768" s="17" t="s">
        <v>42</v>
      </c>
      <c r="L768">
        <v>3</v>
      </c>
    </row>
    <row r="769" spans="1:12" x14ac:dyDescent="0.25">
      <c r="A769" t="s">
        <v>233</v>
      </c>
      <c r="B769" t="s">
        <v>1689</v>
      </c>
      <c r="C769" t="s">
        <v>215</v>
      </c>
      <c r="D769" t="s">
        <v>9527</v>
      </c>
      <c r="E769">
        <v>53</v>
      </c>
      <c r="F769" t="s">
        <v>108</v>
      </c>
      <c r="G769" t="s">
        <v>39</v>
      </c>
      <c r="H769" s="2">
        <v>96569</v>
      </c>
      <c r="I769" s="1" t="d">
        <v>2018-07-24</v>
      </c>
      <c r="J769" t="s">
        <v>235</v>
      </c>
      <c r="K769" s="17" t="s">
        <v>207</v>
      </c>
      <c r="L769">
        <v>3</v>
      </c>
    </row>
    <row r="770" spans="1:12" x14ac:dyDescent="0.25">
      <c r="A770" t="s">
        <v>2443</v>
      </c>
      <c r="B770" t="s">
        <v>157</v>
      </c>
      <c r="C770" t="s">
        <v>1442</v>
      </c>
      <c r="D770" t="s">
        <v>9527</v>
      </c>
      <c r="E770">
        <v>52</v>
      </c>
      <c r="F770" t="s">
        <v>264</v>
      </c>
      <c r="G770" t="s">
        <v>967</v>
      </c>
      <c r="I770" s="1" t="d">
        <v>2007-03-06</v>
      </c>
      <c r="J770" t="s">
        <v>2444</v>
      </c>
      <c r="K770" s="17" t="s">
        <v>42</v>
      </c>
      <c r="L770">
        <v>3</v>
      </c>
    </row>
    <row r="771" spans="1:12" x14ac:dyDescent="0.25">
      <c r="A771" t="s">
        <v>2445</v>
      </c>
      <c r="B771" t="s">
        <v>151</v>
      </c>
      <c r="C771" t="s">
        <v>1010</v>
      </c>
      <c r="D771" t="s">
        <v>9527</v>
      </c>
      <c r="E771">
        <v>43</v>
      </c>
      <c r="F771" t="s">
        <v>146</v>
      </c>
      <c r="G771" t="s">
        <v>95</v>
      </c>
      <c r="H771">
        <v>84147</v>
      </c>
      <c r="I771" s="1" t="d">
        <v>2017-04-05</v>
      </c>
      <c r="J771" t="s">
        <v>1926</v>
      </c>
      <c r="K771" s="17" t="s">
        <v>118</v>
      </c>
      <c r="L771">
        <v>4</v>
      </c>
    </row>
    <row r="772" spans="1:12" x14ac:dyDescent="0.25">
      <c r="A772" t="s">
        <v>2446</v>
      </c>
      <c r="B772" t="s">
        <v>1689</v>
      </c>
      <c r="C772" t="s">
        <v>1520</v>
      </c>
      <c r="D772" t="s">
        <v>23</v>
      </c>
      <c r="E772">
        <v>44</v>
      </c>
      <c r="F772" t="s">
        <v>417</v>
      </c>
      <c r="G772" t="s">
        <v>170</v>
      </c>
      <c r="I772" s="1" t="d">
        <v>2014-05-21</v>
      </c>
      <c r="J772" t="s">
        <v>2447</v>
      </c>
      <c r="K772" s="17" t="s">
        <v>90</v>
      </c>
      <c r="L772">
        <v>3</v>
      </c>
    </row>
    <row r="773" spans="1:12" x14ac:dyDescent="0.25">
      <c r="A773" t="s">
        <v>2448</v>
      </c>
      <c r="B773" t="s">
        <v>2449</v>
      </c>
      <c r="C773" t="s">
        <v>483</v>
      </c>
      <c r="D773" t="s">
        <v>23</v>
      </c>
      <c r="E773">
        <v>29</v>
      </c>
      <c r="F773" t="s">
        <v>200</v>
      </c>
      <c r="G773" t="s">
        <v>191</v>
      </c>
      <c r="H773" t="s">
        <v>2450</v>
      </c>
      <c r="I773" s="1" t="d">
        <v>2024-06-07</v>
      </c>
      <c r="J773" t="s">
        <v>2451</v>
      </c>
      <c r="K773" s="17" t="s">
        <v>50</v>
      </c>
      <c r="L773">
        <v>4</v>
      </c>
    </row>
    <row r="774" spans="1:12" x14ac:dyDescent="0.25">
      <c r="A774" t="s">
        <v>2452</v>
      </c>
      <c r="B774" t="s">
        <v>162</v>
      </c>
      <c r="C774" t="s">
        <v>457</v>
      </c>
      <c r="D774" t="s">
        <v>46</v>
      </c>
      <c r="E774">
        <v>25</v>
      </c>
      <c r="F774" t="s">
        <v>978</v>
      </c>
      <c r="G774" t="s">
        <v>69</v>
      </c>
      <c r="H774" t="s">
        <v>2453</v>
      </c>
      <c r="I774" s="1" t="d">
        <v>2017-08-22</v>
      </c>
      <c r="J774" t="s">
        <v>2454</v>
      </c>
      <c r="K774" s="17" t="s">
        <v>370</v>
      </c>
      <c r="L774">
        <v>4</v>
      </c>
    </row>
    <row r="775" spans="1:12" x14ac:dyDescent="0.25">
      <c r="A775" t="s">
        <v>2455</v>
      </c>
      <c r="B775" t="s">
        <v>1086</v>
      </c>
      <c r="C775" t="s">
        <v>516</v>
      </c>
      <c r="D775" t="s">
        <v>9527</v>
      </c>
      <c r="E775">
        <v>48</v>
      </c>
      <c r="F775" t="s">
        <v>422</v>
      </c>
      <c r="G775" t="s">
        <v>82</v>
      </c>
      <c r="H775" t="s">
        <v>2456</v>
      </c>
      <c r="I775" s="1" t="d">
        <v>2019-06-21</v>
      </c>
      <c r="J775" t="s">
        <v>2457</v>
      </c>
      <c r="K775" s="17" t="s">
        <v>100</v>
      </c>
      <c r="L775">
        <v>4</v>
      </c>
    </row>
    <row r="776" spans="1:12" x14ac:dyDescent="0.25">
      <c r="A776" t="s">
        <v>2458</v>
      </c>
      <c r="B776" t="s">
        <v>315</v>
      </c>
      <c r="C776" t="s">
        <v>758</v>
      </c>
      <c r="D776" t="s">
        <v>9527</v>
      </c>
      <c r="E776">
        <v>37</v>
      </c>
      <c r="F776" t="s">
        <v>81</v>
      </c>
      <c r="G776" t="s">
        <v>55</v>
      </c>
      <c r="H776" t="s">
        <v>2459</v>
      </c>
      <c r="I776" s="1" t="d">
        <v>2017-07-31</v>
      </c>
      <c r="J776" t="s">
        <v>2460</v>
      </c>
      <c r="K776" s="17" t="s">
        <v>58</v>
      </c>
      <c r="L776">
        <v>3</v>
      </c>
    </row>
    <row r="777" spans="1:12" x14ac:dyDescent="0.25">
      <c r="A777" t="s">
        <v>2461</v>
      </c>
      <c r="B777" t="s">
        <v>21</v>
      </c>
      <c r="C777" t="s">
        <v>2462</v>
      </c>
      <c r="D777" t="s">
        <v>23</v>
      </c>
      <c r="E777">
        <v>45</v>
      </c>
      <c r="F777" t="s">
        <v>126</v>
      </c>
      <c r="G777" t="s">
        <v>1556</v>
      </c>
      <c r="H777" t="s">
        <v>2463</v>
      </c>
      <c r="I777" s="1" t="d">
        <v>2011-01-02</v>
      </c>
      <c r="J777" t="s">
        <v>619</v>
      </c>
      <c r="K777" s="17" t="s">
        <v>34</v>
      </c>
      <c r="L777">
        <v>4</v>
      </c>
    </row>
    <row r="778" spans="1:12" x14ac:dyDescent="0.25">
      <c r="A778" t="s">
        <v>2464</v>
      </c>
      <c r="B778" t="s">
        <v>1154</v>
      </c>
      <c r="C778" t="s">
        <v>2465</v>
      </c>
      <c r="D778" t="s">
        <v>46</v>
      </c>
      <c r="E778">
        <v>58</v>
      </c>
      <c r="F778" t="s">
        <v>645</v>
      </c>
      <c r="G778" t="s">
        <v>39</v>
      </c>
      <c r="H778">
        <v>45340</v>
      </c>
      <c r="I778" s="1" t="d">
        <v>2014-03-14</v>
      </c>
      <c r="J778" t="s">
        <v>673</v>
      </c>
      <c r="K778" s="17" t="s">
        <v>71</v>
      </c>
      <c r="L778">
        <v>2</v>
      </c>
    </row>
    <row r="779" spans="1:12" x14ac:dyDescent="0.25">
      <c r="A779" t="s">
        <v>2466</v>
      </c>
      <c r="B779" t="s">
        <v>2272</v>
      </c>
      <c r="C779" t="s">
        <v>1576</v>
      </c>
      <c r="D779" t="s">
        <v>46</v>
      </c>
      <c r="E779">
        <v>39</v>
      </c>
      <c r="F779" t="s">
        <v>463</v>
      </c>
      <c r="G779" t="s">
        <v>88</v>
      </c>
      <c r="H779" t="s">
        <v>2467</v>
      </c>
      <c r="I779" s="1" t="d">
        <v>2013-05-23</v>
      </c>
      <c r="J779" t="s">
        <v>2468</v>
      </c>
      <c r="K779" s="17" t="s">
        <v>207</v>
      </c>
      <c r="L779">
        <v>3</v>
      </c>
    </row>
    <row r="780" spans="1:12" x14ac:dyDescent="0.25">
      <c r="A780" t="s">
        <v>2469</v>
      </c>
      <c r="B780" t="s">
        <v>1382</v>
      </c>
      <c r="C780" t="s">
        <v>1520</v>
      </c>
      <c r="D780" t="s">
        <v>46</v>
      </c>
      <c r="E780">
        <v>31</v>
      </c>
      <c r="F780" t="s">
        <v>211</v>
      </c>
      <c r="G780" t="s">
        <v>55</v>
      </c>
      <c r="I780" s="1" t="d">
        <v>2017-09-30</v>
      </c>
      <c r="J780" t="s">
        <v>2470</v>
      </c>
      <c r="K780" s="17" t="s">
        <v>207</v>
      </c>
      <c r="L780">
        <v>3</v>
      </c>
    </row>
    <row r="781" spans="1:12" x14ac:dyDescent="0.25">
      <c r="A781" t="s">
        <v>2471</v>
      </c>
      <c r="B781" t="s">
        <v>664</v>
      </c>
      <c r="C781" t="s">
        <v>483</v>
      </c>
      <c r="D781" t="s">
        <v>9527</v>
      </c>
      <c r="E781">
        <v>21</v>
      </c>
      <c r="F781" t="s">
        <v>978</v>
      </c>
      <c r="G781" t="s">
        <v>109</v>
      </c>
      <c r="H781">
        <v>111206</v>
      </c>
      <c r="I781" s="1" t="d">
        <v>2009-07-21</v>
      </c>
      <c r="J781" t="s">
        <v>925</v>
      </c>
      <c r="K781" s="17" t="s">
        <v>27</v>
      </c>
      <c r="L781">
        <v>2</v>
      </c>
    </row>
    <row r="782" spans="1:12" x14ac:dyDescent="0.25">
      <c r="A782" t="s">
        <v>2472</v>
      </c>
      <c r="B782" t="s">
        <v>2473</v>
      </c>
      <c r="C782" t="s">
        <v>1734</v>
      </c>
      <c r="D782" t="s">
        <v>46</v>
      </c>
      <c r="E782">
        <v>30</v>
      </c>
      <c r="F782" t="s">
        <v>1839</v>
      </c>
      <c r="G782" t="s">
        <v>39</v>
      </c>
      <c r="H782">
        <v>63964</v>
      </c>
      <c r="I782" s="1" t="d">
        <v>2019-09-19</v>
      </c>
      <c r="J782" t="s">
        <v>1736</v>
      </c>
      <c r="K782" s="17" t="s">
        <v>58</v>
      </c>
      <c r="L782">
        <v>3</v>
      </c>
    </row>
    <row r="783" spans="1:12" x14ac:dyDescent="0.25">
      <c r="A783" t="s">
        <v>2474</v>
      </c>
      <c r="B783" t="s">
        <v>162</v>
      </c>
      <c r="C783" t="s">
        <v>291</v>
      </c>
      <c r="D783" t="s">
        <v>46</v>
      </c>
      <c r="E783">
        <v>40</v>
      </c>
      <c r="F783" t="s">
        <v>373</v>
      </c>
      <c r="G783" t="s">
        <v>39</v>
      </c>
      <c r="H783" t="s">
        <v>2475</v>
      </c>
      <c r="I783" s="1" t="d">
        <v>2007-08-27</v>
      </c>
      <c r="J783" t="s">
        <v>2476</v>
      </c>
      <c r="K783" s="17" t="s">
        <v>50</v>
      </c>
      <c r="L783">
        <v>3</v>
      </c>
    </row>
    <row r="784" spans="1:12" x14ac:dyDescent="0.25">
      <c r="A784" t="s">
        <v>2477</v>
      </c>
      <c r="B784" t="s">
        <v>841</v>
      </c>
      <c r="C784" t="s">
        <v>181</v>
      </c>
      <c r="D784" t="s">
        <v>23</v>
      </c>
      <c r="E784">
        <v>44</v>
      </c>
      <c r="F784" t="s">
        <v>918</v>
      </c>
      <c r="G784" t="s">
        <v>351</v>
      </c>
      <c r="H784">
        <v>73154</v>
      </c>
      <c r="I784" s="1" t="d">
        <v>2018-12-14</v>
      </c>
      <c r="J784" t="s">
        <v>2478</v>
      </c>
      <c r="K784" s="17" t="s">
        <v>90</v>
      </c>
      <c r="L784">
        <v>2</v>
      </c>
    </row>
    <row r="785" spans="1:12" x14ac:dyDescent="0.25">
      <c r="A785" t="s">
        <v>2479</v>
      </c>
      <c r="B785" t="s">
        <v>874</v>
      </c>
      <c r="C785" t="s">
        <v>665</v>
      </c>
      <c r="D785" t="s">
        <v>46</v>
      </c>
      <c r="E785">
        <v>37</v>
      </c>
      <c r="F785" t="s">
        <v>114</v>
      </c>
      <c r="G785" t="s">
        <v>191</v>
      </c>
      <c r="I785" s="1" t="d">
        <v>2016-01-05</v>
      </c>
      <c r="J785" t="s">
        <v>2164</v>
      </c>
      <c r="K785" s="17" t="s">
        <v>50</v>
      </c>
      <c r="L785">
        <v>3</v>
      </c>
    </row>
    <row r="786" spans="1:12" x14ac:dyDescent="0.25">
      <c r="A786" t="s">
        <v>2480</v>
      </c>
      <c r="B786" t="s">
        <v>130</v>
      </c>
      <c r="C786" t="s">
        <v>1657</v>
      </c>
      <c r="D786" t="s">
        <v>46</v>
      </c>
      <c r="E786">
        <v>36</v>
      </c>
      <c r="F786" t="s">
        <v>47</v>
      </c>
      <c r="G786" t="s">
        <v>39</v>
      </c>
      <c r="H786">
        <v>40442</v>
      </c>
      <c r="I786" s="1" t="d">
        <v>2012-09-12</v>
      </c>
      <c r="J786" t="s">
        <v>2468</v>
      </c>
      <c r="K786" s="17" t="s">
        <v>50</v>
      </c>
      <c r="L786">
        <v>2</v>
      </c>
    </row>
    <row r="787" spans="1:12" x14ac:dyDescent="0.25">
      <c r="A787" t="s">
        <v>2481</v>
      </c>
      <c r="B787" t="s">
        <v>2482</v>
      </c>
      <c r="C787" t="s">
        <v>2200</v>
      </c>
      <c r="D787" t="s">
        <v>23</v>
      </c>
      <c r="E787">
        <v>29</v>
      </c>
      <c r="F787" t="s">
        <v>216</v>
      </c>
      <c r="G787" t="s">
        <v>82</v>
      </c>
      <c r="H787" s="2">
        <v>51710</v>
      </c>
      <c r="I787" s="1" t="d">
        <v>2023-07-07</v>
      </c>
      <c r="J787" t="s">
        <v>2036</v>
      </c>
      <c r="K787" s="17" t="s">
        <v>118</v>
      </c>
      <c r="L787">
        <v>3</v>
      </c>
    </row>
    <row r="788" spans="1:12" x14ac:dyDescent="0.25">
      <c r="A788" t="s">
        <v>2483</v>
      </c>
      <c r="B788" t="s">
        <v>13</v>
      </c>
      <c r="C788" t="s">
        <v>300</v>
      </c>
      <c r="D788" t="s">
        <v>9527</v>
      </c>
      <c r="E788">
        <v>29</v>
      </c>
      <c r="F788" t="s">
        <v>666</v>
      </c>
      <c r="G788" t="s">
        <v>212</v>
      </c>
      <c r="H788" s="2">
        <v>56025</v>
      </c>
      <c r="I788" s="1" t="d">
        <v>2014-04-25</v>
      </c>
      <c r="J788" t="s">
        <v>2484</v>
      </c>
      <c r="K788" s="17" t="s">
        <v>118</v>
      </c>
      <c r="L788">
        <v>3</v>
      </c>
    </row>
    <row r="789" spans="1:12" x14ac:dyDescent="0.25">
      <c r="A789" t="s">
        <v>2485</v>
      </c>
      <c r="B789" t="s">
        <v>1787</v>
      </c>
      <c r="C789" t="s">
        <v>696</v>
      </c>
      <c r="D789" t="s">
        <v>23</v>
      </c>
      <c r="E789">
        <v>50</v>
      </c>
      <c r="F789" t="s">
        <v>918</v>
      </c>
      <c r="G789" t="s">
        <v>278</v>
      </c>
      <c r="H789" t="s">
        <v>2486</v>
      </c>
      <c r="I789" s="1" t="d">
        <v>2024-03-27</v>
      </c>
      <c r="J789" t="s">
        <v>2081</v>
      </c>
      <c r="K789" s="17" t="s">
        <v>71</v>
      </c>
      <c r="L789">
        <v>3</v>
      </c>
    </row>
    <row r="790" spans="1:12" x14ac:dyDescent="0.25">
      <c r="A790" t="s">
        <v>2487</v>
      </c>
      <c r="B790" t="s">
        <v>670</v>
      </c>
      <c r="C790" t="s">
        <v>699</v>
      </c>
      <c r="D790" t="s">
        <v>46</v>
      </c>
      <c r="E790">
        <v>41</v>
      </c>
      <c r="F790" t="s">
        <v>532</v>
      </c>
      <c r="G790" t="s">
        <v>191</v>
      </c>
      <c r="H790" t="s">
        <v>2488</v>
      </c>
      <c r="I790" s="1" t="d">
        <v>2022-07-01</v>
      </c>
      <c r="J790" t="s">
        <v>2489</v>
      </c>
      <c r="K790" s="17" t="s">
        <v>370</v>
      </c>
      <c r="L790">
        <v>4</v>
      </c>
    </row>
    <row r="791" spans="1:12" x14ac:dyDescent="0.25">
      <c r="A791" t="s">
        <v>2490</v>
      </c>
      <c r="B791" t="s">
        <v>2491</v>
      </c>
      <c r="C791" t="s">
        <v>715</v>
      </c>
      <c r="D791" t="s">
        <v>9527</v>
      </c>
      <c r="E791">
        <v>44</v>
      </c>
      <c r="F791" t="s">
        <v>974</v>
      </c>
      <c r="G791" t="s">
        <v>88</v>
      </c>
      <c r="H791" s="2">
        <v>90146</v>
      </c>
      <c r="I791" s="1" t="d">
        <v>2007-03-23</v>
      </c>
      <c r="J791" t="s">
        <v>2492</v>
      </c>
      <c r="K791" s="17" t="s">
        <v>100</v>
      </c>
      <c r="L791">
        <v>4</v>
      </c>
    </row>
    <row r="792" spans="1:12" x14ac:dyDescent="0.25">
      <c r="A792" t="s">
        <v>2493</v>
      </c>
      <c r="B792" t="s">
        <v>13</v>
      </c>
      <c r="C792" t="s">
        <v>766</v>
      </c>
      <c r="D792" t="s">
        <v>46</v>
      </c>
      <c r="E792">
        <v>45</v>
      </c>
      <c r="F792" t="s">
        <v>350</v>
      </c>
      <c r="G792" t="s">
        <v>170</v>
      </c>
      <c r="H792" t="s">
        <v>2494</v>
      </c>
      <c r="I792" s="1" t="d">
        <v>2006-07-22</v>
      </c>
      <c r="J792" t="s">
        <v>2495</v>
      </c>
      <c r="K792" s="17" t="s">
        <v>42</v>
      </c>
      <c r="L792">
        <v>1</v>
      </c>
    </row>
    <row r="793" spans="1:12" x14ac:dyDescent="0.25">
      <c r="A793" t="s">
        <v>2496</v>
      </c>
      <c r="B793" t="s">
        <v>833</v>
      </c>
      <c r="C793" t="s">
        <v>210</v>
      </c>
      <c r="D793" t="s">
        <v>46</v>
      </c>
      <c r="E793">
        <v>53</v>
      </c>
      <c r="F793" t="s">
        <v>576</v>
      </c>
      <c r="G793" t="s">
        <v>212</v>
      </c>
      <c r="H793" t="s">
        <v>2497</v>
      </c>
      <c r="I793" s="1" t="d">
        <v>2005-03-17</v>
      </c>
      <c r="J793" t="s">
        <v>2498</v>
      </c>
      <c r="K793" s="17" t="s">
        <v>50</v>
      </c>
      <c r="L793">
        <v>2</v>
      </c>
    </row>
    <row r="794" spans="1:12" x14ac:dyDescent="0.25">
      <c r="A794" t="s">
        <v>2499</v>
      </c>
      <c r="B794" t="s">
        <v>2500</v>
      </c>
      <c r="C794" t="s">
        <v>268</v>
      </c>
      <c r="D794" t="s">
        <v>9527</v>
      </c>
      <c r="E794">
        <v>48</v>
      </c>
      <c r="F794" t="s">
        <v>31</v>
      </c>
      <c r="G794" t="s">
        <v>69</v>
      </c>
      <c r="J794" t="s">
        <v>2501</v>
      </c>
      <c r="K794" s="17" t="s">
        <v>100</v>
      </c>
      <c r="L794">
        <v>3</v>
      </c>
    </row>
    <row r="795" spans="1:12" x14ac:dyDescent="0.25">
      <c r="A795" t="s">
        <v>2502</v>
      </c>
      <c r="B795" t="s">
        <v>1753</v>
      </c>
      <c r="C795" t="s">
        <v>966</v>
      </c>
      <c r="D795" t="s">
        <v>46</v>
      </c>
      <c r="E795">
        <v>52</v>
      </c>
      <c r="F795" t="s">
        <v>478</v>
      </c>
      <c r="G795" t="s">
        <v>55</v>
      </c>
      <c r="H795" s="2">
        <v>44274</v>
      </c>
      <c r="I795" s="1" t="d">
        <v>2012-01-05</v>
      </c>
      <c r="J795" t="s">
        <v>2503</v>
      </c>
      <c r="K795" s="17" t="s">
        <v>100</v>
      </c>
      <c r="L795">
        <v>3</v>
      </c>
    </row>
    <row r="796" spans="1:12" x14ac:dyDescent="0.25">
      <c r="A796" t="s">
        <v>266</v>
      </c>
      <c r="B796" t="s">
        <v>410</v>
      </c>
      <c r="C796" t="s">
        <v>268</v>
      </c>
      <c r="D796" t="s">
        <v>9527</v>
      </c>
      <c r="E796">
        <v>34</v>
      </c>
      <c r="F796" t="s">
        <v>645</v>
      </c>
      <c r="G796" t="s">
        <v>504</v>
      </c>
      <c r="H796">
        <v>41306</v>
      </c>
      <c r="I796" s="1" t="d">
        <v>2021-11-08</v>
      </c>
      <c r="J796" t="s">
        <v>271</v>
      </c>
      <c r="K796" s="17" t="s">
        <v>90</v>
      </c>
      <c r="L796">
        <v>4</v>
      </c>
    </row>
    <row r="797" spans="1:12" x14ac:dyDescent="0.25">
      <c r="A797" t="s">
        <v>2504</v>
      </c>
      <c r="B797" t="s">
        <v>846</v>
      </c>
      <c r="C797" t="s">
        <v>763</v>
      </c>
      <c r="D797" t="s">
        <v>9527</v>
      </c>
      <c r="E797">
        <v>26</v>
      </c>
      <c r="F797" t="s">
        <v>373</v>
      </c>
      <c r="G797" t="s">
        <v>48</v>
      </c>
      <c r="H797" t="s">
        <v>2505</v>
      </c>
      <c r="I797" s="1" t="d">
        <v>2021-07-08</v>
      </c>
      <c r="J797" t="s">
        <v>2506</v>
      </c>
      <c r="K797" s="17" t="s">
        <v>149</v>
      </c>
      <c r="L797">
        <v>2</v>
      </c>
    </row>
    <row r="798" spans="1:12" x14ac:dyDescent="0.25">
      <c r="A798" t="s">
        <v>2507</v>
      </c>
      <c r="B798" t="s">
        <v>482</v>
      </c>
      <c r="C798" t="s">
        <v>521</v>
      </c>
      <c r="D798" t="s">
        <v>46</v>
      </c>
      <c r="E798">
        <v>47</v>
      </c>
      <c r="F798" t="s">
        <v>245</v>
      </c>
      <c r="G798" t="s">
        <v>177</v>
      </c>
      <c r="H798">
        <v>49985</v>
      </c>
      <c r="J798" t="s">
        <v>2508</v>
      </c>
      <c r="K798" s="17" t="s">
        <v>42</v>
      </c>
      <c r="L798">
        <v>4</v>
      </c>
    </row>
    <row r="799" spans="1:12" x14ac:dyDescent="0.25">
      <c r="A799" t="s">
        <v>2509</v>
      </c>
      <c r="B799" t="s">
        <v>571</v>
      </c>
      <c r="C799" t="s">
        <v>1377</v>
      </c>
      <c r="D799" t="s">
        <v>46</v>
      </c>
      <c r="E799">
        <v>32</v>
      </c>
      <c r="F799" t="s">
        <v>296</v>
      </c>
      <c r="G799" t="s">
        <v>182</v>
      </c>
      <c r="H799" t="s">
        <v>2510</v>
      </c>
      <c r="I799" s="1" t="d">
        <v>2020-09-05</v>
      </c>
      <c r="J799" t="s">
        <v>1673</v>
      </c>
      <c r="K799" s="17" t="s">
        <v>50</v>
      </c>
      <c r="L799">
        <v>4</v>
      </c>
    </row>
    <row r="800" spans="1:12" x14ac:dyDescent="0.25">
      <c r="A800" t="s">
        <v>2511</v>
      </c>
      <c r="B800" t="s">
        <v>2512</v>
      </c>
      <c r="C800" t="s">
        <v>631</v>
      </c>
      <c r="D800" t="s">
        <v>23</v>
      </c>
      <c r="E800">
        <v>34</v>
      </c>
      <c r="F800" t="s">
        <v>787</v>
      </c>
      <c r="G800" t="s">
        <v>2513</v>
      </c>
      <c r="H800" t="s">
        <v>2514</v>
      </c>
      <c r="I800" s="1" t="d">
        <v>2015-07-02</v>
      </c>
      <c r="J800" t="s">
        <v>2515</v>
      </c>
      <c r="K800" s="17" t="s">
        <v>370</v>
      </c>
      <c r="L800">
        <v>4</v>
      </c>
    </row>
    <row r="801" spans="1:12" x14ac:dyDescent="0.25">
      <c r="A801" t="s">
        <v>2516</v>
      </c>
      <c r="B801" t="s">
        <v>2517</v>
      </c>
      <c r="C801" t="s">
        <v>2055</v>
      </c>
      <c r="D801" t="s">
        <v>46</v>
      </c>
      <c r="E801">
        <v>54</v>
      </c>
      <c r="F801" t="s">
        <v>559</v>
      </c>
      <c r="G801" t="s">
        <v>283</v>
      </c>
      <c r="H801">
        <v>196693</v>
      </c>
      <c r="I801" s="1" t="d">
        <v>2010-09-22</v>
      </c>
      <c r="J801" t="s">
        <v>2518</v>
      </c>
      <c r="K801" s="17" t="s">
        <v>34</v>
      </c>
      <c r="L801">
        <v>3</v>
      </c>
    </row>
    <row r="802" spans="1:12" x14ac:dyDescent="0.25">
      <c r="A802" t="s">
        <v>2519</v>
      </c>
      <c r="B802" t="s">
        <v>120</v>
      </c>
      <c r="C802" t="s">
        <v>30</v>
      </c>
      <c r="D802" t="s">
        <v>23</v>
      </c>
      <c r="E802">
        <v>31</v>
      </c>
      <c r="F802" t="s">
        <v>31</v>
      </c>
      <c r="G802" t="s">
        <v>387</v>
      </c>
      <c r="I802" s="1" t="d">
        <v>2009-06-11</v>
      </c>
      <c r="J802" t="s">
        <v>241</v>
      </c>
      <c r="K802" s="17" t="s">
        <v>207</v>
      </c>
      <c r="L802">
        <v>4</v>
      </c>
    </row>
    <row r="803" spans="1:12" x14ac:dyDescent="0.25">
      <c r="A803" t="s">
        <v>2520</v>
      </c>
      <c r="B803" t="s">
        <v>507</v>
      </c>
      <c r="C803" t="s">
        <v>45</v>
      </c>
      <c r="D803" t="s">
        <v>46</v>
      </c>
      <c r="E803">
        <v>33</v>
      </c>
      <c r="F803" t="s">
        <v>450</v>
      </c>
      <c r="G803" t="s">
        <v>191</v>
      </c>
      <c r="H803" s="2">
        <v>57265</v>
      </c>
      <c r="I803" s="1" t="d">
        <v>2019-03-19</v>
      </c>
      <c r="J803" t="s">
        <v>369</v>
      </c>
      <c r="K803" s="17" t="s">
        <v>71</v>
      </c>
      <c r="L803">
        <v>4</v>
      </c>
    </row>
    <row r="804" spans="1:12" x14ac:dyDescent="0.25">
      <c r="A804" t="s">
        <v>2521</v>
      </c>
      <c r="B804" t="s">
        <v>130</v>
      </c>
      <c r="C804" t="s">
        <v>2522</v>
      </c>
      <c r="D804" t="s">
        <v>9527</v>
      </c>
      <c r="E804">
        <v>36</v>
      </c>
      <c r="F804" t="s">
        <v>94</v>
      </c>
      <c r="G804" t="s">
        <v>283</v>
      </c>
      <c r="H804" t="s">
        <v>2523</v>
      </c>
      <c r="I804" s="1" t="d">
        <v>2009-09-18</v>
      </c>
      <c r="J804" t="s">
        <v>2524</v>
      </c>
      <c r="K804" s="17" t="s">
        <v>27</v>
      </c>
      <c r="L804">
        <v>2</v>
      </c>
    </row>
    <row r="805" spans="1:12" x14ac:dyDescent="0.25">
      <c r="A805" t="s">
        <v>2525</v>
      </c>
      <c r="B805" t="s">
        <v>664</v>
      </c>
      <c r="C805" t="s">
        <v>763</v>
      </c>
      <c r="D805" t="s">
        <v>46</v>
      </c>
      <c r="E805">
        <v>32</v>
      </c>
      <c r="F805" t="s">
        <v>230</v>
      </c>
      <c r="G805" t="s">
        <v>337</v>
      </c>
      <c r="H805" t="s">
        <v>2526</v>
      </c>
      <c r="I805" s="1" t="d">
        <v>2021-11-06</v>
      </c>
      <c r="J805" t="s">
        <v>2527</v>
      </c>
      <c r="K805" s="17" t="s">
        <v>58</v>
      </c>
      <c r="L805">
        <v>4</v>
      </c>
    </row>
    <row r="806" spans="1:12" x14ac:dyDescent="0.25">
      <c r="A806" t="s">
        <v>2528</v>
      </c>
      <c r="B806" t="s">
        <v>709</v>
      </c>
      <c r="C806" t="s">
        <v>103</v>
      </c>
      <c r="D806" t="s">
        <v>9527</v>
      </c>
      <c r="E806">
        <v>30</v>
      </c>
      <c r="G806" t="s">
        <v>147</v>
      </c>
      <c r="H806" t="s">
        <v>2529</v>
      </c>
      <c r="I806" s="1" t="d">
        <v>2022-09-10</v>
      </c>
      <c r="J806" t="s">
        <v>1536</v>
      </c>
      <c r="K806" s="17" t="s">
        <v>149</v>
      </c>
      <c r="L806">
        <v>3</v>
      </c>
    </row>
    <row r="807" spans="1:12" x14ac:dyDescent="0.25">
      <c r="A807" t="s">
        <v>2530</v>
      </c>
      <c r="B807" t="s">
        <v>130</v>
      </c>
      <c r="C807" t="s">
        <v>2531</v>
      </c>
      <c r="D807" t="s">
        <v>23</v>
      </c>
      <c r="E807">
        <v>32</v>
      </c>
      <c r="F807" t="s">
        <v>2275</v>
      </c>
      <c r="G807" t="s">
        <v>39</v>
      </c>
      <c r="H807" t="s">
        <v>2532</v>
      </c>
      <c r="I807" s="1" t="d">
        <v>2005-10-16</v>
      </c>
      <c r="J807" t="s">
        <v>2533</v>
      </c>
      <c r="K807" s="17" t="s">
        <v>100</v>
      </c>
      <c r="L807">
        <v>5</v>
      </c>
    </row>
    <row r="808" spans="1:12" x14ac:dyDescent="0.25">
      <c r="A808" t="s">
        <v>2534</v>
      </c>
      <c r="B808" t="s">
        <v>221</v>
      </c>
      <c r="C808" t="s">
        <v>2535</v>
      </c>
      <c r="D808" t="s">
        <v>23</v>
      </c>
      <c r="E808">
        <v>33</v>
      </c>
      <c r="F808" t="s">
        <v>319</v>
      </c>
      <c r="G808" t="s">
        <v>115</v>
      </c>
      <c r="H808" t="s">
        <v>2536</v>
      </c>
      <c r="I808" s="1" t="d">
        <v>2019-05-09</v>
      </c>
      <c r="J808" t="s">
        <v>2537</v>
      </c>
      <c r="K808" s="17" t="s">
        <v>71</v>
      </c>
      <c r="L808">
        <v>3</v>
      </c>
    </row>
    <row r="809" spans="1:12" x14ac:dyDescent="0.25">
      <c r="A809" t="s">
        <v>2538</v>
      </c>
      <c r="B809" t="s">
        <v>199</v>
      </c>
      <c r="C809" t="s">
        <v>93</v>
      </c>
      <c r="D809" t="s">
        <v>23</v>
      </c>
      <c r="E809">
        <v>32</v>
      </c>
      <c r="F809" t="s">
        <v>989</v>
      </c>
      <c r="G809" t="s">
        <v>69</v>
      </c>
      <c r="H809" t="s">
        <v>2539</v>
      </c>
      <c r="I809" s="1" t="d">
        <v>2024-11-24</v>
      </c>
      <c r="J809" t="s">
        <v>1655</v>
      </c>
      <c r="K809" s="17" t="s">
        <v>19</v>
      </c>
      <c r="L809">
        <v>5</v>
      </c>
    </row>
    <row r="810" spans="1:12" x14ac:dyDescent="0.25">
      <c r="A810" t="s">
        <v>2540</v>
      </c>
      <c r="B810" t="s">
        <v>470</v>
      </c>
      <c r="C810" t="s">
        <v>237</v>
      </c>
      <c r="D810" t="s">
        <v>23</v>
      </c>
      <c r="E810">
        <v>27</v>
      </c>
      <c r="F810" t="s">
        <v>200</v>
      </c>
      <c r="G810" t="s">
        <v>996</v>
      </c>
      <c r="H810">
        <v>155840</v>
      </c>
      <c r="I810" s="1" t="d">
        <v>2014-11-22</v>
      </c>
      <c r="J810" t="s">
        <v>2541</v>
      </c>
      <c r="K810" s="17" t="s">
        <v>370</v>
      </c>
      <c r="L810">
        <v>3</v>
      </c>
    </row>
    <row r="811" spans="1:12" x14ac:dyDescent="0.25">
      <c r="A811" t="s">
        <v>2542</v>
      </c>
      <c r="B811" t="s">
        <v>2197</v>
      </c>
      <c r="C811" t="s">
        <v>1052</v>
      </c>
      <c r="D811" t="s">
        <v>23</v>
      </c>
      <c r="E811">
        <v>21</v>
      </c>
      <c r="G811" t="s">
        <v>351</v>
      </c>
      <c r="H811" s="2">
        <v>50105</v>
      </c>
      <c r="J811" t="s">
        <v>1413</v>
      </c>
      <c r="K811" s="17" t="s">
        <v>58</v>
      </c>
      <c r="L811">
        <v>4</v>
      </c>
    </row>
    <row r="812" spans="1:12" x14ac:dyDescent="0.25">
      <c r="A812" t="s">
        <v>2543</v>
      </c>
      <c r="B812" t="s">
        <v>2272</v>
      </c>
      <c r="C812" t="s">
        <v>1306</v>
      </c>
      <c r="D812" t="s">
        <v>23</v>
      </c>
      <c r="E812">
        <v>49</v>
      </c>
      <c r="F812" t="s">
        <v>169</v>
      </c>
      <c r="G812" t="s">
        <v>177</v>
      </c>
      <c r="I812" s="1" t="d">
        <v>2018-04-14</v>
      </c>
      <c r="J812" t="s">
        <v>2544</v>
      </c>
      <c r="K812" s="17" t="s">
        <v>90</v>
      </c>
      <c r="L812">
        <v>3</v>
      </c>
    </row>
    <row r="813" spans="1:12" x14ac:dyDescent="0.25">
      <c r="A813" t="s">
        <v>2545</v>
      </c>
      <c r="B813" t="s">
        <v>448</v>
      </c>
      <c r="C813" t="s">
        <v>618</v>
      </c>
      <c r="D813" t="s">
        <v>9527</v>
      </c>
      <c r="E813">
        <v>42</v>
      </c>
      <c r="F813" t="s">
        <v>645</v>
      </c>
      <c r="G813" t="s">
        <v>500</v>
      </c>
      <c r="H813">
        <v>51168</v>
      </c>
      <c r="I813" s="1" t="d">
        <v>2021-10-04</v>
      </c>
      <c r="J813" t="s">
        <v>2546</v>
      </c>
      <c r="K813" s="17" t="s">
        <v>50</v>
      </c>
      <c r="L813">
        <v>4</v>
      </c>
    </row>
    <row r="814" spans="1:12" x14ac:dyDescent="0.25">
      <c r="A814" t="s">
        <v>2547</v>
      </c>
      <c r="B814" t="s">
        <v>228</v>
      </c>
      <c r="C814" t="s">
        <v>2548</v>
      </c>
      <c r="D814" t="s">
        <v>23</v>
      </c>
      <c r="E814">
        <v>38</v>
      </c>
      <c r="F814" t="s">
        <v>190</v>
      </c>
      <c r="G814" t="s">
        <v>141</v>
      </c>
      <c r="I814" s="1" t="d">
        <v>2023-08-31</v>
      </c>
      <c r="J814" t="s">
        <v>1547</v>
      </c>
      <c r="K814" s="17" t="s">
        <v>149</v>
      </c>
      <c r="L814">
        <v>4</v>
      </c>
    </row>
    <row r="815" spans="1:12" x14ac:dyDescent="0.25">
      <c r="A815" t="s">
        <v>2549</v>
      </c>
      <c r="B815" t="s">
        <v>199</v>
      </c>
      <c r="C815" t="s">
        <v>1520</v>
      </c>
      <c r="D815" t="s">
        <v>46</v>
      </c>
      <c r="E815">
        <v>51</v>
      </c>
      <c r="F815" t="s">
        <v>122</v>
      </c>
      <c r="G815" t="s">
        <v>182</v>
      </c>
      <c r="H815" s="2">
        <v>91414</v>
      </c>
      <c r="I815" s="1" t="d">
        <v>2024-10-16</v>
      </c>
      <c r="J815" t="s">
        <v>2550</v>
      </c>
      <c r="K815" s="17" t="s">
        <v>27</v>
      </c>
      <c r="L815">
        <v>3</v>
      </c>
    </row>
    <row r="816" spans="1:12" x14ac:dyDescent="0.25">
      <c r="A816" t="s">
        <v>2551</v>
      </c>
      <c r="B816" t="s">
        <v>1512</v>
      </c>
      <c r="C816" t="s">
        <v>45</v>
      </c>
      <c r="D816" t="s">
        <v>9527</v>
      </c>
      <c r="E816">
        <v>31</v>
      </c>
      <c r="F816" t="s">
        <v>589</v>
      </c>
      <c r="G816" t="s">
        <v>842</v>
      </c>
      <c r="H816">
        <v>91853</v>
      </c>
      <c r="I816" s="1" t="d">
        <v>2024-04-11</v>
      </c>
      <c r="J816" t="s">
        <v>828</v>
      </c>
      <c r="K816" s="17" t="s">
        <v>90</v>
      </c>
      <c r="L816">
        <v>4</v>
      </c>
    </row>
    <row r="817" spans="1:12" x14ac:dyDescent="0.25">
      <c r="A817" t="s">
        <v>2552</v>
      </c>
      <c r="B817" t="s">
        <v>659</v>
      </c>
      <c r="C817" t="s">
        <v>851</v>
      </c>
      <c r="D817" t="s">
        <v>23</v>
      </c>
      <c r="E817">
        <v>24</v>
      </c>
      <c r="F817" t="s">
        <v>126</v>
      </c>
      <c r="G817" t="s">
        <v>1285</v>
      </c>
      <c r="I817" s="1" t="d">
        <v>2020-01-16</v>
      </c>
      <c r="J817" t="s">
        <v>2553</v>
      </c>
      <c r="K817" s="17" t="s">
        <v>27</v>
      </c>
      <c r="L817">
        <v>4</v>
      </c>
    </row>
    <row r="818" spans="1:12" x14ac:dyDescent="0.25">
      <c r="A818" t="s">
        <v>2554</v>
      </c>
      <c r="B818" t="s">
        <v>1824</v>
      </c>
      <c r="C818" t="s">
        <v>1377</v>
      </c>
      <c r="D818" t="s">
        <v>46</v>
      </c>
      <c r="E818">
        <v>38</v>
      </c>
      <c r="F818" t="s">
        <v>319</v>
      </c>
      <c r="G818" t="s">
        <v>16</v>
      </c>
      <c r="H818" t="s">
        <v>2555</v>
      </c>
      <c r="I818" s="1" t="d">
        <v>2013-09-08</v>
      </c>
      <c r="J818" t="s">
        <v>2556</v>
      </c>
      <c r="K818" s="17" t="s">
        <v>370</v>
      </c>
      <c r="L818">
        <v>4</v>
      </c>
    </row>
    <row r="819" spans="1:12" x14ac:dyDescent="0.25">
      <c r="A819" t="s">
        <v>2557</v>
      </c>
      <c r="B819" t="s">
        <v>410</v>
      </c>
      <c r="C819" t="s">
        <v>37</v>
      </c>
      <c r="D819" t="s">
        <v>23</v>
      </c>
      <c r="E819">
        <v>45</v>
      </c>
      <c r="F819" t="s">
        <v>24</v>
      </c>
      <c r="G819" t="s">
        <v>69</v>
      </c>
      <c r="H819" t="s">
        <v>2558</v>
      </c>
      <c r="I819" s="1" t="d">
        <v>2022-04-15</v>
      </c>
      <c r="J819" t="s">
        <v>2559</v>
      </c>
      <c r="K819" s="17" t="s">
        <v>58</v>
      </c>
      <c r="L819">
        <v>4</v>
      </c>
    </row>
    <row r="820" spans="1:12" x14ac:dyDescent="0.25">
      <c r="A820" t="s">
        <v>2560</v>
      </c>
      <c r="B820" t="s">
        <v>2561</v>
      </c>
      <c r="C820" t="s">
        <v>2562</v>
      </c>
      <c r="D820" t="s">
        <v>46</v>
      </c>
      <c r="E820">
        <v>21</v>
      </c>
      <c r="F820" t="s">
        <v>62</v>
      </c>
      <c r="G820" t="s">
        <v>2563</v>
      </c>
      <c r="I820" s="1" t="d">
        <v>2022-02-08</v>
      </c>
      <c r="J820" t="s">
        <v>744</v>
      </c>
      <c r="K820" s="17" t="s">
        <v>207</v>
      </c>
      <c r="L820">
        <v>1</v>
      </c>
    </row>
    <row r="821" spans="1:12" x14ac:dyDescent="0.25">
      <c r="A821" t="s">
        <v>2564</v>
      </c>
      <c r="B821" t="s">
        <v>151</v>
      </c>
      <c r="C821" t="s">
        <v>121</v>
      </c>
      <c r="D821" t="s">
        <v>23</v>
      </c>
      <c r="E821">
        <v>21</v>
      </c>
      <c r="F821" t="s">
        <v>522</v>
      </c>
      <c r="G821" t="s">
        <v>39</v>
      </c>
      <c r="I821" s="1" t="d">
        <v>2020-11-08</v>
      </c>
      <c r="J821" t="s">
        <v>2565</v>
      </c>
      <c r="K821" s="17" t="s">
        <v>207</v>
      </c>
      <c r="L821">
        <v>3</v>
      </c>
    </row>
    <row r="822" spans="1:12" x14ac:dyDescent="0.25">
      <c r="A822" t="s">
        <v>2566</v>
      </c>
      <c r="B822" t="s">
        <v>630</v>
      </c>
      <c r="C822" t="s">
        <v>1205</v>
      </c>
      <c r="D822" t="s">
        <v>9527</v>
      </c>
      <c r="E822">
        <v>42</v>
      </c>
      <c r="G822" t="s">
        <v>378</v>
      </c>
      <c r="H822" s="2">
        <v>77727</v>
      </c>
      <c r="I822" s="1" t="d">
        <v>2007-07-10</v>
      </c>
      <c r="J822" t="s">
        <v>2567</v>
      </c>
      <c r="K822" s="17" t="s">
        <v>27</v>
      </c>
      <c r="L822">
        <v>3</v>
      </c>
    </row>
    <row r="823" spans="1:12" x14ac:dyDescent="0.25">
      <c r="A823" t="s">
        <v>2568</v>
      </c>
      <c r="B823" t="s">
        <v>1241</v>
      </c>
      <c r="C823" t="s">
        <v>332</v>
      </c>
      <c r="D823" t="s">
        <v>23</v>
      </c>
      <c r="E823">
        <v>31</v>
      </c>
      <c r="F823" t="s">
        <v>75</v>
      </c>
      <c r="G823" t="s">
        <v>2569</v>
      </c>
      <c r="H823">
        <v>68194</v>
      </c>
      <c r="I823" s="1" t="d">
        <v>2017-09-11</v>
      </c>
      <c r="J823" t="s">
        <v>2570</v>
      </c>
      <c r="K823" s="17" t="s">
        <v>149</v>
      </c>
      <c r="L823">
        <v>4</v>
      </c>
    </row>
    <row r="824" spans="1:12" x14ac:dyDescent="0.25">
      <c r="A824" t="s">
        <v>2571</v>
      </c>
      <c r="B824" t="s">
        <v>130</v>
      </c>
      <c r="C824" t="s">
        <v>2572</v>
      </c>
      <c r="D824" t="s">
        <v>46</v>
      </c>
      <c r="E824">
        <v>29</v>
      </c>
      <c r="F824" t="s">
        <v>114</v>
      </c>
      <c r="G824" t="s">
        <v>82</v>
      </c>
      <c r="H824" t="s">
        <v>2573</v>
      </c>
      <c r="I824" s="1" t="d">
        <v>2008-01-07</v>
      </c>
      <c r="J824" t="s">
        <v>1375</v>
      </c>
      <c r="K824" s="17" t="s">
        <v>100</v>
      </c>
      <c r="L824">
        <v>4</v>
      </c>
    </row>
    <row r="825" spans="1:12" x14ac:dyDescent="0.25">
      <c r="A825" t="s">
        <v>2574</v>
      </c>
      <c r="B825" t="s">
        <v>841</v>
      </c>
      <c r="C825" t="s">
        <v>665</v>
      </c>
      <c r="D825" t="s">
        <v>46</v>
      </c>
      <c r="E825">
        <v>51</v>
      </c>
      <c r="F825" t="s">
        <v>399</v>
      </c>
      <c r="G825" t="s">
        <v>2575</v>
      </c>
      <c r="H825" t="s">
        <v>2576</v>
      </c>
      <c r="I825" s="1" t="d">
        <v>2005-11-19</v>
      </c>
      <c r="J825" t="s">
        <v>2577</v>
      </c>
      <c r="K825" s="17" t="s">
        <v>118</v>
      </c>
      <c r="L825">
        <v>4</v>
      </c>
    </row>
    <row r="826" spans="1:12" x14ac:dyDescent="0.25">
      <c r="A826" t="s">
        <v>2578</v>
      </c>
      <c r="B826" t="s">
        <v>670</v>
      </c>
      <c r="C826" t="s">
        <v>45</v>
      </c>
      <c r="D826" t="s">
        <v>46</v>
      </c>
      <c r="E826">
        <v>26</v>
      </c>
      <c r="F826" t="s">
        <v>918</v>
      </c>
      <c r="G826" t="s">
        <v>283</v>
      </c>
      <c r="H826" s="2">
        <v>145450</v>
      </c>
      <c r="I826" s="1" t="d">
        <v>2023-09-16</v>
      </c>
      <c r="J826" t="s">
        <v>2327</v>
      </c>
      <c r="K826" s="17" t="s">
        <v>19</v>
      </c>
      <c r="L826">
        <v>3</v>
      </c>
    </row>
    <row r="827" spans="1:12" x14ac:dyDescent="0.25">
      <c r="A827" t="s">
        <v>2579</v>
      </c>
      <c r="B827" t="s">
        <v>1512</v>
      </c>
      <c r="C827" t="s">
        <v>624</v>
      </c>
      <c r="D827" t="s">
        <v>9527</v>
      </c>
      <c r="E827">
        <v>39</v>
      </c>
      <c r="F827" t="s">
        <v>216</v>
      </c>
      <c r="G827" t="s">
        <v>39</v>
      </c>
      <c r="H827" s="2">
        <v>58226</v>
      </c>
      <c r="I827" s="1" t="d">
        <v>2020-10-14</v>
      </c>
      <c r="J827" t="s">
        <v>2298</v>
      </c>
      <c r="K827" s="17" t="s">
        <v>118</v>
      </c>
      <c r="L827">
        <v>4</v>
      </c>
    </row>
    <row r="828" spans="1:12" x14ac:dyDescent="0.25">
      <c r="A828" t="s">
        <v>2580</v>
      </c>
      <c r="B828" t="s">
        <v>2581</v>
      </c>
      <c r="C828" t="s">
        <v>181</v>
      </c>
      <c r="D828" t="s">
        <v>23</v>
      </c>
      <c r="E828">
        <v>31</v>
      </c>
      <c r="F828" t="s">
        <v>417</v>
      </c>
      <c r="G828" t="s">
        <v>337</v>
      </c>
      <c r="H828" t="s">
        <v>2582</v>
      </c>
      <c r="I828" s="1" t="d">
        <v>2013-01-15</v>
      </c>
      <c r="J828" t="s">
        <v>2583</v>
      </c>
      <c r="K828" s="17" t="s">
        <v>50</v>
      </c>
      <c r="L828">
        <v>3</v>
      </c>
    </row>
    <row r="829" spans="1:12" x14ac:dyDescent="0.25">
      <c r="A829" t="s">
        <v>2584</v>
      </c>
      <c r="B829" t="s">
        <v>151</v>
      </c>
      <c r="C829" t="s">
        <v>516</v>
      </c>
      <c r="D829" t="s">
        <v>9527</v>
      </c>
      <c r="E829">
        <v>24</v>
      </c>
      <c r="F829" t="s">
        <v>253</v>
      </c>
      <c r="G829" t="s">
        <v>283</v>
      </c>
      <c r="I829" s="1" t="d">
        <v>2018-03-05</v>
      </c>
      <c r="J829" t="s">
        <v>2585</v>
      </c>
      <c r="K829" s="17" t="s">
        <v>42</v>
      </c>
      <c r="L829">
        <v>4</v>
      </c>
    </row>
    <row r="830" spans="1:12" x14ac:dyDescent="0.25">
      <c r="A830" t="s">
        <v>2586</v>
      </c>
      <c r="B830" t="s">
        <v>1316</v>
      </c>
      <c r="C830" t="s">
        <v>970</v>
      </c>
      <c r="D830" t="s">
        <v>23</v>
      </c>
      <c r="E830">
        <v>46</v>
      </c>
      <c r="F830" t="s">
        <v>1147</v>
      </c>
      <c r="G830" t="s">
        <v>191</v>
      </c>
      <c r="H830" s="2">
        <v>53721</v>
      </c>
      <c r="I830" s="1" t="d">
        <v>2014-08-14</v>
      </c>
      <c r="J830" t="s">
        <v>972</v>
      </c>
      <c r="K830" s="17" t="s">
        <v>71</v>
      </c>
      <c r="L830">
        <v>1</v>
      </c>
    </row>
    <row r="831" spans="1:12" x14ac:dyDescent="0.25">
      <c r="A831" t="s">
        <v>2587</v>
      </c>
      <c r="B831" t="s">
        <v>2588</v>
      </c>
      <c r="C831" t="s">
        <v>14</v>
      </c>
      <c r="D831" t="s">
        <v>9527</v>
      </c>
      <c r="E831">
        <v>54</v>
      </c>
      <c r="F831" t="s">
        <v>104</v>
      </c>
      <c r="G831" t="s">
        <v>25</v>
      </c>
      <c r="H831" t="s">
        <v>2589</v>
      </c>
      <c r="I831" s="1" t="d">
        <v>2007-12-17</v>
      </c>
      <c r="J831" t="s">
        <v>976</v>
      </c>
      <c r="K831" s="17" t="s">
        <v>42</v>
      </c>
      <c r="L831">
        <v>3</v>
      </c>
    </row>
    <row r="832" spans="1:12" x14ac:dyDescent="0.25">
      <c r="A832" t="s">
        <v>2590</v>
      </c>
      <c r="B832" t="s">
        <v>664</v>
      </c>
      <c r="C832" t="s">
        <v>1859</v>
      </c>
      <c r="D832" t="s">
        <v>23</v>
      </c>
      <c r="E832">
        <v>41</v>
      </c>
      <c r="G832" t="s">
        <v>115</v>
      </c>
      <c r="H832" t="s">
        <v>2591</v>
      </c>
      <c r="J832" t="s">
        <v>2592</v>
      </c>
      <c r="K832" s="17" t="s">
        <v>118</v>
      </c>
      <c r="L832">
        <v>3</v>
      </c>
    </row>
    <row r="833" spans="1:12" x14ac:dyDescent="0.25">
      <c r="A833" t="s">
        <v>2593</v>
      </c>
      <c r="B833" t="s">
        <v>482</v>
      </c>
      <c r="C833" t="s">
        <v>696</v>
      </c>
      <c r="D833" t="s">
        <v>9527</v>
      </c>
      <c r="E833">
        <v>24</v>
      </c>
      <c r="F833" t="s">
        <v>68</v>
      </c>
      <c r="G833" t="s">
        <v>39</v>
      </c>
      <c r="H833">
        <v>95107</v>
      </c>
      <c r="J833" t="s">
        <v>2594</v>
      </c>
      <c r="K833" s="17" t="s">
        <v>149</v>
      </c>
      <c r="L833">
        <v>3</v>
      </c>
    </row>
    <row r="834" spans="1:12" x14ac:dyDescent="0.25">
      <c r="A834" t="s">
        <v>2595</v>
      </c>
      <c r="B834" t="s">
        <v>130</v>
      </c>
      <c r="C834" t="s">
        <v>405</v>
      </c>
      <c r="D834" t="s">
        <v>23</v>
      </c>
      <c r="E834">
        <v>23</v>
      </c>
      <c r="F834" t="s">
        <v>94</v>
      </c>
      <c r="G834" t="s">
        <v>182</v>
      </c>
      <c r="H834" t="s">
        <v>2596</v>
      </c>
      <c r="I834" s="1" t="d">
        <v>2024-01-28</v>
      </c>
      <c r="J834" t="s">
        <v>2597</v>
      </c>
      <c r="K834" s="17" t="s">
        <v>370</v>
      </c>
      <c r="L834">
        <v>1</v>
      </c>
    </row>
    <row r="835" spans="1:12" x14ac:dyDescent="0.25">
      <c r="A835" t="s">
        <v>2598</v>
      </c>
      <c r="B835" t="s">
        <v>467</v>
      </c>
      <c r="C835" t="s">
        <v>215</v>
      </c>
      <c r="D835" t="s">
        <v>9527</v>
      </c>
      <c r="E835">
        <v>43</v>
      </c>
      <c r="F835" t="s">
        <v>971</v>
      </c>
      <c r="G835" t="s">
        <v>16</v>
      </c>
      <c r="H835">
        <v>123673</v>
      </c>
      <c r="I835" s="1" t="d">
        <v>2007-01-14</v>
      </c>
      <c r="J835" t="s">
        <v>2599</v>
      </c>
      <c r="K835" s="17" t="s">
        <v>19</v>
      </c>
      <c r="L835">
        <v>1</v>
      </c>
    </row>
    <row r="836" spans="1:12" x14ac:dyDescent="0.25">
      <c r="A836" t="s">
        <v>2600</v>
      </c>
      <c r="B836" t="s">
        <v>228</v>
      </c>
      <c r="C836" t="s">
        <v>552</v>
      </c>
      <c r="D836" t="s">
        <v>46</v>
      </c>
      <c r="E836">
        <v>26</v>
      </c>
      <c r="F836" t="s">
        <v>258</v>
      </c>
      <c r="G836" t="s">
        <v>115</v>
      </c>
      <c r="H836" t="s">
        <v>2601</v>
      </c>
      <c r="J836" t="s">
        <v>1873</v>
      </c>
      <c r="K836" s="17" t="s">
        <v>42</v>
      </c>
      <c r="L836">
        <v>3</v>
      </c>
    </row>
    <row r="837" spans="1:12" x14ac:dyDescent="0.25">
      <c r="A837" t="s">
        <v>2602</v>
      </c>
      <c r="B837" t="s">
        <v>2603</v>
      </c>
      <c r="C837" t="s">
        <v>215</v>
      </c>
      <c r="D837" t="s">
        <v>9527</v>
      </c>
      <c r="E837">
        <v>32</v>
      </c>
      <c r="F837" t="s">
        <v>2604</v>
      </c>
      <c r="G837" t="s">
        <v>283</v>
      </c>
      <c r="H837">
        <v>168217</v>
      </c>
      <c r="I837" s="1" t="d">
        <v>2006-11-09</v>
      </c>
      <c r="J837" t="s">
        <v>2605</v>
      </c>
      <c r="K837" s="17" t="s">
        <v>42</v>
      </c>
      <c r="L837">
        <v>5</v>
      </c>
    </row>
    <row r="838" spans="1:12" x14ac:dyDescent="0.25">
      <c r="A838" t="s">
        <v>1920</v>
      </c>
      <c r="B838" t="s">
        <v>120</v>
      </c>
      <c r="C838" t="s">
        <v>2606</v>
      </c>
      <c r="D838" t="s">
        <v>46</v>
      </c>
      <c r="E838">
        <v>21</v>
      </c>
      <c r="F838" t="s">
        <v>350</v>
      </c>
      <c r="G838" t="s">
        <v>996</v>
      </c>
      <c r="H838" s="2">
        <v>116311</v>
      </c>
      <c r="I838" s="1" t="d">
        <v>2010-11-01</v>
      </c>
      <c r="J838" t="s">
        <v>1542</v>
      </c>
      <c r="K838" s="17" t="s">
        <v>58</v>
      </c>
      <c r="L838">
        <v>3</v>
      </c>
    </row>
    <row r="839" spans="1:12" x14ac:dyDescent="0.25">
      <c r="A839" t="s">
        <v>2607</v>
      </c>
      <c r="B839" t="s">
        <v>566</v>
      </c>
      <c r="C839" t="s">
        <v>758</v>
      </c>
      <c r="D839" t="s">
        <v>46</v>
      </c>
      <c r="E839">
        <v>54</v>
      </c>
      <c r="F839" t="s">
        <v>264</v>
      </c>
      <c r="G839" t="s">
        <v>16</v>
      </c>
      <c r="H839" t="s">
        <v>2608</v>
      </c>
      <c r="I839" s="1" t="d">
        <v>2022-09-13</v>
      </c>
      <c r="J839" t="s">
        <v>2609</v>
      </c>
      <c r="K839" s="17" t="s">
        <v>42</v>
      </c>
      <c r="L839">
        <v>1</v>
      </c>
    </row>
    <row r="840" spans="1:12" x14ac:dyDescent="0.25">
      <c r="A840" t="s">
        <v>2610</v>
      </c>
      <c r="B840" t="s">
        <v>1181</v>
      </c>
      <c r="C840" t="s">
        <v>152</v>
      </c>
      <c r="D840" t="s">
        <v>9527</v>
      </c>
      <c r="E840">
        <v>38</v>
      </c>
      <c r="F840" t="s">
        <v>253</v>
      </c>
      <c r="G840" t="s">
        <v>159</v>
      </c>
      <c r="H840" s="2">
        <v>50321</v>
      </c>
      <c r="I840" s="1" t="d">
        <v>2015-09-17</v>
      </c>
      <c r="J840" t="s">
        <v>2611</v>
      </c>
      <c r="K840" s="17" t="s">
        <v>370</v>
      </c>
      <c r="L840">
        <v>3</v>
      </c>
    </row>
    <row r="841" spans="1:12" x14ac:dyDescent="0.25">
      <c r="A841" t="s">
        <v>2612</v>
      </c>
      <c r="B841" t="s">
        <v>102</v>
      </c>
      <c r="C841" t="s">
        <v>2613</v>
      </c>
      <c r="D841" t="s">
        <v>23</v>
      </c>
      <c r="E841">
        <v>35</v>
      </c>
      <c r="F841" t="s">
        <v>211</v>
      </c>
      <c r="G841" t="s">
        <v>191</v>
      </c>
      <c r="H841" t="s">
        <v>2614</v>
      </c>
      <c r="I841" s="1" t="d">
        <v>2012-11-21</v>
      </c>
      <c r="J841" t="s">
        <v>2615</v>
      </c>
      <c r="K841" s="17" t="s">
        <v>118</v>
      </c>
      <c r="L841">
        <v>4</v>
      </c>
    </row>
    <row r="842" spans="1:12" x14ac:dyDescent="0.25">
      <c r="A842" t="s">
        <v>2616</v>
      </c>
      <c r="B842" t="s">
        <v>874</v>
      </c>
      <c r="C842" t="s">
        <v>1030</v>
      </c>
      <c r="D842" t="s">
        <v>9527</v>
      </c>
      <c r="E842">
        <v>38</v>
      </c>
      <c r="G842" t="s">
        <v>16</v>
      </c>
      <c r="I842" s="1" t="d">
        <v>2018-08-21</v>
      </c>
      <c r="J842" t="s">
        <v>347</v>
      </c>
      <c r="K842" s="17" t="s">
        <v>71</v>
      </c>
      <c r="L842">
        <v>3</v>
      </c>
    </row>
    <row r="843" spans="1:12" x14ac:dyDescent="0.25">
      <c r="A843" t="s">
        <v>1998</v>
      </c>
      <c r="B843" t="s">
        <v>571</v>
      </c>
      <c r="C843" t="s">
        <v>715</v>
      </c>
      <c r="D843" t="s">
        <v>23</v>
      </c>
      <c r="E843">
        <v>45</v>
      </c>
      <c r="F843" t="s">
        <v>146</v>
      </c>
      <c r="G843" t="s">
        <v>842</v>
      </c>
      <c r="I843" s="1" t="d">
        <v>2020-04-05</v>
      </c>
      <c r="J843" t="s">
        <v>1999</v>
      </c>
      <c r="K843" s="17" t="s">
        <v>118</v>
      </c>
      <c r="L843">
        <v>4</v>
      </c>
    </row>
    <row r="844" spans="1:12" x14ac:dyDescent="0.25">
      <c r="A844" t="s">
        <v>2617</v>
      </c>
      <c r="B844" t="s">
        <v>199</v>
      </c>
      <c r="C844" t="s">
        <v>1384</v>
      </c>
      <c r="D844" t="s">
        <v>23</v>
      </c>
      <c r="E844">
        <v>34</v>
      </c>
      <c r="F844" t="s">
        <v>15</v>
      </c>
      <c r="G844" t="s">
        <v>39</v>
      </c>
      <c r="I844" s="1" t="d">
        <v>2007-08-30</v>
      </c>
      <c r="J844" t="s">
        <v>2618</v>
      </c>
      <c r="K844" s="17" t="s">
        <v>50</v>
      </c>
      <c r="L844">
        <v>3</v>
      </c>
    </row>
    <row r="845" spans="1:12" x14ac:dyDescent="0.25">
      <c r="A845" t="s">
        <v>2619</v>
      </c>
      <c r="B845" t="s">
        <v>2620</v>
      </c>
      <c r="C845" t="s">
        <v>1205</v>
      </c>
      <c r="D845" t="s">
        <v>23</v>
      </c>
      <c r="E845">
        <v>32</v>
      </c>
      <c r="F845" t="s">
        <v>31</v>
      </c>
      <c r="G845" t="s">
        <v>115</v>
      </c>
      <c r="H845" t="s">
        <v>2621</v>
      </c>
      <c r="I845" s="1" t="d">
        <v>2020-12-28</v>
      </c>
      <c r="J845" t="s">
        <v>2622</v>
      </c>
      <c r="K845" s="17" t="s">
        <v>118</v>
      </c>
      <c r="L845">
        <v>4</v>
      </c>
    </row>
    <row r="846" spans="1:12" x14ac:dyDescent="0.25">
      <c r="A846" t="s">
        <v>2623</v>
      </c>
      <c r="B846" t="s">
        <v>174</v>
      </c>
      <c r="C846" t="s">
        <v>2242</v>
      </c>
      <c r="D846" t="s">
        <v>23</v>
      </c>
      <c r="E846">
        <v>21</v>
      </c>
      <c r="F846" t="s">
        <v>196</v>
      </c>
      <c r="G846" t="s">
        <v>115</v>
      </c>
      <c r="H846">
        <v>49568</v>
      </c>
      <c r="I846" s="1" t="d">
        <v>2008-01-15</v>
      </c>
      <c r="J846" t="s">
        <v>2624</v>
      </c>
      <c r="K846" s="17" t="s">
        <v>50</v>
      </c>
      <c r="L846">
        <v>1</v>
      </c>
    </row>
    <row r="847" spans="1:12" x14ac:dyDescent="0.25">
      <c r="A847" t="s">
        <v>2625</v>
      </c>
      <c r="B847" t="s">
        <v>630</v>
      </c>
      <c r="C847" t="s">
        <v>1991</v>
      </c>
      <c r="D847" t="s">
        <v>23</v>
      </c>
      <c r="E847">
        <v>39</v>
      </c>
      <c r="F847" t="s">
        <v>153</v>
      </c>
      <c r="G847" t="s">
        <v>39</v>
      </c>
      <c r="H847" t="s">
        <v>2626</v>
      </c>
      <c r="I847" s="1" t="d">
        <v>2005-10-29</v>
      </c>
      <c r="J847" t="s">
        <v>2627</v>
      </c>
      <c r="K847" s="17" t="s">
        <v>58</v>
      </c>
      <c r="L847">
        <v>3</v>
      </c>
    </row>
    <row r="848" spans="1:12" x14ac:dyDescent="0.25">
      <c r="A848" t="s">
        <v>2628</v>
      </c>
      <c r="B848" t="s">
        <v>112</v>
      </c>
      <c r="C848" t="s">
        <v>827</v>
      </c>
      <c r="D848" t="s">
        <v>23</v>
      </c>
      <c r="E848">
        <v>33</v>
      </c>
      <c r="F848" t="s">
        <v>417</v>
      </c>
      <c r="G848" t="s">
        <v>48</v>
      </c>
      <c r="H848" s="2">
        <v>60964</v>
      </c>
      <c r="I848" s="1" t="d">
        <v>2018-12-27</v>
      </c>
      <c r="J848" t="s">
        <v>2629</v>
      </c>
      <c r="K848" s="17" t="s">
        <v>370</v>
      </c>
      <c r="L848">
        <v>2</v>
      </c>
    </row>
    <row r="849" spans="1:12" x14ac:dyDescent="0.25">
      <c r="A849" t="s">
        <v>2630</v>
      </c>
      <c r="B849" t="s">
        <v>157</v>
      </c>
      <c r="C849" t="s">
        <v>135</v>
      </c>
      <c r="D849" t="s">
        <v>46</v>
      </c>
      <c r="E849">
        <v>49</v>
      </c>
      <c r="F849" t="s">
        <v>296</v>
      </c>
      <c r="G849" t="s">
        <v>2631</v>
      </c>
      <c r="H849">
        <v>75994</v>
      </c>
      <c r="I849" s="1" t="d">
        <v>2010-09-07</v>
      </c>
      <c r="J849" t="s">
        <v>2632</v>
      </c>
      <c r="K849" s="17" t="s">
        <v>370</v>
      </c>
      <c r="L849">
        <v>5</v>
      </c>
    </row>
    <row r="850" spans="1:12" x14ac:dyDescent="0.25">
      <c r="A850" t="s">
        <v>2633</v>
      </c>
      <c r="B850" t="s">
        <v>1154</v>
      </c>
      <c r="C850" t="s">
        <v>135</v>
      </c>
      <c r="D850" t="s">
        <v>23</v>
      </c>
      <c r="E850">
        <v>41</v>
      </c>
      <c r="F850" t="s">
        <v>31</v>
      </c>
      <c r="G850" t="s">
        <v>141</v>
      </c>
      <c r="H850">
        <v>50068</v>
      </c>
      <c r="I850" s="1" t="d">
        <v>2012-03-06</v>
      </c>
      <c r="J850" t="s">
        <v>2634</v>
      </c>
      <c r="K850" s="17" t="s">
        <v>71</v>
      </c>
      <c r="L850">
        <v>3</v>
      </c>
    </row>
    <row r="851" spans="1:12" x14ac:dyDescent="0.25">
      <c r="A851" t="s">
        <v>2635</v>
      </c>
      <c r="B851" t="s">
        <v>945</v>
      </c>
      <c r="C851" t="s">
        <v>453</v>
      </c>
      <c r="D851" t="s">
        <v>23</v>
      </c>
      <c r="E851">
        <v>35</v>
      </c>
      <c r="F851" t="s">
        <v>350</v>
      </c>
      <c r="G851" t="s">
        <v>641</v>
      </c>
      <c r="H851" t="s">
        <v>2636</v>
      </c>
      <c r="I851" s="1" t="d">
        <v>2020-01-24</v>
      </c>
      <c r="J851" t="s">
        <v>2637</v>
      </c>
      <c r="K851" s="17" t="s">
        <v>184</v>
      </c>
      <c r="L851">
        <v>4</v>
      </c>
    </row>
    <row r="852" spans="1:12" x14ac:dyDescent="0.25">
      <c r="A852" t="s">
        <v>2638</v>
      </c>
      <c r="B852" t="s">
        <v>79</v>
      </c>
      <c r="C852" t="s">
        <v>204</v>
      </c>
      <c r="D852" t="s">
        <v>23</v>
      </c>
      <c r="E852">
        <v>32</v>
      </c>
      <c r="F852" t="s">
        <v>2400</v>
      </c>
      <c r="G852" t="s">
        <v>351</v>
      </c>
      <c r="H852" s="2">
        <v>79017</v>
      </c>
      <c r="I852" s="1" t="d">
        <v>2014-05-31</v>
      </c>
      <c r="J852" t="s">
        <v>2639</v>
      </c>
      <c r="K852" s="17" t="s">
        <v>149</v>
      </c>
      <c r="L852">
        <v>4</v>
      </c>
    </row>
    <row r="853" spans="1:12" x14ac:dyDescent="0.25">
      <c r="A853" t="s">
        <v>2640</v>
      </c>
      <c r="B853" t="s">
        <v>804</v>
      </c>
      <c r="C853" t="s">
        <v>1248</v>
      </c>
      <c r="D853" t="s">
        <v>9527</v>
      </c>
      <c r="E853">
        <v>39</v>
      </c>
      <c r="F853" t="s">
        <v>576</v>
      </c>
      <c r="G853" t="s">
        <v>217</v>
      </c>
      <c r="H853" t="s">
        <v>2641</v>
      </c>
      <c r="I853" s="1" t="d">
        <v>2011-09-11</v>
      </c>
      <c r="J853" t="s">
        <v>1289</v>
      </c>
      <c r="K853" s="17" t="s">
        <v>149</v>
      </c>
      <c r="L853">
        <v>4</v>
      </c>
    </row>
    <row r="854" spans="1:12" x14ac:dyDescent="0.25">
      <c r="A854" t="s">
        <v>2642</v>
      </c>
      <c r="B854" t="s">
        <v>2643</v>
      </c>
      <c r="C854" t="s">
        <v>336</v>
      </c>
      <c r="D854" t="s">
        <v>46</v>
      </c>
      <c r="E854">
        <v>30</v>
      </c>
      <c r="F854" t="s">
        <v>319</v>
      </c>
      <c r="G854" t="s">
        <v>378</v>
      </c>
      <c r="H854" s="2">
        <v>42355</v>
      </c>
      <c r="I854" s="1" t="d">
        <v>2021-04-25</v>
      </c>
      <c r="J854" t="s">
        <v>2213</v>
      </c>
      <c r="K854" s="17" t="s">
        <v>207</v>
      </c>
      <c r="L854">
        <v>3</v>
      </c>
    </row>
    <row r="855" spans="1:12" x14ac:dyDescent="0.25">
      <c r="A855" t="s">
        <v>2644</v>
      </c>
      <c r="B855" t="s">
        <v>1512</v>
      </c>
      <c r="C855" t="s">
        <v>715</v>
      </c>
      <c r="D855" t="s">
        <v>46</v>
      </c>
      <c r="E855">
        <v>43</v>
      </c>
      <c r="F855" t="s">
        <v>589</v>
      </c>
      <c r="G855" t="s">
        <v>170</v>
      </c>
      <c r="H855" t="s">
        <v>2645</v>
      </c>
      <c r="I855" s="1" t="d">
        <v>2011-07-18</v>
      </c>
      <c r="J855" t="s">
        <v>2646</v>
      </c>
      <c r="K855" s="17" t="s">
        <v>118</v>
      </c>
      <c r="L855">
        <v>3</v>
      </c>
    </row>
    <row r="856" spans="1:12" x14ac:dyDescent="0.25">
      <c r="A856" t="s">
        <v>2647</v>
      </c>
      <c r="B856" t="s">
        <v>808</v>
      </c>
      <c r="C856" t="s">
        <v>1881</v>
      </c>
      <c r="D856" t="s">
        <v>9527</v>
      </c>
      <c r="E856">
        <v>29</v>
      </c>
      <c r="F856" t="s">
        <v>38</v>
      </c>
      <c r="G856" t="s">
        <v>55</v>
      </c>
      <c r="H856" t="s">
        <v>2648</v>
      </c>
      <c r="I856" s="1" t="d">
        <v>2017-09-18</v>
      </c>
      <c r="J856" t="s">
        <v>2649</v>
      </c>
      <c r="K856" s="17" t="s">
        <v>90</v>
      </c>
      <c r="L856">
        <v>3</v>
      </c>
    </row>
    <row r="857" spans="1:12" x14ac:dyDescent="0.25">
      <c r="A857" t="s">
        <v>2650</v>
      </c>
      <c r="B857" t="s">
        <v>139</v>
      </c>
      <c r="C857" t="s">
        <v>237</v>
      </c>
      <c r="D857" t="s">
        <v>46</v>
      </c>
      <c r="E857">
        <v>24</v>
      </c>
      <c r="F857" t="s">
        <v>81</v>
      </c>
      <c r="G857" t="s">
        <v>1719</v>
      </c>
      <c r="H857" t="s">
        <v>2651</v>
      </c>
      <c r="I857" s="1" t="d">
        <v>2020-03-19</v>
      </c>
      <c r="J857" t="s">
        <v>2652</v>
      </c>
      <c r="K857" s="17" t="s">
        <v>90</v>
      </c>
      <c r="L857">
        <v>5</v>
      </c>
    </row>
    <row r="858" spans="1:12" x14ac:dyDescent="0.25">
      <c r="A858" t="s">
        <v>2653</v>
      </c>
      <c r="B858" t="s">
        <v>448</v>
      </c>
      <c r="C858" t="s">
        <v>805</v>
      </c>
      <c r="D858" t="s">
        <v>9527</v>
      </c>
      <c r="E858">
        <v>39</v>
      </c>
      <c r="F858" t="s">
        <v>146</v>
      </c>
      <c r="G858" t="s">
        <v>504</v>
      </c>
      <c r="H858" t="s">
        <v>2654</v>
      </c>
      <c r="J858" t="s">
        <v>2655</v>
      </c>
      <c r="K858" s="17" t="s">
        <v>58</v>
      </c>
      <c r="L858">
        <v>4</v>
      </c>
    </row>
    <row r="859" spans="1:12" x14ac:dyDescent="0.25">
      <c r="A859" t="s">
        <v>2656</v>
      </c>
      <c r="B859" t="s">
        <v>139</v>
      </c>
      <c r="C859" t="s">
        <v>710</v>
      </c>
      <c r="D859" t="s">
        <v>46</v>
      </c>
      <c r="E859">
        <v>40</v>
      </c>
      <c r="G859" t="s">
        <v>39</v>
      </c>
      <c r="H859">
        <v>56078</v>
      </c>
      <c r="I859" s="1" t="d">
        <v>2008-05-14</v>
      </c>
      <c r="J859" t="s">
        <v>2657</v>
      </c>
      <c r="K859" s="17" t="s">
        <v>34</v>
      </c>
      <c r="L859">
        <v>5</v>
      </c>
    </row>
    <row r="860" spans="1:12" x14ac:dyDescent="0.25">
      <c r="A860" t="s">
        <v>2658</v>
      </c>
      <c r="B860" t="s">
        <v>52</v>
      </c>
      <c r="C860" t="s">
        <v>1881</v>
      </c>
      <c r="D860" t="s">
        <v>9527</v>
      </c>
      <c r="E860">
        <v>50</v>
      </c>
      <c r="F860" t="s">
        <v>532</v>
      </c>
      <c r="G860" t="s">
        <v>177</v>
      </c>
      <c r="H860">
        <v>65315</v>
      </c>
      <c r="I860" s="1" t="d">
        <v>2024-05-18</v>
      </c>
      <c r="J860" t="s">
        <v>2276</v>
      </c>
      <c r="K860" s="17" t="s">
        <v>118</v>
      </c>
      <c r="L860">
        <v>3</v>
      </c>
    </row>
    <row r="861" spans="1:12" x14ac:dyDescent="0.25">
      <c r="A861" t="s">
        <v>2659</v>
      </c>
      <c r="B861" t="s">
        <v>92</v>
      </c>
      <c r="C861" t="s">
        <v>244</v>
      </c>
      <c r="D861" t="s">
        <v>9527</v>
      </c>
      <c r="E861">
        <v>43</v>
      </c>
      <c r="F861" t="s">
        <v>31</v>
      </c>
      <c r="G861" t="s">
        <v>1719</v>
      </c>
      <c r="H861" t="s">
        <v>2660</v>
      </c>
      <c r="I861" s="1" t="d">
        <v>2010-12-28</v>
      </c>
      <c r="J861" t="s">
        <v>480</v>
      </c>
      <c r="K861" s="17" t="s">
        <v>27</v>
      </c>
      <c r="L861">
        <v>4</v>
      </c>
    </row>
    <row r="862" spans="1:12" x14ac:dyDescent="0.25">
      <c r="A862" t="s">
        <v>2661</v>
      </c>
      <c r="B862" t="s">
        <v>507</v>
      </c>
      <c r="C862" t="s">
        <v>168</v>
      </c>
      <c r="D862" t="s">
        <v>23</v>
      </c>
      <c r="E862">
        <v>27</v>
      </c>
      <c r="F862" t="s">
        <v>406</v>
      </c>
      <c r="G862" t="s">
        <v>82</v>
      </c>
      <c r="H862" t="s">
        <v>2662</v>
      </c>
      <c r="I862" s="1" t="d">
        <v>2010-11-19</v>
      </c>
      <c r="J862" t="s">
        <v>947</v>
      </c>
      <c r="K862" s="17" t="s">
        <v>149</v>
      </c>
      <c r="L862">
        <v>5</v>
      </c>
    </row>
    <row r="863" spans="1:12" x14ac:dyDescent="0.25">
      <c r="A863" t="s">
        <v>2663</v>
      </c>
      <c r="B863" t="s">
        <v>2248</v>
      </c>
      <c r="C863" t="s">
        <v>1734</v>
      </c>
      <c r="D863" t="s">
        <v>46</v>
      </c>
      <c r="E863">
        <v>29</v>
      </c>
      <c r="F863" t="s">
        <v>296</v>
      </c>
      <c r="G863" t="s">
        <v>82</v>
      </c>
      <c r="I863" s="1" t="d">
        <v>2008-07-18</v>
      </c>
      <c r="J863" t="s">
        <v>590</v>
      </c>
      <c r="K863" s="17" t="s">
        <v>27</v>
      </c>
      <c r="L863">
        <v>3</v>
      </c>
    </row>
    <row r="864" spans="1:12" x14ac:dyDescent="0.25">
      <c r="A864" t="s">
        <v>2664</v>
      </c>
      <c r="B864" t="s">
        <v>2665</v>
      </c>
      <c r="C864" t="s">
        <v>1306</v>
      </c>
      <c r="D864" t="s">
        <v>23</v>
      </c>
      <c r="E864">
        <v>41</v>
      </c>
      <c r="F864" t="s">
        <v>216</v>
      </c>
      <c r="G864" t="s">
        <v>69</v>
      </c>
      <c r="H864" s="2">
        <v>68897</v>
      </c>
      <c r="I864" s="1" t="d">
        <v>2008-08-16</v>
      </c>
      <c r="J864" t="s">
        <v>2666</v>
      </c>
      <c r="K864" s="17" t="s">
        <v>118</v>
      </c>
      <c r="L864">
        <v>3</v>
      </c>
    </row>
    <row r="865" spans="1:12" x14ac:dyDescent="0.25">
      <c r="A865" t="s">
        <v>2667</v>
      </c>
      <c r="B865" t="s">
        <v>808</v>
      </c>
      <c r="C865" t="s">
        <v>2292</v>
      </c>
      <c r="D865" t="s">
        <v>46</v>
      </c>
      <c r="E865">
        <v>46</v>
      </c>
      <c r="F865" t="s">
        <v>2275</v>
      </c>
      <c r="G865" t="s">
        <v>500</v>
      </c>
      <c r="H865" t="s">
        <v>2668</v>
      </c>
      <c r="I865" s="1" t="d">
        <v>2017-07-04</v>
      </c>
      <c r="J865" t="s">
        <v>2669</v>
      </c>
      <c r="K865" s="17" t="s">
        <v>207</v>
      </c>
      <c r="L865">
        <v>2</v>
      </c>
    </row>
    <row r="866" spans="1:12" x14ac:dyDescent="0.25">
      <c r="A866" t="s">
        <v>2670</v>
      </c>
      <c r="B866" t="s">
        <v>1382</v>
      </c>
      <c r="C866" t="s">
        <v>286</v>
      </c>
      <c r="D866" t="s">
        <v>9527</v>
      </c>
      <c r="E866">
        <v>44</v>
      </c>
      <c r="F866" t="s">
        <v>1571</v>
      </c>
      <c r="G866" t="s">
        <v>283</v>
      </c>
      <c r="H866">
        <v>167498</v>
      </c>
      <c r="I866" s="1" t="d">
        <v>2022-11-01</v>
      </c>
      <c r="J866" t="s">
        <v>2671</v>
      </c>
      <c r="K866" s="17" t="s">
        <v>71</v>
      </c>
      <c r="L866">
        <v>3</v>
      </c>
    </row>
    <row r="867" spans="1:12" x14ac:dyDescent="0.25">
      <c r="A867" t="s">
        <v>2672</v>
      </c>
      <c r="B867" t="s">
        <v>79</v>
      </c>
      <c r="C867" t="s">
        <v>2673</v>
      </c>
      <c r="D867" t="s">
        <v>9527</v>
      </c>
      <c r="E867">
        <v>38</v>
      </c>
      <c r="F867" t="s">
        <v>666</v>
      </c>
      <c r="G867" t="s">
        <v>39</v>
      </c>
      <c r="H867">
        <v>56871</v>
      </c>
      <c r="I867" s="1" t="d">
        <v>2008-03-04</v>
      </c>
      <c r="J867" t="s">
        <v>810</v>
      </c>
      <c r="K867" s="17" t="s">
        <v>71</v>
      </c>
      <c r="L867">
        <v>3</v>
      </c>
    </row>
    <row r="868" spans="1:12" x14ac:dyDescent="0.25">
      <c r="A868" t="s">
        <v>2674</v>
      </c>
      <c r="B868" t="s">
        <v>999</v>
      </c>
      <c r="C868" t="s">
        <v>599</v>
      </c>
      <c r="D868" t="s">
        <v>9527</v>
      </c>
      <c r="E868">
        <v>28</v>
      </c>
      <c r="F868" t="s">
        <v>373</v>
      </c>
      <c r="G868" t="s">
        <v>1329</v>
      </c>
      <c r="I868" s="1" t="d">
        <v>2020-05-07</v>
      </c>
      <c r="J868" t="s">
        <v>2675</v>
      </c>
      <c r="K868" s="17" t="s">
        <v>27</v>
      </c>
      <c r="L868">
        <v>4</v>
      </c>
    </row>
    <row r="869" spans="1:12" x14ac:dyDescent="0.25">
      <c r="A869" t="s">
        <v>2676</v>
      </c>
      <c r="B869" t="s">
        <v>1241</v>
      </c>
      <c r="C869" t="s">
        <v>140</v>
      </c>
      <c r="D869" t="s">
        <v>9527</v>
      </c>
      <c r="E869">
        <v>39</v>
      </c>
      <c r="G869" t="s">
        <v>337</v>
      </c>
      <c r="I869" s="1" t="d">
        <v>2024-06-12</v>
      </c>
      <c r="J869" t="s">
        <v>2677</v>
      </c>
      <c r="K869" s="17" t="s">
        <v>149</v>
      </c>
      <c r="L869">
        <v>4</v>
      </c>
    </row>
    <row r="870" spans="1:12" x14ac:dyDescent="0.25">
      <c r="A870" t="s">
        <v>2678</v>
      </c>
      <c r="B870" t="s">
        <v>1002</v>
      </c>
      <c r="C870" t="s">
        <v>1326</v>
      </c>
      <c r="D870" t="s">
        <v>9527</v>
      </c>
      <c r="E870">
        <v>24</v>
      </c>
      <c r="F870" t="s">
        <v>75</v>
      </c>
      <c r="G870" t="s">
        <v>170</v>
      </c>
      <c r="H870">
        <v>60163</v>
      </c>
      <c r="I870" s="1" t="d">
        <v>2013-11-08</v>
      </c>
      <c r="J870" t="s">
        <v>2679</v>
      </c>
      <c r="K870" s="17" t="s">
        <v>50</v>
      </c>
      <c r="L870">
        <v>3</v>
      </c>
    </row>
    <row r="871" spans="1:12" x14ac:dyDescent="0.25">
      <c r="A871" t="s">
        <v>2680</v>
      </c>
      <c r="B871" t="s">
        <v>2681</v>
      </c>
      <c r="C871" t="s">
        <v>1564</v>
      </c>
      <c r="D871" t="s">
        <v>9527</v>
      </c>
      <c r="E871">
        <v>49</v>
      </c>
      <c r="F871" t="s">
        <v>1116</v>
      </c>
      <c r="G871" t="s">
        <v>600</v>
      </c>
      <c r="H871" s="2">
        <v>134526</v>
      </c>
      <c r="I871" s="1" t="d">
        <v>2021-02-10</v>
      </c>
      <c r="J871" t="s">
        <v>2682</v>
      </c>
      <c r="K871" s="17" t="s">
        <v>58</v>
      </c>
      <c r="L871">
        <v>4</v>
      </c>
    </row>
    <row r="872" spans="1:12" x14ac:dyDescent="0.25">
      <c r="A872" t="s">
        <v>2683</v>
      </c>
      <c r="B872" t="s">
        <v>2482</v>
      </c>
      <c r="C872" t="s">
        <v>1644</v>
      </c>
      <c r="D872" t="s">
        <v>23</v>
      </c>
      <c r="E872">
        <v>35</v>
      </c>
      <c r="G872" t="s">
        <v>177</v>
      </c>
      <c r="H872" t="s">
        <v>2684</v>
      </c>
      <c r="I872" s="1" t="d">
        <v>2015-12-17</v>
      </c>
      <c r="J872" t="s">
        <v>2685</v>
      </c>
      <c r="K872" s="17" t="s">
        <v>90</v>
      </c>
      <c r="L872">
        <v>3</v>
      </c>
    </row>
    <row r="873" spans="1:12" x14ac:dyDescent="0.25">
      <c r="A873" t="s">
        <v>2686</v>
      </c>
      <c r="B873" t="s">
        <v>355</v>
      </c>
      <c r="C873" t="s">
        <v>22</v>
      </c>
      <c r="D873" t="s">
        <v>9527</v>
      </c>
      <c r="E873">
        <v>62</v>
      </c>
      <c r="F873" t="s">
        <v>928</v>
      </c>
      <c r="G873" t="s">
        <v>842</v>
      </c>
      <c r="H873">
        <v>137930</v>
      </c>
      <c r="I873" s="1" t="d">
        <v>2017-03-03</v>
      </c>
      <c r="J873" t="s">
        <v>2687</v>
      </c>
      <c r="K873" s="17" t="s">
        <v>27</v>
      </c>
      <c r="L873">
        <v>4</v>
      </c>
    </row>
    <row r="874" spans="1:12" x14ac:dyDescent="0.25">
      <c r="A874" t="s">
        <v>2688</v>
      </c>
      <c r="B874" t="s">
        <v>746</v>
      </c>
      <c r="C874" t="s">
        <v>45</v>
      </c>
      <c r="D874" t="s">
        <v>46</v>
      </c>
      <c r="E874">
        <v>36</v>
      </c>
      <c r="F874" t="s">
        <v>216</v>
      </c>
      <c r="G874" t="s">
        <v>1556</v>
      </c>
      <c r="H874">
        <v>56705</v>
      </c>
      <c r="I874" s="1" t="d">
        <v>2018-01-07</v>
      </c>
      <c r="J874" t="s">
        <v>1981</v>
      </c>
      <c r="K874" s="17" t="s">
        <v>184</v>
      </c>
      <c r="L874">
        <v>5</v>
      </c>
    </row>
    <row r="875" spans="1:12" x14ac:dyDescent="0.25">
      <c r="A875" t="s">
        <v>2689</v>
      </c>
      <c r="B875" t="s">
        <v>1481</v>
      </c>
      <c r="C875" t="s">
        <v>1306</v>
      </c>
      <c r="D875" t="s">
        <v>9527</v>
      </c>
      <c r="E875">
        <v>36</v>
      </c>
      <c r="F875" t="s">
        <v>108</v>
      </c>
      <c r="G875" t="s">
        <v>182</v>
      </c>
      <c r="H875" t="s">
        <v>2690</v>
      </c>
      <c r="I875" s="1" t="d">
        <v>2021-05-01</v>
      </c>
      <c r="J875" t="s">
        <v>1483</v>
      </c>
      <c r="K875" s="17" t="s">
        <v>50</v>
      </c>
      <c r="L875">
        <v>2</v>
      </c>
    </row>
    <row r="876" spans="1:12" x14ac:dyDescent="0.25">
      <c r="A876" t="s">
        <v>2691</v>
      </c>
      <c r="B876" t="s">
        <v>804</v>
      </c>
      <c r="C876" t="s">
        <v>747</v>
      </c>
      <c r="D876" t="s">
        <v>9527</v>
      </c>
      <c r="E876">
        <v>56</v>
      </c>
      <c r="F876" t="s">
        <v>720</v>
      </c>
      <c r="G876" t="s">
        <v>912</v>
      </c>
      <c r="H876" s="2">
        <v>51386</v>
      </c>
      <c r="I876" s="1" t="d">
        <v>2023-12-31</v>
      </c>
      <c r="J876" t="s">
        <v>748</v>
      </c>
      <c r="K876" s="17" t="s">
        <v>118</v>
      </c>
      <c r="L876">
        <v>4</v>
      </c>
    </row>
    <row r="877" spans="1:12" x14ac:dyDescent="0.25">
      <c r="A877" t="s">
        <v>2692</v>
      </c>
      <c r="B877" t="s">
        <v>36</v>
      </c>
      <c r="C877" t="s">
        <v>488</v>
      </c>
      <c r="D877" t="s">
        <v>9527</v>
      </c>
      <c r="E877">
        <v>31</v>
      </c>
      <c r="F877" t="s">
        <v>918</v>
      </c>
      <c r="G877" t="s">
        <v>177</v>
      </c>
      <c r="H877" t="s">
        <v>2693</v>
      </c>
      <c r="I877" s="1" t="d">
        <v>2013-07-31</v>
      </c>
      <c r="J877" t="s">
        <v>2694</v>
      </c>
      <c r="K877" s="17" t="s">
        <v>149</v>
      </c>
      <c r="L877">
        <v>5</v>
      </c>
    </row>
    <row r="878" spans="1:12" x14ac:dyDescent="0.25">
      <c r="A878" t="s">
        <v>2695</v>
      </c>
      <c r="B878" t="s">
        <v>906</v>
      </c>
      <c r="C878" t="s">
        <v>790</v>
      </c>
      <c r="D878" t="s">
        <v>46</v>
      </c>
      <c r="E878">
        <v>39</v>
      </c>
      <c r="F878" t="s">
        <v>62</v>
      </c>
      <c r="G878" t="s">
        <v>1866</v>
      </c>
      <c r="H878" s="2">
        <v>82938</v>
      </c>
      <c r="I878" s="1" t="d">
        <v>2022-01-01</v>
      </c>
      <c r="J878" t="s">
        <v>2195</v>
      </c>
      <c r="K878" s="17" t="s">
        <v>50</v>
      </c>
      <c r="L878">
        <v>2</v>
      </c>
    </row>
    <row r="879" spans="1:12" x14ac:dyDescent="0.25">
      <c r="A879" t="s">
        <v>2696</v>
      </c>
      <c r="B879" t="s">
        <v>2697</v>
      </c>
      <c r="C879" t="s">
        <v>295</v>
      </c>
      <c r="D879" t="s">
        <v>9527</v>
      </c>
      <c r="E879">
        <v>32</v>
      </c>
      <c r="F879" t="s">
        <v>169</v>
      </c>
      <c r="G879" t="s">
        <v>115</v>
      </c>
      <c r="I879" s="1" t="d">
        <v>2022-12-21</v>
      </c>
      <c r="J879" t="s">
        <v>2698</v>
      </c>
      <c r="K879" s="17" t="s">
        <v>184</v>
      </c>
      <c r="L879">
        <v>3</v>
      </c>
    </row>
    <row r="880" spans="1:12" x14ac:dyDescent="0.25">
      <c r="A880" t="s">
        <v>2699</v>
      </c>
      <c r="B880" t="s">
        <v>648</v>
      </c>
      <c r="C880" t="s">
        <v>790</v>
      </c>
      <c r="D880" t="s">
        <v>46</v>
      </c>
      <c r="E880">
        <v>39</v>
      </c>
      <c r="F880" t="s">
        <v>2700</v>
      </c>
      <c r="G880" t="s">
        <v>39</v>
      </c>
      <c r="H880" s="2">
        <v>82833</v>
      </c>
      <c r="I880" s="1" t="d">
        <v>2018-12-28</v>
      </c>
      <c r="J880" t="s">
        <v>2701</v>
      </c>
      <c r="K880" s="17" t="s">
        <v>27</v>
      </c>
      <c r="L880">
        <v>3</v>
      </c>
    </row>
    <row r="881" spans="1:12" x14ac:dyDescent="0.25">
      <c r="A881" t="s">
        <v>2702</v>
      </c>
      <c r="B881" t="s">
        <v>563</v>
      </c>
      <c r="C881" t="s">
        <v>2703</v>
      </c>
      <c r="D881" t="s">
        <v>9527</v>
      </c>
      <c r="E881">
        <v>32</v>
      </c>
      <c r="F881" t="s">
        <v>399</v>
      </c>
      <c r="G881" t="s">
        <v>25</v>
      </c>
      <c r="H881">
        <v>82311</v>
      </c>
      <c r="I881" s="1" t="d">
        <v>2021-07-15</v>
      </c>
      <c r="J881" t="s">
        <v>2704</v>
      </c>
      <c r="K881" s="17" t="s">
        <v>207</v>
      </c>
      <c r="L881">
        <v>4</v>
      </c>
    </row>
    <row r="882" spans="1:12" x14ac:dyDescent="0.25">
      <c r="A882" t="s">
        <v>2705</v>
      </c>
      <c r="B882" t="s">
        <v>2706</v>
      </c>
      <c r="C882" t="s">
        <v>739</v>
      </c>
      <c r="D882" t="s">
        <v>9527</v>
      </c>
      <c r="E882">
        <v>25</v>
      </c>
      <c r="F882" t="s">
        <v>2707</v>
      </c>
      <c r="G882" t="s">
        <v>2708</v>
      </c>
      <c r="H882" t="s">
        <v>2709</v>
      </c>
      <c r="I882" s="1" t="d">
        <v>2021-11-06</v>
      </c>
      <c r="J882" t="s">
        <v>2710</v>
      </c>
      <c r="K882" s="17" t="s">
        <v>19</v>
      </c>
      <c r="L882">
        <v>5</v>
      </c>
    </row>
    <row r="883" spans="1:12" x14ac:dyDescent="0.25">
      <c r="A883" t="s">
        <v>2711</v>
      </c>
      <c r="B883" t="s">
        <v>1096</v>
      </c>
      <c r="C883" t="s">
        <v>552</v>
      </c>
      <c r="D883" t="s">
        <v>46</v>
      </c>
      <c r="E883">
        <v>40</v>
      </c>
      <c r="F883" t="s">
        <v>1546</v>
      </c>
      <c r="G883" t="s">
        <v>378</v>
      </c>
      <c r="H883" t="s">
        <v>2712</v>
      </c>
      <c r="I883" s="1" t="d">
        <v>2014-04-30</v>
      </c>
      <c r="J883" t="s">
        <v>2713</v>
      </c>
      <c r="K883" s="17" t="s">
        <v>207</v>
      </c>
      <c r="L883">
        <v>5</v>
      </c>
    </row>
    <row r="884" spans="1:12" x14ac:dyDescent="0.25">
      <c r="A884" t="s">
        <v>2714</v>
      </c>
      <c r="B884" t="s">
        <v>21</v>
      </c>
      <c r="C884" t="s">
        <v>2064</v>
      </c>
      <c r="D884" t="s">
        <v>23</v>
      </c>
      <c r="E884">
        <v>67</v>
      </c>
      <c r="F884" t="s">
        <v>296</v>
      </c>
      <c r="G884" t="s">
        <v>458</v>
      </c>
      <c r="H884" s="2">
        <v>89838</v>
      </c>
      <c r="I884" s="1" t="d">
        <v>2012-04-11</v>
      </c>
      <c r="J884" t="s">
        <v>2715</v>
      </c>
      <c r="K884" s="17" t="s">
        <v>149</v>
      </c>
      <c r="L884">
        <v>4</v>
      </c>
    </row>
    <row r="885" spans="1:12" x14ac:dyDescent="0.25">
      <c r="A885" t="s">
        <v>2716</v>
      </c>
      <c r="B885" t="s">
        <v>833</v>
      </c>
      <c r="C885" t="s">
        <v>22</v>
      </c>
      <c r="D885" t="s">
        <v>9527</v>
      </c>
      <c r="E885">
        <v>36</v>
      </c>
      <c r="F885" t="s">
        <v>522</v>
      </c>
      <c r="G885" t="s">
        <v>283</v>
      </c>
      <c r="H885" t="s">
        <v>2717</v>
      </c>
      <c r="I885" s="1" t="d">
        <v>2024-08-07</v>
      </c>
      <c r="J885" t="s">
        <v>2718</v>
      </c>
      <c r="K885" s="17" t="s">
        <v>118</v>
      </c>
      <c r="L885">
        <v>3</v>
      </c>
    </row>
    <row r="886" spans="1:12" x14ac:dyDescent="0.25">
      <c r="A886" t="s">
        <v>2719</v>
      </c>
      <c r="B886" t="s">
        <v>841</v>
      </c>
      <c r="C886" t="s">
        <v>1576</v>
      </c>
      <c r="D886" t="s">
        <v>9527</v>
      </c>
      <c r="E886">
        <v>53</v>
      </c>
      <c r="F886" t="s">
        <v>200</v>
      </c>
      <c r="G886" t="s">
        <v>16</v>
      </c>
      <c r="H886" t="s">
        <v>2720</v>
      </c>
      <c r="I886" s="1" t="d">
        <v>2010-01-19</v>
      </c>
      <c r="J886" t="s">
        <v>2721</v>
      </c>
      <c r="K886" s="17" t="s">
        <v>100</v>
      </c>
      <c r="L886">
        <v>3</v>
      </c>
    </row>
    <row r="887" spans="1:12" x14ac:dyDescent="0.25">
      <c r="A887" t="s">
        <v>2722</v>
      </c>
      <c r="B887" t="s">
        <v>456</v>
      </c>
      <c r="C887" t="s">
        <v>1622</v>
      </c>
      <c r="D887" t="s">
        <v>23</v>
      </c>
      <c r="E887">
        <v>57</v>
      </c>
      <c r="F887" t="s">
        <v>2723</v>
      </c>
      <c r="G887" t="s">
        <v>69</v>
      </c>
      <c r="H887" t="s">
        <v>2724</v>
      </c>
      <c r="J887" t="s">
        <v>2725</v>
      </c>
      <c r="K887" s="17" t="s">
        <v>184</v>
      </c>
      <c r="L887">
        <v>3</v>
      </c>
    </row>
    <row r="888" spans="1:12" x14ac:dyDescent="0.25">
      <c r="A888" t="s">
        <v>2726</v>
      </c>
      <c r="B888" t="s">
        <v>841</v>
      </c>
      <c r="C888" t="s">
        <v>2727</v>
      </c>
      <c r="D888" t="s">
        <v>23</v>
      </c>
      <c r="E888">
        <v>47</v>
      </c>
      <c r="F888" t="s">
        <v>522</v>
      </c>
      <c r="G888" t="s">
        <v>526</v>
      </c>
      <c r="I888" s="1" t="d">
        <v>2010-01-08</v>
      </c>
      <c r="J888" t="s">
        <v>2728</v>
      </c>
      <c r="K888" s="17" t="s">
        <v>58</v>
      </c>
      <c r="L888">
        <v>2</v>
      </c>
    </row>
    <row r="889" spans="1:12" x14ac:dyDescent="0.25">
      <c r="A889" t="s">
        <v>2729</v>
      </c>
      <c r="B889" t="s">
        <v>563</v>
      </c>
      <c r="C889" t="s">
        <v>477</v>
      </c>
      <c r="D889" t="s">
        <v>9527</v>
      </c>
      <c r="E889">
        <v>29</v>
      </c>
      <c r="F889" t="s">
        <v>264</v>
      </c>
      <c r="G889" t="s">
        <v>115</v>
      </c>
      <c r="H889" s="2">
        <v>111046</v>
      </c>
      <c r="I889" s="1" t="d">
        <v>2006-03-27</v>
      </c>
      <c r="J889" t="s">
        <v>2290</v>
      </c>
      <c r="K889" s="17" t="s">
        <v>207</v>
      </c>
      <c r="L889">
        <v>4</v>
      </c>
    </row>
    <row r="890" spans="1:12" x14ac:dyDescent="0.25">
      <c r="A890" t="s">
        <v>2730</v>
      </c>
      <c r="B890" t="s">
        <v>826</v>
      </c>
      <c r="C890" t="s">
        <v>158</v>
      </c>
      <c r="D890" t="s">
        <v>9527</v>
      </c>
      <c r="E890">
        <v>34</v>
      </c>
      <c r="F890" t="s">
        <v>422</v>
      </c>
      <c r="G890" t="s">
        <v>1117</v>
      </c>
      <c r="H890" s="2">
        <v>153575</v>
      </c>
      <c r="I890" s="1" t="d">
        <v>2024-02-05</v>
      </c>
      <c r="J890" t="s">
        <v>2731</v>
      </c>
      <c r="K890" s="17" t="s">
        <v>58</v>
      </c>
      <c r="L890">
        <v>3</v>
      </c>
    </row>
    <row r="891" spans="1:12" x14ac:dyDescent="0.25">
      <c r="A891" t="s">
        <v>2732</v>
      </c>
      <c r="B891" t="s">
        <v>262</v>
      </c>
      <c r="C891" t="s">
        <v>1332</v>
      </c>
      <c r="D891" t="s">
        <v>46</v>
      </c>
      <c r="E891">
        <v>38</v>
      </c>
      <c r="F891" t="s">
        <v>319</v>
      </c>
      <c r="G891" t="s">
        <v>191</v>
      </c>
      <c r="I891" s="1" t="d">
        <v>2009-05-22</v>
      </c>
      <c r="J891" t="s">
        <v>1333</v>
      </c>
      <c r="K891" s="17" t="s">
        <v>50</v>
      </c>
      <c r="L891">
        <v>5</v>
      </c>
    </row>
    <row r="892" spans="1:12" x14ac:dyDescent="0.25">
      <c r="A892" t="s">
        <v>2733</v>
      </c>
      <c r="B892" t="s">
        <v>999</v>
      </c>
      <c r="C892" t="s">
        <v>1377</v>
      </c>
      <c r="D892" t="s">
        <v>46</v>
      </c>
      <c r="E892">
        <v>46</v>
      </c>
      <c r="F892" t="s">
        <v>645</v>
      </c>
      <c r="G892" t="s">
        <v>82</v>
      </c>
      <c r="H892" t="s">
        <v>2734</v>
      </c>
      <c r="I892" s="1" t="d">
        <v>2009-02-15</v>
      </c>
      <c r="J892" t="s">
        <v>2735</v>
      </c>
      <c r="K892" s="17" t="s">
        <v>370</v>
      </c>
      <c r="L892">
        <v>4</v>
      </c>
    </row>
    <row r="893" spans="1:12" x14ac:dyDescent="0.25">
      <c r="A893" t="s">
        <v>2736</v>
      </c>
      <c r="B893" t="s">
        <v>112</v>
      </c>
      <c r="C893" t="s">
        <v>2737</v>
      </c>
      <c r="D893" t="s">
        <v>9527</v>
      </c>
      <c r="E893">
        <v>25</v>
      </c>
      <c r="F893" t="s">
        <v>422</v>
      </c>
      <c r="G893" t="s">
        <v>177</v>
      </c>
      <c r="H893" s="2">
        <v>65005</v>
      </c>
      <c r="I893" s="1" t="d">
        <v>2010-08-11</v>
      </c>
      <c r="J893" t="s">
        <v>1755</v>
      </c>
      <c r="K893" s="17" t="s">
        <v>184</v>
      </c>
      <c r="L893">
        <v>2</v>
      </c>
    </row>
    <row r="894" spans="1:12" x14ac:dyDescent="0.25">
      <c r="A894" t="s">
        <v>2738</v>
      </c>
      <c r="B894" t="s">
        <v>151</v>
      </c>
      <c r="C894" t="s">
        <v>361</v>
      </c>
      <c r="D894" t="s">
        <v>23</v>
      </c>
      <c r="E894">
        <v>33</v>
      </c>
      <c r="F894" t="s">
        <v>24</v>
      </c>
      <c r="G894" t="s">
        <v>217</v>
      </c>
      <c r="I894" s="1" t="d">
        <v>2011-06-13</v>
      </c>
      <c r="J894" t="s">
        <v>2739</v>
      </c>
      <c r="K894" s="17" t="s">
        <v>90</v>
      </c>
      <c r="L894">
        <v>4</v>
      </c>
    </row>
    <row r="895" spans="1:12" x14ac:dyDescent="0.25">
      <c r="A895" t="s">
        <v>2740</v>
      </c>
      <c r="B895" t="s">
        <v>385</v>
      </c>
      <c r="C895" t="s">
        <v>377</v>
      </c>
      <c r="D895" t="s">
        <v>46</v>
      </c>
      <c r="E895">
        <v>34</v>
      </c>
      <c r="G895" t="s">
        <v>212</v>
      </c>
      <c r="H895" t="s">
        <v>2741</v>
      </c>
      <c r="I895" s="1" t="d">
        <v>2010-09-12</v>
      </c>
      <c r="J895" t="s">
        <v>2742</v>
      </c>
      <c r="K895" s="17" t="s">
        <v>184</v>
      </c>
      <c r="L895">
        <v>3</v>
      </c>
    </row>
    <row r="896" spans="1:12" x14ac:dyDescent="0.25">
      <c r="A896" t="s">
        <v>2743</v>
      </c>
      <c r="B896" t="s">
        <v>833</v>
      </c>
      <c r="C896" t="s">
        <v>74</v>
      </c>
      <c r="D896" t="s">
        <v>9527</v>
      </c>
      <c r="E896">
        <v>22</v>
      </c>
      <c r="F896" t="s">
        <v>2065</v>
      </c>
      <c r="G896" t="s">
        <v>16</v>
      </c>
      <c r="H896" t="s">
        <v>2744</v>
      </c>
      <c r="I896" s="1" t="d">
        <v>2007-07-06</v>
      </c>
      <c r="J896" t="s">
        <v>2108</v>
      </c>
      <c r="K896" s="17" t="s">
        <v>149</v>
      </c>
      <c r="L896">
        <v>3</v>
      </c>
    </row>
    <row r="897" spans="1:12" x14ac:dyDescent="0.25">
      <c r="A897" t="s">
        <v>2745</v>
      </c>
      <c r="B897" t="s">
        <v>2061</v>
      </c>
      <c r="C897" t="s">
        <v>747</v>
      </c>
      <c r="D897" t="s">
        <v>23</v>
      </c>
      <c r="E897">
        <v>50</v>
      </c>
      <c r="F897" t="s">
        <v>406</v>
      </c>
      <c r="G897" t="s">
        <v>82</v>
      </c>
      <c r="H897" t="s">
        <v>2746</v>
      </c>
      <c r="I897" s="1" t="d">
        <v>2014-10-20</v>
      </c>
      <c r="J897" t="s">
        <v>2747</v>
      </c>
      <c r="K897" s="17" t="s">
        <v>90</v>
      </c>
      <c r="L897">
        <v>4</v>
      </c>
    </row>
    <row r="898" spans="1:12" x14ac:dyDescent="0.25">
      <c r="A898" t="s">
        <v>2748</v>
      </c>
      <c r="B898" t="s">
        <v>1824</v>
      </c>
      <c r="C898" t="s">
        <v>2079</v>
      </c>
      <c r="D898" t="s">
        <v>46</v>
      </c>
      <c r="E898">
        <v>37</v>
      </c>
      <c r="F898" t="s">
        <v>186</v>
      </c>
      <c r="G898" t="s">
        <v>16</v>
      </c>
      <c r="H898" s="2">
        <v>128371</v>
      </c>
      <c r="I898" s="1" t="d">
        <v>2013-01-30</v>
      </c>
      <c r="J898" t="s">
        <v>1084</v>
      </c>
      <c r="K898" s="17" t="s">
        <v>207</v>
      </c>
      <c r="L898">
        <v>2</v>
      </c>
    </row>
    <row r="899" spans="1:12" x14ac:dyDescent="0.25">
      <c r="A899" t="s">
        <v>2749</v>
      </c>
      <c r="B899" t="s">
        <v>1441</v>
      </c>
      <c r="C899" t="s">
        <v>1377</v>
      </c>
      <c r="D899" t="s">
        <v>9527</v>
      </c>
      <c r="E899">
        <v>30</v>
      </c>
      <c r="F899" t="s">
        <v>645</v>
      </c>
      <c r="G899" t="s">
        <v>217</v>
      </c>
      <c r="I899" s="1" t="d">
        <v>2015-05-30</v>
      </c>
      <c r="J899" t="s">
        <v>1569</v>
      </c>
      <c r="K899" s="17" t="s">
        <v>27</v>
      </c>
      <c r="L899">
        <v>3</v>
      </c>
    </row>
    <row r="900" spans="1:12" x14ac:dyDescent="0.25">
      <c r="A900" t="s">
        <v>2750</v>
      </c>
      <c r="B900" t="s">
        <v>1241</v>
      </c>
      <c r="C900" t="s">
        <v>1248</v>
      </c>
      <c r="D900" t="s">
        <v>23</v>
      </c>
      <c r="E900">
        <v>33</v>
      </c>
      <c r="F900" t="s">
        <v>200</v>
      </c>
      <c r="G900" t="s">
        <v>423</v>
      </c>
      <c r="H900" t="s">
        <v>2751</v>
      </c>
      <c r="I900" s="1" t="d">
        <v>2006-01-03</v>
      </c>
      <c r="J900" t="s">
        <v>2677</v>
      </c>
      <c r="K900" s="17" t="s">
        <v>71</v>
      </c>
      <c r="L900">
        <v>3</v>
      </c>
    </row>
    <row r="901" spans="1:12" x14ac:dyDescent="0.25">
      <c r="A901" t="s">
        <v>2752</v>
      </c>
      <c r="B901" t="s">
        <v>684</v>
      </c>
      <c r="C901" t="s">
        <v>961</v>
      </c>
      <c r="D901" t="s">
        <v>23</v>
      </c>
      <c r="E901">
        <v>37</v>
      </c>
      <c r="F901" t="s">
        <v>258</v>
      </c>
      <c r="G901" t="s">
        <v>283</v>
      </c>
      <c r="I901" s="1" t="d">
        <v>2007-08-12</v>
      </c>
      <c r="J901" t="s">
        <v>2753</v>
      </c>
      <c r="K901" s="17" t="s">
        <v>19</v>
      </c>
      <c r="L901">
        <v>3</v>
      </c>
    </row>
    <row r="902" spans="1:12" x14ac:dyDescent="0.25">
      <c r="A902" t="s">
        <v>2754</v>
      </c>
      <c r="B902" t="s">
        <v>1051</v>
      </c>
      <c r="C902" t="s">
        <v>2755</v>
      </c>
      <c r="D902" t="s">
        <v>9527</v>
      </c>
      <c r="E902">
        <v>56</v>
      </c>
      <c r="F902" t="s">
        <v>81</v>
      </c>
      <c r="G902" t="s">
        <v>82</v>
      </c>
      <c r="H902" t="s">
        <v>2756</v>
      </c>
      <c r="I902" s="1" t="d">
        <v>2024-02-16</v>
      </c>
      <c r="J902" t="s">
        <v>2506</v>
      </c>
      <c r="K902" s="17" t="s">
        <v>19</v>
      </c>
      <c r="L902">
        <v>2</v>
      </c>
    </row>
    <row r="903" spans="1:12" x14ac:dyDescent="0.25">
      <c r="A903" t="s">
        <v>2757</v>
      </c>
      <c r="B903" t="s">
        <v>410</v>
      </c>
      <c r="C903" t="s">
        <v>1794</v>
      </c>
      <c r="D903" t="s">
        <v>23</v>
      </c>
      <c r="E903">
        <v>39</v>
      </c>
      <c r="F903" t="s">
        <v>104</v>
      </c>
      <c r="G903" t="s">
        <v>182</v>
      </c>
      <c r="H903">
        <v>113601</v>
      </c>
      <c r="I903" s="1" t="d">
        <v>2019-08-20</v>
      </c>
      <c r="J903" t="s">
        <v>1424</v>
      </c>
      <c r="K903" s="17" t="s">
        <v>100</v>
      </c>
      <c r="L903">
        <v>4</v>
      </c>
    </row>
    <row r="904" spans="1:12" x14ac:dyDescent="0.25">
      <c r="A904" t="s">
        <v>2758</v>
      </c>
      <c r="B904" t="s">
        <v>1374</v>
      </c>
      <c r="C904" t="s">
        <v>377</v>
      </c>
      <c r="D904" t="s">
        <v>9527</v>
      </c>
      <c r="E904">
        <v>34</v>
      </c>
      <c r="F904" t="s">
        <v>576</v>
      </c>
      <c r="G904" t="s">
        <v>2759</v>
      </c>
      <c r="H904" s="2">
        <v>69509</v>
      </c>
      <c r="I904" s="1" t="d">
        <v>2010-09-02</v>
      </c>
      <c r="J904" t="s">
        <v>2760</v>
      </c>
      <c r="K904" s="17" t="s">
        <v>100</v>
      </c>
      <c r="L904">
        <v>4</v>
      </c>
    </row>
    <row r="905" spans="1:12" x14ac:dyDescent="0.25">
      <c r="A905" t="s">
        <v>2761</v>
      </c>
      <c r="B905" t="s">
        <v>1374</v>
      </c>
      <c r="C905" t="s">
        <v>1052</v>
      </c>
      <c r="D905" t="s">
        <v>46</v>
      </c>
      <c r="E905">
        <v>35</v>
      </c>
      <c r="F905" t="s">
        <v>666</v>
      </c>
      <c r="G905" t="s">
        <v>283</v>
      </c>
      <c r="H905" t="s">
        <v>2762</v>
      </c>
      <c r="J905" t="s">
        <v>2763</v>
      </c>
      <c r="K905" s="17" t="s">
        <v>50</v>
      </c>
      <c r="L905">
        <v>4</v>
      </c>
    </row>
    <row r="906" spans="1:12" x14ac:dyDescent="0.25">
      <c r="A906" t="s">
        <v>2732</v>
      </c>
      <c r="B906" t="s">
        <v>199</v>
      </c>
      <c r="C906" t="s">
        <v>805</v>
      </c>
      <c r="D906" t="s">
        <v>46</v>
      </c>
      <c r="E906">
        <v>38</v>
      </c>
      <c r="F906" t="s">
        <v>495</v>
      </c>
      <c r="G906" t="s">
        <v>1130</v>
      </c>
      <c r="I906" s="1" t="d">
        <v>2009-05-22</v>
      </c>
      <c r="J906" t="s">
        <v>1333</v>
      </c>
      <c r="K906" s="17" t="s">
        <v>50</v>
      </c>
      <c r="L906">
        <v>5</v>
      </c>
    </row>
    <row r="907" spans="1:12" x14ac:dyDescent="0.25">
      <c r="A907" t="s">
        <v>2764</v>
      </c>
      <c r="B907" t="s">
        <v>841</v>
      </c>
      <c r="C907" t="s">
        <v>152</v>
      </c>
      <c r="D907" t="s">
        <v>9527</v>
      </c>
      <c r="E907">
        <v>29</v>
      </c>
      <c r="F907" t="s">
        <v>31</v>
      </c>
      <c r="G907" t="s">
        <v>337</v>
      </c>
      <c r="H907" t="s">
        <v>2765</v>
      </c>
      <c r="I907" s="1" t="d">
        <v>2011-01-29</v>
      </c>
      <c r="J907" t="s">
        <v>2766</v>
      </c>
      <c r="K907" s="17" t="s">
        <v>184</v>
      </c>
      <c r="L907">
        <v>3</v>
      </c>
    </row>
    <row r="908" spans="1:12" x14ac:dyDescent="0.25">
      <c r="A908" t="s">
        <v>2767</v>
      </c>
      <c r="B908" t="s">
        <v>251</v>
      </c>
      <c r="C908" t="s">
        <v>2768</v>
      </c>
      <c r="D908" t="s">
        <v>23</v>
      </c>
      <c r="E908">
        <v>34</v>
      </c>
      <c r="F908" t="s">
        <v>153</v>
      </c>
      <c r="G908" t="s">
        <v>217</v>
      </c>
      <c r="H908">
        <v>122551</v>
      </c>
      <c r="I908" s="1" t="d">
        <v>2009-06-15</v>
      </c>
      <c r="J908" t="s">
        <v>2769</v>
      </c>
      <c r="K908" s="17" t="s">
        <v>27</v>
      </c>
      <c r="L908">
        <v>4</v>
      </c>
    </row>
    <row r="909" spans="1:12" x14ac:dyDescent="0.25">
      <c r="A909" t="s">
        <v>2770</v>
      </c>
      <c r="B909" t="s">
        <v>1706</v>
      </c>
      <c r="C909" t="s">
        <v>390</v>
      </c>
      <c r="D909" t="s">
        <v>23</v>
      </c>
      <c r="E909">
        <v>21</v>
      </c>
      <c r="F909" t="s">
        <v>2771</v>
      </c>
      <c r="G909" t="s">
        <v>69</v>
      </c>
      <c r="H909" s="2">
        <v>70612</v>
      </c>
      <c r="I909" s="1" t="d">
        <v>2019-11-06</v>
      </c>
      <c r="J909" t="s">
        <v>2772</v>
      </c>
      <c r="K909" s="17" t="s">
        <v>370</v>
      </c>
      <c r="L909">
        <v>5</v>
      </c>
    </row>
    <row r="910" spans="1:12" x14ac:dyDescent="0.25">
      <c r="A910" t="s">
        <v>2773</v>
      </c>
      <c r="B910" t="s">
        <v>66</v>
      </c>
      <c r="C910" t="s">
        <v>696</v>
      </c>
      <c r="D910" t="s">
        <v>46</v>
      </c>
      <c r="E910">
        <v>21</v>
      </c>
      <c r="F910" t="s">
        <v>559</v>
      </c>
      <c r="G910" t="s">
        <v>212</v>
      </c>
      <c r="H910">
        <v>117873</v>
      </c>
      <c r="I910" s="1" t="d">
        <v>2020-04-25</v>
      </c>
      <c r="J910" t="s">
        <v>1547</v>
      </c>
      <c r="K910" s="17" t="s">
        <v>27</v>
      </c>
      <c r="L910">
        <v>3</v>
      </c>
    </row>
    <row r="911" spans="1:12" x14ac:dyDescent="0.25">
      <c r="A911" t="s">
        <v>2774</v>
      </c>
      <c r="B911" t="s">
        <v>112</v>
      </c>
      <c r="C911" t="s">
        <v>584</v>
      </c>
      <c r="D911" t="s">
        <v>46</v>
      </c>
      <c r="E911">
        <v>32</v>
      </c>
      <c r="F911" t="s">
        <v>104</v>
      </c>
      <c r="G911" t="s">
        <v>191</v>
      </c>
      <c r="H911" t="s">
        <v>2775</v>
      </c>
      <c r="I911" s="1" t="d">
        <v>2011-09-19</v>
      </c>
      <c r="J911" t="s">
        <v>2776</v>
      </c>
      <c r="K911" s="17" t="s">
        <v>34</v>
      </c>
      <c r="L911">
        <v>4</v>
      </c>
    </row>
    <row r="912" spans="1:12" x14ac:dyDescent="0.25">
      <c r="A912" t="s">
        <v>2777</v>
      </c>
      <c r="B912" t="s">
        <v>448</v>
      </c>
      <c r="C912" t="s">
        <v>2778</v>
      </c>
      <c r="D912" t="s">
        <v>23</v>
      </c>
      <c r="E912">
        <v>53</v>
      </c>
      <c r="F912" t="s">
        <v>522</v>
      </c>
      <c r="G912" t="s">
        <v>69</v>
      </c>
      <c r="H912" t="s">
        <v>2779</v>
      </c>
      <c r="I912" s="1" t="d">
        <v>2009-02-15</v>
      </c>
      <c r="J912" t="s">
        <v>2219</v>
      </c>
      <c r="K912" s="17" t="s">
        <v>149</v>
      </c>
      <c r="L912">
        <v>1</v>
      </c>
    </row>
    <row r="913" spans="1:12" x14ac:dyDescent="0.25">
      <c r="A913" t="s">
        <v>2780</v>
      </c>
      <c r="B913" t="s">
        <v>594</v>
      </c>
      <c r="C913" t="s">
        <v>74</v>
      </c>
      <c r="D913" t="s">
        <v>46</v>
      </c>
      <c r="E913">
        <v>22</v>
      </c>
      <c r="F913" t="s">
        <v>319</v>
      </c>
      <c r="G913" t="s">
        <v>55</v>
      </c>
      <c r="H913">
        <v>54230</v>
      </c>
      <c r="I913" s="1" t="d">
        <v>2006-08-26</v>
      </c>
      <c r="J913" t="s">
        <v>2781</v>
      </c>
      <c r="K913" s="17" t="s">
        <v>71</v>
      </c>
      <c r="L913">
        <v>5</v>
      </c>
    </row>
    <row r="914" spans="1:12" x14ac:dyDescent="0.25">
      <c r="A914" t="s">
        <v>2782</v>
      </c>
      <c r="B914" t="s">
        <v>931</v>
      </c>
      <c r="C914" t="s">
        <v>103</v>
      </c>
      <c r="D914" t="s">
        <v>9527</v>
      </c>
      <c r="E914">
        <v>27</v>
      </c>
      <c r="F914" t="s">
        <v>2700</v>
      </c>
      <c r="G914" t="s">
        <v>48</v>
      </c>
      <c r="H914" t="s">
        <v>2783</v>
      </c>
      <c r="I914" s="1" t="d">
        <v>2019-01-15</v>
      </c>
      <c r="J914" t="s">
        <v>2784</v>
      </c>
      <c r="K914" s="17" t="s">
        <v>207</v>
      </c>
      <c r="L914">
        <v>4</v>
      </c>
    </row>
    <row r="915" spans="1:12" x14ac:dyDescent="0.25">
      <c r="A915" t="s">
        <v>2785</v>
      </c>
      <c r="B915" t="s">
        <v>2697</v>
      </c>
      <c r="C915" t="s">
        <v>107</v>
      </c>
      <c r="D915" t="s">
        <v>9527</v>
      </c>
      <c r="E915">
        <v>34</v>
      </c>
      <c r="G915" t="s">
        <v>1117</v>
      </c>
      <c r="H915">
        <v>131324</v>
      </c>
      <c r="I915" s="1" t="d">
        <v>2015-01-10</v>
      </c>
      <c r="J915" t="s">
        <v>2786</v>
      </c>
      <c r="K915" s="17" t="s">
        <v>42</v>
      </c>
      <c r="L915">
        <v>4</v>
      </c>
    </row>
    <row r="916" spans="1:12" x14ac:dyDescent="0.25">
      <c r="A916" t="s">
        <v>2130</v>
      </c>
      <c r="B916" t="s">
        <v>340</v>
      </c>
      <c r="C916" t="s">
        <v>1146</v>
      </c>
      <c r="D916" t="s">
        <v>23</v>
      </c>
      <c r="E916">
        <v>49</v>
      </c>
      <c r="G916" t="s">
        <v>288</v>
      </c>
      <c r="H916" s="2">
        <v>45258</v>
      </c>
      <c r="I916" s="1" t="d">
        <v>2021-02-27</v>
      </c>
      <c r="J916" t="s">
        <v>2131</v>
      </c>
      <c r="K916" s="17" t="s">
        <v>207</v>
      </c>
      <c r="L916">
        <v>3</v>
      </c>
    </row>
    <row r="917" spans="1:12" x14ac:dyDescent="0.25">
      <c r="A917" t="s">
        <v>2787</v>
      </c>
      <c r="B917" t="s">
        <v>52</v>
      </c>
      <c r="C917" t="s">
        <v>1055</v>
      </c>
      <c r="D917" t="s">
        <v>9527</v>
      </c>
      <c r="E917">
        <v>32</v>
      </c>
      <c r="F917" t="s">
        <v>108</v>
      </c>
      <c r="G917" t="s">
        <v>967</v>
      </c>
      <c r="I917" s="1" t="d">
        <v>2022-10-04</v>
      </c>
      <c r="J917" t="s">
        <v>1625</v>
      </c>
      <c r="K917" s="17" t="s">
        <v>34</v>
      </c>
      <c r="L917">
        <v>2</v>
      </c>
    </row>
    <row r="918" spans="1:12" x14ac:dyDescent="0.25">
      <c r="A918" t="s">
        <v>2788</v>
      </c>
      <c r="B918" t="s">
        <v>1689</v>
      </c>
      <c r="C918" t="s">
        <v>140</v>
      </c>
      <c r="D918" t="s">
        <v>46</v>
      </c>
      <c r="E918">
        <v>40</v>
      </c>
      <c r="F918" t="s">
        <v>373</v>
      </c>
      <c r="G918" t="s">
        <v>217</v>
      </c>
      <c r="H918" t="s">
        <v>2789</v>
      </c>
      <c r="I918" s="1" t="d">
        <v>2017-01-11</v>
      </c>
      <c r="J918" t="s">
        <v>1037</v>
      </c>
      <c r="K918" s="17" t="s">
        <v>90</v>
      </c>
      <c r="L918">
        <v>3</v>
      </c>
    </row>
    <row r="919" spans="1:12" x14ac:dyDescent="0.25">
      <c r="A919" t="s">
        <v>2362</v>
      </c>
      <c r="B919" t="s">
        <v>102</v>
      </c>
      <c r="C919" t="s">
        <v>961</v>
      </c>
      <c r="D919" t="s">
        <v>9527</v>
      </c>
      <c r="E919">
        <v>44</v>
      </c>
      <c r="F919" t="s">
        <v>589</v>
      </c>
      <c r="G919" t="s">
        <v>217</v>
      </c>
      <c r="I919" s="1" t="d">
        <v>2019-10-28</v>
      </c>
      <c r="J919" t="s">
        <v>2363</v>
      </c>
      <c r="K919" s="17" t="s">
        <v>34</v>
      </c>
      <c r="L919">
        <v>4</v>
      </c>
    </row>
    <row r="920" spans="1:12" x14ac:dyDescent="0.25">
      <c r="A920" t="s">
        <v>2790</v>
      </c>
      <c r="B920" t="s">
        <v>786</v>
      </c>
      <c r="C920" t="s">
        <v>263</v>
      </c>
      <c r="D920" t="s">
        <v>46</v>
      </c>
      <c r="E920">
        <v>34</v>
      </c>
      <c r="F920" t="s">
        <v>350</v>
      </c>
      <c r="G920" t="s">
        <v>191</v>
      </c>
      <c r="H920" t="s">
        <v>2791</v>
      </c>
      <c r="I920" s="1" t="d">
        <v>2006-05-13</v>
      </c>
      <c r="J920" t="s">
        <v>2792</v>
      </c>
      <c r="K920" s="17" t="s">
        <v>58</v>
      </c>
      <c r="L920">
        <v>5</v>
      </c>
    </row>
    <row r="921" spans="1:12" x14ac:dyDescent="0.25">
      <c r="A921" t="s">
        <v>2793</v>
      </c>
      <c r="B921" t="s">
        <v>659</v>
      </c>
      <c r="C921" t="s">
        <v>168</v>
      </c>
      <c r="D921" t="s">
        <v>46</v>
      </c>
      <c r="E921">
        <v>56</v>
      </c>
      <c r="F921" t="s">
        <v>15</v>
      </c>
      <c r="G921" t="s">
        <v>39</v>
      </c>
      <c r="H921" t="s">
        <v>2794</v>
      </c>
      <c r="I921" s="1" t="d">
        <v>2021-09-23</v>
      </c>
      <c r="J921" t="s">
        <v>2795</v>
      </c>
      <c r="K921" s="17" t="s">
        <v>370</v>
      </c>
      <c r="L921">
        <v>3</v>
      </c>
    </row>
    <row r="922" spans="1:12" x14ac:dyDescent="0.25">
      <c r="A922" t="s">
        <v>2796</v>
      </c>
      <c r="B922" t="s">
        <v>965</v>
      </c>
      <c r="C922" t="s">
        <v>572</v>
      </c>
      <c r="D922" t="s">
        <v>46</v>
      </c>
      <c r="E922">
        <v>36</v>
      </c>
      <c r="F922" t="s">
        <v>47</v>
      </c>
      <c r="G922" t="s">
        <v>357</v>
      </c>
      <c r="H922">
        <v>81179</v>
      </c>
      <c r="I922" s="1" t="d">
        <v>2013-12-13</v>
      </c>
      <c r="J922" t="s">
        <v>1469</v>
      </c>
      <c r="K922" s="17" t="s">
        <v>149</v>
      </c>
      <c r="L922">
        <v>3</v>
      </c>
    </row>
    <row r="923" spans="1:12" x14ac:dyDescent="0.25">
      <c r="A923" t="s">
        <v>2797</v>
      </c>
      <c r="B923" t="s">
        <v>1787</v>
      </c>
      <c r="C923" t="s">
        <v>189</v>
      </c>
      <c r="D923" t="s">
        <v>23</v>
      </c>
      <c r="E923">
        <v>50</v>
      </c>
      <c r="F923" t="s">
        <v>406</v>
      </c>
      <c r="G923" t="s">
        <v>39</v>
      </c>
      <c r="H923" t="s">
        <v>2798</v>
      </c>
      <c r="I923" s="1" t="d">
        <v>2012-12-13</v>
      </c>
      <c r="J923" t="s">
        <v>2405</v>
      </c>
      <c r="K923" s="17" t="s">
        <v>207</v>
      </c>
      <c r="L923">
        <v>3</v>
      </c>
    </row>
    <row r="924" spans="1:12" x14ac:dyDescent="0.25">
      <c r="A924" t="s">
        <v>2799</v>
      </c>
      <c r="B924" t="s">
        <v>2800</v>
      </c>
      <c r="C924" t="s">
        <v>291</v>
      </c>
      <c r="D924" t="s">
        <v>9527</v>
      </c>
      <c r="E924">
        <v>29</v>
      </c>
      <c r="G924" t="s">
        <v>191</v>
      </c>
      <c r="H924" t="s">
        <v>2801</v>
      </c>
      <c r="I924" s="1" t="d">
        <v>2014-09-24</v>
      </c>
      <c r="J924" t="s">
        <v>2285</v>
      </c>
      <c r="K924" s="17" t="s">
        <v>34</v>
      </c>
      <c r="L924">
        <v>4</v>
      </c>
    </row>
    <row r="925" spans="1:12" x14ac:dyDescent="0.25">
      <c r="A925" t="s">
        <v>2802</v>
      </c>
      <c r="B925" t="s">
        <v>664</v>
      </c>
      <c r="C925" t="s">
        <v>67</v>
      </c>
      <c r="D925" t="s">
        <v>9527</v>
      </c>
      <c r="E925">
        <v>51</v>
      </c>
      <c r="F925" t="s">
        <v>216</v>
      </c>
      <c r="G925" t="s">
        <v>351</v>
      </c>
      <c r="I925" s="1" t="d">
        <v>2007-01-12</v>
      </c>
      <c r="J925" t="s">
        <v>2803</v>
      </c>
      <c r="K925" s="17" t="s">
        <v>207</v>
      </c>
      <c r="L925">
        <v>4</v>
      </c>
    </row>
    <row r="926" spans="1:12" x14ac:dyDescent="0.25">
      <c r="A926" t="s">
        <v>2804</v>
      </c>
      <c r="B926" t="s">
        <v>1241</v>
      </c>
      <c r="C926" t="s">
        <v>766</v>
      </c>
      <c r="D926" t="s">
        <v>23</v>
      </c>
      <c r="E926">
        <v>26</v>
      </c>
      <c r="F926" t="s">
        <v>373</v>
      </c>
      <c r="G926" t="s">
        <v>842</v>
      </c>
      <c r="H926" t="s">
        <v>2805</v>
      </c>
      <c r="I926" s="1" t="d">
        <v>2008-07-23</v>
      </c>
      <c r="J926" t="s">
        <v>2806</v>
      </c>
      <c r="K926" s="17" t="s">
        <v>71</v>
      </c>
      <c r="L926">
        <v>3</v>
      </c>
    </row>
    <row r="927" spans="1:12" x14ac:dyDescent="0.25">
      <c r="A927" t="s">
        <v>2807</v>
      </c>
      <c r="B927" t="s">
        <v>945</v>
      </c>
      <c r="C927" t="s">
        <v>1608</v>
      </c>
      <c r="D927" t="s">
        <v>23</v>
      </c>
      <c r="E927">
        <v>35</v>
      </c>
      <c r="F927" t="s">
        <v>24</v>
      </c>
      <c r="G927" t="s">
        <v>39</v>
      </c>
      <c r="H927" t="s">
        <v>2808</v>
      </c>
      <c r="I927" s="1" t="d">
        <v>2005-02-26</v>
      </c>
      <c r="J927" t="s">
        <v>2809</v>
      </c>
      <c r="K927" s="17" t="s">
        <v>58</v>
      </c>
      <c r="L927">
        <v>3</v>
      </c>
    </row>
    <row r="928" spans="1:12" x14ac:dyDescent="0.25">
      <c r="A928" t="s">
        <v>2810</v>
      </c>
      <c r="B928" t="s">
        <v>2811</v>
      </c>
      <c r="C928" t="s">
        <v>152</v>
      </c>
      <c r="D928" t="s">
        <v>9527</v>
      </c>
      <c r="E928">
        <v>49</v>
      </c>
      <c r="F928" t="s">
        <v>589</v>
      </c>
      <c r="G928" t="s">
        <v>39</v>
      </c>
      <c r="H928" s="2">
        <v>53750</v>
      </c>
      <c r="I928" s="1" t="d">
        <v>2008-12-10</v>
      </c>
      <c r="J928" t="s">
        <v>2812</v>
      </c>
      <c r="K928" s="17" t="s">
        <v>118</v>
      </c>
      <c r="L928">
        <v>4</v>
      </c>
    </row>
    <row r="929" spans="1:12" x14ac:dyDescent="0.25">
      <c r="A929" t="s">
        <v>2813</v>
      </c>
      <c r="B929" t="s">
        <v>2272</v>
      </c>
      <c r="C929" t="s">
        <v>395</v>
      </c>
      <c r="D929" t="s">
        <v>23</v>
      </c>
      <c r="E929">
        <v>45</v>
      </c>
      <c r="G929" t="s">
        <v>191</v>
      </c>
      <c r="H929" t="s">
        <v>2814</v>
      </c>
      <c r="I929" s="1" t="d">
        <v>2016-02-01</v>
      </c>
      <c r="J929" t="s">
        <v>2815</v>
      </c>
      <c r="K929" s="17" t="s">
        <v>19</v>
      </c>
      <c r="L929">
        <v>4</v>
      </c>
    </row>
    <row r="930" spans="1:12" x14ac:dyDescent="0.25">
      <c r="A930" t="s">
        <v>2816</v>
      </c>
      <c r="B930" t="s">
        <v>1784</v>
      </c>
      <c r="C930" t="s">
        <v>2817</v>
      </c>
      <c r="D930" t="s">
        <v>23</v>
      </c>
      <c r="E930">
        <v>24</v>
      </c>
      <c r="F930" t="s">
        <v>859</v>
      </c>
      <c r="G930" t="s">
        <v>182</v>
      </c>
      <c r="H930" t="s">
        <v>2818</v>
      </c>
      <c r="I930" s="1" t="d">
        <v>2020-09-13</v>
      </c>
      <c r="J930" t="s">
        <v>362</v>
      </c>
      <c r="K930" s="17" t="s">
        <v>370</v>
      </c>
      <c r="L930">
        <v>5</v>
      </c>
    </row>
    <row r="931" spans="1:12" x14ac:dyDescent="0.25">
      <c r="A931" t="s">
        <v>2819</v>
      </c>
      <c r="B931" t="s">
        <v>482</v>
      </c>
      <c r="C931" t="s">
        <v>729</v>
      </c>
      <c r="D931" t="s">
        <v>23</v>
      </c>
      <c r="E931">
        <v>35</v>
      </c>
      <c r="F931" t="s">
        <v>2820</v>
      </c>
      <c r="G931" t="s">
        <v>82</v>
      </c>
      <c r="H931" t="s">
        <v>2821</v>
      </c>
      <c r="I931" s="1" t="d">
        <v>2008-05-01</v>
      </c>
      <c r="J931" t="s">
        <v>2822</v>
      </c>
      <c r="K931" s="17" t="s">
        <v>90</v>
      </c>
      <c r="L931">
        <v>4</v>
      </c>
    </row>
    <row r="932" spans="1:12" x14ac:dyDescent="0.25">
      <c r="A932" t="s">
        <v>2823</v>
      </c>
      <c r="B932" t="s">
        <v>1784</v>
      </c>
      <c r="C932" t="s">
        <v>552</v>
      </c>
      <c r="D932" t="s">
        <v>46</v>
      </c>
      <c r="E932">
        <v>34</v>
      </c>
      <c r="F932" t="s">
        <v>68</v>
      </c>
      <c r="G932" t="s">
        <v>191</v>
      </c>
      <c r="H932">
        <v>78080</v>
      </c>
      <c r="I932" s="1" t="d">
        <v>2010-06-22</v>
      </c>
      <c r="J932" t="s">
        <v>1139</v>
      </c>
      <c r="K932" s="17" t="s">
        <v>34</v>
      </c>
      <c r="L932">
        <v>4</v>
      </c>
    </row>
    <row r="933" spans="1:12" x14ac:dyDescent="0.25">
      <c r="A933" t="s">
        <v>2824</v>
      </c>
      <c r="B933" t="s">
        <v>2825</v>
      </c>
      <c r="C933" t="s">
        <v>869</v>
      </c>
      <c r="D933" t="s">
        <v>46</v>
      </c>
      <c r="E933">
        <v>47</v>
      </c>
      <c r="F933" t="s">
        <v>411</v>
      </c>
      <c r="G933" t="s">
        <v>191</v>
      </c>
      <c r="H933" s="2">
        <v>50433</v>
      </c>
      <c r="I933" s="1" t="d">
        <v>2006-12-04</v>
      </c>
      <c r="J933" t="s">
        <v>2826</v>
      </c>
      <c r="K933" s="17" t="s">
        <v>90</v>
      </c>
      <c r="L933">
        <v>3</v>
      </c>
    </row>
    <row r="934" spans="1:12" x14ac:dyDescent="0.25">
      <c r="A934" t="s">
        <v>2827</v>
      </c>
      <c r="B934" t="s">
        <v>102</v>
      </c>
      <c r="C934" t="s">
        <v>158</v>
      </c>
      <c r="D934" t="s">
        <v>9527</v>
      </c>
      <c r="E934">
        <v>31</v>
      </c>
      <c r="G934" t="s">
        <v>95</v>
      </c>
      <c r="H934">
        <v>69464</v>
      </c>
      <c r="I934" s="1" t="d">
        <v>2008-11-12</v>
      </c>
      <c r="J934" t="s">
        <v>160</v>
      </c>
      <c r="K934" s="17" t="s">
        <v>100</v>
      </c>
      <c r="L934">
        <v>5</v>
      </c>
    </row>
    <row r="935" spans="1:12" x14ac:dyDescent="0.25">
      <c r="A935" t="s">
        <v>2828</v>
      </c>
      <c r="B935" t="s">
        <v>294</v>
      </c>
      <c r="C935" t="s">
        <v>790</v>
      </c>
      <c r="D935" t="s">
        <v>23</v>
      </c>
      <c r="E935">
        <v>25</v>
      </c>
      <c r="F935" t="s">
        <v>190</v>
      </c>
      <c r="G935" t="s">
        <v>170</v>
      </c>
      <c r="H935">
        <v>55853</v>
      </c>
      <c r="I935" s="1" t="d">
        <v>2022-05-10</v>
      </c>
      <c r="J935" t="s">
        <v>2829</v>
      </c>
      <c r="K935" s="17" t="s">
        <v>90</v>
      </c>
      <c r="L935">
        <v>5</v>
      </c>
    </row>
    <row r="936" spans="1:12" x14ac:dyDescent="0.25">
      <c r="A936" t="s">
        <v>2830</v>
      </c>
      <c r="B936" t="s">
        <v>120</v>
      </c>
      <c r="C936" t="s">
        <v>847</v>
      </c>
      <c r="D936" t="s">
        <v>46</v>
      </c>
      <c r="E936">
        <v>31</v>
      </c>
      <c r="F936" t="s">
        <v>2604</v>
      </c>
      <c r="G936" t="s">
        <v>16</v>
      </c>
      <c r="H936" t="s">
        <v>2831</v>
      </c>
      <c r="I936" s="1" t="d">
        <v>2013-10-27</v>
      </c>
      <c r="J936" t="s">
        <v>2832</v>
      </c>
      <c r="K936" s="17" t="s">
        <v>50</v>
      </c>
      <c r="L936">
        <v>3</v>
      </c>
    </row>
    <row r="937" spans="1:12" x14ac:dyDescent="0.25">
      <c r="A937" t="s">
        <v>2833</v>
      </c>
      <c r="B937" t="s">
        <v>180</v>
      </c>
      <c r="C937" t="s">
        <v>332</v>
      </c>
      <c r="D937" t="s">
        <v>9527</v>
      </c>
      <c r="E937">
        <v>25</v>
      </c>
      <c r="G937" t="s">
        <v>39</v>
      </c>
      <c r="I937" s="1" t="d">
        <v>2005-03-25</v>
      </c>
      <c r="J937" t="s">
        <v>934</v>
      </c>
      <c r="K937" s="17" t="s">
        <v>184</v>
      </c>
      <c r="L937">
        <v>5</v>
      </c>
    </row>
    <row r="938" spans="1:12" x14ac:dyDescent="0.25">
      <c r="A938" t="s">
        <v>2834</v>
      </c>
      <c r="B938" t="s">
        <v>2835</v>
      </c>
      <c r="C938" t="s">
        <v>665</v>
      </c>
      <c r="D938" t="s">
        <v>23</v>
      </c>
      <c r="E938">
        <v>33</v>
      </c>
      <c r="F938" t="s">
        <v>62</v>
      </c>
      <c r="G938" t="s">
        <v>82</v>
      </c>
      <c r="H938" s="2">
        <v>64599</v>
      </c>
      <c r="I938" s="1" t="d">
        <v>2016-06-19</v>
      </c>
      <c r="J938" t="s">
        <v>1144</v>
      </c>
      <c r="K938" s="17" t="s">
        <v>58</v>
      </c>
      <c r="L938">
        <v>4</v>
      </c>
    </row>
    <row r="939" spans="1:12" x14ac:dyDescent="0.25">
      <c r="A939" t="s">
        <v>2836</v>
      </c>
      <c r="B939" t="s">
        <v>507</v>
      </c>
      <c r="C939" t="s">
        <v>2837</v>
      </c>
      <c r="D939" t="s">
        <v>23</v>
      </c>
      <c r="E939">
        <v>38</v>
      </c>
      <c r="F939" t="s">
        <v>1116</v>
      </c>
      <c r="G939" t="s">
        <v>82</v>
      </c>
      <c r="H939" s="2">
        <v>64107</v>
      </c>
      <c r="I939" s="1" t="d">
        <v>2014-06-28</v>
      </c>
      <c r="J939" t="s">
        <v>2838</v>
      </c>
      <c r="K939" s="17" t="s">
        <v>90</v>
      </c>
      <c r="L939">
        <v>4</v>
      </c>
    </row>
    <row r="940" spans="1:12" x14ac:dyDescent="0.25">
      <c r="A940" t="s">
        <v>2839</v>
      </c>
      <c r="B940" t="s">
        <v>221</v>
      </c>
      <c r="C940" t="s">
        <v>252</v>
      </c>
      <c r="D940" t="s">
        <v>23</v>
      </c>
      <c r="E940">
        <v>34</v>
      </c>
      <c r="F940" t="s">
        <v>649</v>
      </c>
      <c r="G940" t="s">
        <v>407</v>
      </c>
      <c r="H940" s="2">
        <v>188245</v>
      </c>
      <c r="I940" s="1" t="d">
        <v>2022-01-20</v>
      </c>
      <c r="J940" t="s">
        <v>578</v>
      </c>
      <c r="K940" s="17" t="s">
        <v>100</v>
      </c>
      <c r="L940">
        <v>4</v>
      </c>
    </row>
    <row r="941" spans="1:12" x14ac:dyDescent="0.25">
      <c r="A941" t="s">
        <v>2840</v>
      </c>
      <c r="B941" t="s">
        <v>120</v>
      </c>
      <c r="C941" t="s">
        <v>2249</v>
      </c>
      <c r="D941" t="s">
        <v>9527</v>
      </c>
      <c r="E941">
        <v>44</v>
      </c>
      <c r="F941" t="s">
        <v>62</v>
      </c>
      <c r="G941" t="s">
        <v>131</v>
      </c>
      <c r="I941" s="1" t="d">
        <v>2009-11-26</v>
      </c>
      <c r="J941" t="s">
        <v>2841</v>
      </c>
      <c r="K941" s="17" t="s">
        <v>207</v>
      </c>
      <c r="L941">
        <v>2</v>
      </c>
    </row>
    <row r="942" spans="1:12" x14ac:dyDescent="0.25">
      <c r="A942" t="s">
        <v>2842</v>
      </c>
      <c r="B942" t="s">
        <v>221</v>
      </c>
      <c r="C942" t="s">
        <v>488</v>
      </c>
      <c r="D942" t="s">
        <v>46</v>
      </c>
      <c r="E942">
        <v>46</v>
      </c>
      <c r="F942" t="s">
        <v>211</v>
      </c>
      <c r="G942" t="s">
        <v>48</v>
      </c>
      <c r="H942" t="s">
        <v>2843</v>
      </c>
      <c r="J942" t="s">
        <v>1995</v>
      </c>
      <c r="K942" s="17" t="s">
        <v>370</v>
      </c>
      <c r="L942">
        <v>3</v>
      </c>
    </row>
    <row r="943" spans="1:12" x14ac:dyDescent="0.25">
      <c r="A943" t="s">
        <v>2844</v>
      </c>
      <c r="B943" t="s">
        <v>914</v>
      </c>
      <c r="C943" t="s">
        <v>474</v>
      </c>
      <c r="D943" t="s">
        <v>46</v>
      </c>
      <c r="E943">
        <v>30</v>
      </c>
      <c r="G943" t="s">
        <v>177</v>
      </c>
      <c r="H943" s="2">
        <v>44064</v>
      </c>
      <c r="I943" s="1" t="d">
        <v>2020-02-04</v>
      </c>
      <c r="J943" t="s">
        <v>2845</v>
      </c>
      <c r="K943" s="17" t="s">
        <v>50</v>
      </c>
      <c r="L943">
        <v>3</v>
      </c>
    </row>
    <row r="944" spans="1:12" x14ac:dyDescent="0.25">
      <c r="A944" t="s">
        <v>2846</v>
      </c>
      <c r="B944" t="s">
        <v>2847</v>
      </c>
      <c r="C944" t="s">
        <v>2023</v>
      </c>
      <c r="D944" t="s">
        <v>23</v>
      </c>
      <c r="E944">
        <v>41</v>
      </c>
      <c r="F944" t="s">
        <v>399</v>
      </c>
      <c r="G944" t="s">
        <v>217</v>
      </c>
      <c r="H944" t="s">
        <v>2848</v>
      </c>
      <c r="I944" s="1" t="d">
        <v>2013-04-14</v>
      </c>
      <c r="J944" t="s">
        <v>2849</v>
      </c>
      <c r="K944" s="17" t="s">
        <v>100</v>
      </c>
      <c r="L944">
        <v>4</v>
      </c>
    </row>
    <row r="945" spans="1:12" x14ac:dyDescent="0.25">
      <c r="A945" t="s">
        <v>2850</v>
      </c>
      <c r="B945" t="s">
        <v>1213</v>
      </c>
      <c r="C945" t="s">
        <v>2391</v>
      </c>
      <c r="D945" t="s">
        <v>23</v>
      </c>
      <c r="E945">
        <v>53</v>
      </c>
      <c r="F945" t="s">
        <v>169</v>
      </c>
      <c r="G945" t="s">
        <v>159</v>
      </c>
      <c r="H945" t="s">
        <v>2851</v>
      </c>
      <c r="I945" s="1" t="d">
        <v>2023-09-03</v>
      </c>
      <c r="J945" t="s">
        <v>400</v>
      </c>
      <c r="K945" s="17" t="s">
        <v>42</v>
      </c>
      <c r="L945">
        <v>4</v>
      </c>
    </row>
    <row r="946" spans="1:12" x14ac:dyDescent="0.25">
      <c r="A946" t="s">
        <v>2852</v>
      </c>
      <c r="B946" t="s">
        <v>507</v>
      </c>
      <c r="C946" t="s">
        <v>599</v>
      </c>
      <c r="D946" t="s">
        <v>46</v>
      </c>
      <c r="E946">
        <v>52</v>
      </c>
      <c r="F946" t="s">
        <v>54</v>
      </c>
      <c r="G946" t="s">
        <v>170</v>
      </c>
      <c r="H946" t="s">
        <v>2648</v>
      </c>
      <c r="I946" s="1" t="d">
        <v>2011-11-04</v>
      </c>
      <c r="J946" t="s">
        <v>2853</v>
      </c>
      <c r="K946" s="17" t="s">
        <v>19</v>
      </c>
      <c r="L946">
        <v>3</v>
      </c>
    </row>
    <row r="947" spans="1:12" x14ac:dyDescent="0.25">
      <c r="A947" t="s">
        <v>2854</v>
      </c>
      <c r="B947" t="s">
        <v>355</v>
      </c>
      <c r="C947" t="s">
        <v>386</v>
      </c>
      <c r="D947" t="s">
        <v>46</v>
      </c>
      <c r="E947">
        <v>35</v>
      </c>
      <c r="F947" t="s">
        <v>356</v>
      </c>
      <c r="G947" t="s">
        <v>191</v>
      </c>
      <c r="H947">
        <v>90921</v>
      </c>
      <c r="I947" s="1" t="d">
        <v>2013-08-25</v>
      </c>
      <c r="J947" t="s">
        <v>1613</v>
      </c>
      <c r="K947" s="17" t="s">
        <v>71</v>
      </c>
      <c r="L947">
        <v>4</v>
      </c>
    </row>
    <row r="948" spans="1:12" x14ac:dyDescent="0.25">
      <c r="A948" t="s">
        <v>2855</v>
      </c>
      <c r="B948" t="s">
        <v>2856</v>
      </c>
      <c r="C948" t="s">
        <v>699</v>
      </c>
      <c r="D948" t="s">
        <v>9527</v>
      </c>
      <c r="E948">
        <v>39</v>
      </c>
      <c r="F948" t="s">
        <v>126</v>
      </c>
      <c r="G948" t="s">
        <v>69</v>
      </c>
      <c r="I948" s="1" t="d">
        <v>2022-04-24</v>
      </c>
      <c r="J948" t="s">
        <v>2857</v>
      </c>
      <c r="K948" s="17" t="s">
        <v>370</v>
      </c>
      <c r="L948">
        <v>3</v>
      </c>
    </row>
    <row r="949" spans="1:12" x14ac:dyDescent="0.25">
      <c r="A949" t="s">
        <v>1339</v>
      </c>
      <c r="B949" t="s">
        <v>637</v>
      </c>
      <c r="C949" t="s">
        <v>599</v>
      </c>
      <c r="D949" t="s">
        <v>46</v>
      </c>
      <c r="E949">
        <v>27</v>
      </c>
      <c r="F949" t="s">
        <v>974</v>
      </c>
      <c r="G949" t="s">
        <v>278</v>
      </c>
      <c r="I949" s="1" t="d">
        <v>2006-10-17</v>
      </c>
      <c r="J949" t="s">
        <v>1340</v>
      </c>
      <c r="K949" s="17" t="s">
        <v>100</v>
      </c>
      <c r="L949">
        <v>4</v>
      </c>
    </row>
    <row r="950" spans="1:12" x14ac:dyDescent="0.25">
      <c r="A950" t="s">
        <v>2858</v>
      </c>
      <c r="B950" t="s">
        <v>355</v>
      </c>
      <c r="C950" t="s">
        <v>210</v>
      </c>
      <c r="D950" t="s">
        <v>23</v>
      </c>
      <c r="E950">
        <v>41</v>
      </c>
      <c r="G950" t="s">
        <v>55</v>
      </c>
      <c r="H950" s="2">
        <v>53305</v>
      </c>
      <c r="I950" s="1" t="d">
        <v>2019-01-06</v>
      </c>
      <c r="J950" t="s">
        <v>909</v>
      </c>
      <c r="K950" s="17" t="s">
        <v>118</v>
      </c>
      <c r="L950">
        <v>3</v>
      </c>
    </row>
    <row r="951" spans="1:12" x14ac:dyDescent="0.25">
      <c r="A951" t="s">
        <v>2859</v>
      </c>
      <c r="B951" t="s">
        <v>841</v>
      </c>
      <c r="C951" t="s">
        <v>2860</v>
      </c>
      <c r="D951" t="s">
        <v>23</v>
      </c>
      <c r="E951">
        <v>35</v>
      </c>
      <c r="F951" t="s">
        <v>350</v>
      </c>
      <c r="G951" t="s">
        <v>177</v>
      </c>
      <c r="H951" t="s">
        <v>2861</v>
      </c>
      <c r="I951" s="1" t="d">
        <v>2005-10-27</v>
      </c>
      <c r="J951" t="s">
        <v>2862</v>
      </c>
      <c r="K951" s="17" t="s">
        <v>50</v>
      </c>
      <c r="L951">
        <v>1</v>
      </c>
    </row>
    <row r="952" spans="1:12" x14ac:dyDescent="0.25">
      <c r="A952" t="s">
        <v>2863</v>
      </c>
      <c r="B952" t="s">
        <v>112</v>
      </c>
      <c r="C952" t="s">
        <v>332</v>
      </c>
      <c r="D952" t="s">
        <v>23</v>
      </c>
      <c r="E952">
        <v>22</v>
      </c>
      <c r="F952" t="s">
        <v>532</v>
      </c>
      <c r="G952" t="s">
        <v>842</v>
      </c>
      <c r="I952" s="1" t="d">
        <v>2014-07-18</v>
      </c>
      <c r="J952" t="s">
        <v>2864</v>
      </c>
      <c r="K952" s="17" t="s">
        <v>71</v>
      </c>
      <c r="L952">
        <v>4</v>
      </c>
    </row>
    <row r="953" spans="1:12" x14ac:dyDescent="0.25">
      <c r="A953" t="s">
        <v>1457</v>
      </c>
      <c r="B953" t="s">
        <v>906</v>
      </c>
      <c r="C953" t="s">
        <v>1234</v>
      </c>
      <c r="D953" t="s">
        <v>46</v>
      </c>
      <c r="E953">
        <v>53</v>
      </c>
      <c r="F953" t="s">
        <v>1458</v>
      </c>
      <c r="G953" t="s">
        <v>170</v>
      </c>
      <c r="H953" s="2">
        <v>44095</v>
      </c>
      <c r="I953" s="1" t="d">
        <v>2024-12-28</v>
      </c>
      <c r="J953" t="s">
        <v>909</v>
      </c>
      <c r="K953" s="17" t="s">
        <v>207</v>
      </c>
      <c r="L953">
        <v>3</v>
      </c>
    </row>
    <row r="954" spans="1:12" x14ac:dyDescent="0.25">
      <c r="A954" t="s">
        <v>2865</v>
      </c>
      <c r="B954" t="s">
        <v>1403</v>
      </c>
      <c r="C954" t="s">
        <v>525</v>
      </c>
      <c r="D954" t="s">
        <v>9527</v>
      </c>
      <c r="E954">
        <v>28</v>
      </c>
      <c r="F954" t="s">
        <v>522</v>
      </c>
      <c r="G954" t="s">
        <v>16</v>
      </c>
      <c r="I954" s="1" t="d">
        <v>2017-04-05</v>
      </c>
      <c r="J954" t="s">
        <v>650</v>
      </c>
      <c r="K954" s="17" t="s">
        <v>370</v>
      </c>
      <c r="L954">
        <v>2</v>
      </c>
    </row>
    <row r="955" spans="1:12" x14ac:dyDescent="0.25">
      <c r="A955" t="s">
        <v>2866</v>
      </c>
      <c r="B955" t="s">
        <v>507</v>
      </c>
      <c r="C955" t="s">
        <v>135</v>
      </c>
      <c r="D955" t="s">
        <v>46</v>
      </c>
      <c r="E955">
        <v>41</v>
      </c>
      <c r="F955" t="s">
        <v>196</v>
      </c>
      <c r="G955" t="s">
        <v>337</v>
      </c>
      <c r="H955" t="s">
        <v>2867</v>
      </c>
      <c r="I955" s="1" t="d">
        <v>2008-04-13</v>
      </c>
      <c r="J955" t="s">
        <v>798</v>
      </c>
      <c r="K955" s="17" t="s">
        <v>118</v>
      </c>
      <c r="L955">
        <v>3</v>
      </c>
    </row>
    <row r="956" spans="1:12" x14ac:dyDescent="0.25">
      <c r="A956" t="s">
        <v>2868</v>
      </c>
      <c r="B956" t="s">
        <v>2147</v>
      </c>
      <c r="C956" t="s">
        <v>195</v>
      </c>
      <c r="D956" t="s">
        <v>9527</v>
      </c>
      <c r="E956">
        <v>46</v>
      </c>
      <c r="G956" t="s">
        <v>55</v>
      </c>
      <c r="H956" s="2">
        <v>87763</v>
      </c>
      <c r="I956" s="1" t="d">
        <v>2024-03-23</v>
      </c>
      <c r="J956" t="s">
        <v>2869</v>
      </c>
      <c r="K956" s="17" t="s">
        <v>50</v>
      </c>
      <c r="L956">
        <v>3</v>
      </c>
    </row>
    <row r="957" spans="1:12" x14ac:dyDescent="0.25">
      <c r="A957" t="s">
        <v>2870</v>
      </c>
      <c r="B957" t="s">
        <v>1241</v>
      </c>
      <c r="C957" t="s">
        <v>766</v>
      </c>
      <c r="D957" t="s">
        <v>46</v>
      </c>
      <c r="E957">
        <v>34</v>
      </c>
      <c r="F957" t="s">
        <v>532</v>
      </c>
      <c r="G957" t="s">
        <v>217</v>
      </c>
      <c r="H957" s="2">
        <v>104391</v>
      </c>
      <c r="I957" s="1" t="d">
        <v>2015-02-26</v>
      </c>
      <c r="J957" t="s">
        <v>2806</v>
      </c>
      <c r="K957" s="17" t="s">
        <v>50</v>
      </c>
      <c r="L957">
        <v>3</v>
      </c>
    </row>
    <row r="958" spans="1:12" x14ac:dyDescent="0.25">
      <c r="A958" t="s">
        <v>2871</v>
      </c>
      <c r="B958" t="s">
        <v>467</v>
      </c>
      <c r="C958" t="s">
        <v>215</v>
      </c>
      <c r="D958" t="s">
        <v>23</v>
      </c>
      <c r="E958">
        <v>36</v>
      </c>
      <c r="F958" t="s">
        <v>24</v>
      </c>
      <c r="G958" t="s">
        <v>39</v>
      </c>
      <c r="H958" t="s">
        <v>2872</v>
      </c>
      <c r="I958" s="1" t="d">
        <v>2017-01-04</v>
      </c>
      <c r="J958" t="s">
        <v>2599</v>
      </c>
      <c r="K958" s="17" t="s">
        <v>149</v>
      </c>
      <c r="L958">
        <v>3</v>
      </c>
    </row>
    <row r="959" spans="1:12" x14ac:dyDescent="0.25">
      <c r="A959" t="s">
        <v>2873</v>
      </c>
      <c r="B959" t="s">
        <v>102</v>
      </c>
      <c r="C959" t="s">
        <v>2874</v>
      </c>
      <c r="D959" t="s">
        <v>9527</v>
      </c>
      <c r="E959">
        <v>39</v>
      </c>
      <c r="F959" t="s">
        <v>62</v>
      </c>
      <c r="G959" t="s">
        <v>39</v>
      </c>
      <c r="H959" t="s">
        <v>2875</v>
      </c>
      <c r="I959" s="1" t="d">
        <v>2021-10-30</v>
      </c>
      <c r="J959" t="s">
        <v>1008</v>
      </c>
      <c r="K959" s="17" t="s">
        <v>71</v>
      </c>
      <c r="L959">
        <v>5</v>
      </c>
    </row>
    <row r="960" spans="1:12" x14ac:dyDescent="0.25">
      <c r="A960" t="s">
        <v>2876</v>
      </c>
      <c r="B960" t="s">
        <v>2877</v>
      </c>
      <c r="C960" t="s">
        <v>2878</v>
      </c>
      <c r="D960" t="s">
        <v>46</v>
      </c>
      <c r="E960">
        <v>38</v>
      </c>
      <c r="F960" t="s">
        <v>576</v>
      </c>
      <c r="G960" t="s">
        <v>907</v>
      </c>
      <c r="H960" t="s">
        <v>2879</v>
      </c>
      <c r="I960" s="1" t="d">
        <v>2007-08-06</v>
      </c>
      <c r="J960" t="s">
        <v>1372</v>
      </c>
      <c r="K960" s="17" t="s">
        <v>71</v>
      </c>
      <c r="L960">
        <v>4</v>
      </c>
    </row>
    <row r="961" spans="1:12" x14ac:dyDescent="0.25">
      <c r="A961" t="s">
        <v>2880</v>
      </c>
      <c r="B961" t="s">
        <v>180</v>
      </c>
      <c r="C961" t="s">
        <v>2292</v>
      </c>
      <c r="D961" t="s">
        <v>46</v>
      </c>
      <c r="E961">
        <v>32</v>
      </c>
      <c r="G961" t="s">
        <v>1285</v>
      </c>
      <c r="H961">
        <v>66757</v>
      </c>
      <c r="I961" s="1" t="d">
        <v>2020-05-21</v>
      </c>
      <c r="J961" t="s">
        <v>2881</v>
      </c>
      <c r="K961" s="17" t="s">
        <v>100</v>
      </c>
      <c r="L961">
        <v>3</v>
      </c>
    </row>
    <row r="962" spans="1:12" x14ac:dyDescent="0.25">
      <c r="A962" t="s">
        <v>2882</v>
      </c>
      <c r="B962" t="s">
        <v>199</v>
      </c>
      <c r="C962" t="s">
        <v>107</v>
      </c>
      <c r="D962" t="s">
        <v>9527</v>
      </c>
      <c r="E962">
        <v>35</v>
      </c>
      <c r="F962" t="s">
        <v>230</v>
      </c>
      <c r="G962" t="s">
        <v>39</v>
      </c>
      <c r="I962" s="1" t="d">
        <v>2019-04-12</v>
      </c>
      <c r="J962" t="s">
        <v>2618</v>
      </c>
      <c r="K962" s="17" t="s">
        <v>118</v>
      </c>
      <c r="L962">
        <v>4</v>
      </c>
    </row>
    <row r="963" spans="1:12" x14ac:dyDescent="0.25">
      <c r="A963" t="s">
        <v>2883</v>
      </c>
      <c r="B963" t="s">
        <v>566</v>
      </c>
      <c r="C963" t="s">
        <v>699</v>
      </c>
      <c r="D963" t="s">
        <v>46</v>
      </c>
      <c r="E963">
        <v>47</v>
      </c>
      <c r="G963" t="s">
        <v>55</v>
      </c>
      <c r="H963" t="s">
        <v>2884</v>
      </c>
      <c r="I963" s="1" t="d">
        <v>2016-12-19</v>
      </c>
      <c r="J963" t="s">
        <v>2489</v>
      </c>
      <c r="K963" s="17" t="s">
        <v>370</v>
      </c>
      <c r="L963">
        <v>4</v>
      </c>
    </row>
    <row r="964" spans="1:12" x14ac:dyDescent="0.25">
      <c r="A964" t="s">
        <v>2885</v>
      </c>
      <c r="B964" t="s">
        <v>281</v>
      </c>
      <c r="C964" t="s">
        <v>291</v>
      </c>
      <c r="D964" t="s">
        <v>9527</v>
      </c>
      <c r="E964">
        <v>28</v>
      </c>
      <c r="G964" t="s">
        <v>283</v>
      </c>
      <c r="H964" t="s">
        <v>2886</v>
      </c>
      <c r="I964" s="1" t="d">
        <v>2011-04-16</v>
      </c>
      <c r="J964" t="s">
        <v>2073</v>
      </c>
      <c r="K964" s="17" t="s">
        <v>90</v>
      </c>
      <c r="L964">
        <v>4</v>
      </c>
    </row>
    <row r="965" spans="1:12" x14ac:dyDescent="0.25">
      <c r="A965" t="s">
        <v>2887</v>
      </c>
      <c r="B965" t="s">
        <v>2222</v>
      </c>
      <c r="C965" t="s">
        <v>395</v>
      </c>
      <c r="D965" t="s">
        <v>46</v>
      </c>
      <c r="E965">
        <v>40</v>
      </c>
      <c r="F965" t="s">
        <v>269</v>
      </c>
      <c r="G965" t="s">
        <v>2888</v>
      </c>
      <c r="H965" t="s">
        <v>2889</v>
      </c>
      <c r="I965" s="1" t="d">
        <v>2019-11-18</v>
      </c>
      <c r="J965" t="s">
        <v>2890</v>
      </c>
      <c r="K965" s="17" t="s">
        <v>71</v>
      </c>
      <c r="L965">
        <v>3</v>
      </c>
    </row>
    <row r="966" spans="1:12" x14ac:dyDescent="0.25">
      <c r="A966" t="s">
        <v>2891</v>
      </c>
      <c r="B966" t="s">
        <v>2697</v>
      </c>
      <c r="C966" t="s">
        <v>168</v>
      </c>
      <c r="D966" t="s">
        <v>46</v>
      </c>
      <c r="E966">
        <v>23</v>
      </c>
      <c r="F966" t="s">
        <v>196</v>
      </c>
      <c r="G966" t="s">
        <v>25</v>
      </c>
      <c r="H966" t="s">
        <v>2892</v>
      </c>
      <c r="I966" s="1" t="d">
        <v>2021-02-21</v>
      </c>
      <c r="J966" t="s">
        <v>2893</v>
      </c>
      <c r="K966" s="17" t="s">
        <v>370</v>
      </c>
      <c r="L966">
        <v>4</v>
      </c>
    </row>
    <row r="967" spans="1:12" x14ac:dyDescent="0.25">
      <c r="A967" t="s">
        <v>2894</v>
      </c>
      <c r="B967" t="s">
        <v>520</v>
      </c>
      <c r="C967" t="s">
        <v>2895</v>
      </c>
      <c r="D967" t="s">
        <v>23</v>
      </c>
      <c r="E967">
        <v>44</v>
      </c>
      <c r="G967" t="s">
        <v>82</v>
      </c>
      <c r="H967">
        <v>50188</v>
      </c>
      <c r="I967" s="1" t="d">
        <v>2013-05-11</v>
      </c>
      <c r="J967" t="s">
        <v>2896</v>
      </c>
      <c r="K967" s="17" t="s">
        <v>58</v>
      </c>
      <c r="L967">
        <v>4</v>
      </c>
    </row>
    <row r="968" spans="1:12" x14ac:dyDescent="0.25">
      <c r="A968" t="s">
        <v>2897</v>
      </c>
      <c r="B968" t="s">
        <v>1096</v>
      </c>
      <c r="C968" t="s">
        <v>204</v>
      </c>
      <c r="D968" t="s">
        <v>23</v>
      </c>
      <c r="E968">
        <v>32</v>
      </c>
      <c r="F968" t="s">
        <v>196</v>
      </c>
      <c r="G968" t="s">
        <v>191</v>
      </c>
      <c r="H968">
        <v>38094</v>
      </c>
      <c r="I968" s="1" t="d">
        <v>2011-08-15</v>
      </c>
      <c r="J968" t="s">
        <v>1595</v>
      </c>
      <c r="K968" s="17" t="s">
        <v>370</v>
      </c>
      <c r="L968">
        <v>4</v>
      </c>
    </row>
    <row r="969" spans="1:12" x14ac:dyDescent="0.25">
      <c r="A969" t="s">
        <v>2898</v>
      </c>
      <c r="B969" t="s">
        <v>2899</v>
      </c>
      <c r="C969" t="s">
        <v>1630</v>
      </c>
      <c r="D969" t="s">
        <v>46</v>
      </c>
      <c r="E969">
        <v>22</v>
      </c>
      <c r="F969" t="s">
        <v>230</v>
      </c>
      <c r="G969" t="s">
        <v>16</v>
      </c>
      <c r="H969" s="2">
        <v>86498</v>
      </c>
      <c r="I969" s="1" t="d">
        <v>2007-04-21</v>
      </c>
      <c r="J969" t="s">
        <v>431</v>
      </c>
      <c r="K969" s="17" t="s">
        <v>184</v>
      </c>
      <c r="L969">
        <v>5</v>
      </c>
    </row>
    <row r="970" spans="1:12" x14ac:dyDescent="0.25">
      <c r="A970" t="s">
        <v>2900</v>
      </c>
      <c r="B970" t="s">
        <v>482</v>
      </c>
      <c r="C970" t="s">
        <v>1248</v>
      </c>
      <c r="D970" t="s">
        <v>9527</v>
      </c>
      <c r="E970">
        <v>45</v>
      </c>
      <c r="F970" t="s">
        <v>153</v>
      </c>
      <c r="G970" t="s">
        <v>39</v>
      </c>
      <c r="H970" s="2">
        <v>65167</v>
      </c>
      <c r="I970" s="1" t="d">
        <v>2010-03-30</v>
      </c>
      <c r="J970" t="s">
        <v>1559</v>
      </c>
      <c r="K970" s="17" t="s">
        <v>58</v>
      </c>
      <c r="L970">
        <v>3</v>
      </c>
    </row>
    <row r="971" spans="1:12" x14ac:dyDescent="0.25">
      <c r="A971" t="s">
        <v>2901</v>
      </c>
      <c r="B971" t="s">
        <v>520</v>
      </c>
      <c r="C971" t="s">
        <v>252</v>
      </c>
      <c r="D971" t="s">
        <v>46</v>
      </c>
      <c r="E971">
        <v>37</v>
      </c>
      <c r="F971" t="s">
        <v>417</v>
      </c>
      <c r="G971" t="s">
        <v>212</v>
      </c>
      <c r="I971" s="1" t="d">
        <v>2007-01-24</v>
      </c>
      <c r="J971" t="s">
        <v>2902</v>
      </c>
      <c r="K971" s="17" t="s">
        <v>19</v>
      </c>
      <c r="L971">
        <v>1</v>
      </c>
    </row>
    <row r="972" spans="1:12" x14ac:dyDescent="0.25">
      <c r="A972" t="s">
        <v>2903</v>
      </c>
      <c r="B972" t="s">
        <v>311</v>
      </c>
      <c r="C972" t="s">
        <v>1332</v>
      </c>
      <c r="D972" t="s">
        <v>46</v>
      </c>
      <c r="E972">
        <v>39</v>
      </c>
      <c r="F972" t="s">
        <v>2904</v>
      </c>
      <c r="G972" t="s">
        <v>1285</v>
      </c>
      <c r="I972" s="1" t="d">
        <v>2022-07-08</v>
      </c>
      <c r="J972" t="s">
        <v>2655</v>
      </c>
      <c r="K972" s="17" t="s">
        <v>71</v>
      </c>
      <c r="L972">
        <v>4</v>
      </c>
    </row>
    <row r="973" spans="1:12" x14ac:dyDescent="0.25">
      <c r="A973" t="s">
        <v>2905</v>
      </c>
      <c r="B973" t="s">
        <v>1784</v>
      </c>
      <c r="C973" t="s">
        <v>1442</v>
      </c>
      <c r="D973" t="s">
        <v>9527</v>
      </c>
      <c r="E973">
        <v>52</v>
      </c>
      <c r="F973" t="s">
        <v>649</v>
      </c>
      <c r="G973" t="s">
        <v>1556</v>
      </c>
      <c r="H973">
        <v>78081</v>
      </c>
      <c r="I973" s="1" t="d">
        <v>2009-06-13</v>
      </c>
      <c r="J973" t="s">
        <v>2906</v>
      </c>
      <c r="K973" s="17" t="s">
        <v>19</v>
      </c>
      <c r="L973">
        <v>4</v>
      </c>
    </row>
    <row r="974" spans="1:12" x14ac:dyDescent="0.25">
      <c r="A974" t="s">
        <v>2907</v>
      </c>
      <c r="B974" t="s">
        <v>1241</v>
      </c>
      <c r="C974" t="s">
        <v>847</v>
      </c>
      <c r="D974" t="s">
        <v>9527</v>
      </c>
      <c r="E974">
        <v>40</v>
      </c>
      <c r="G974" t="s">
        <v>82</v>
      </c>
      <c r="H974" s="2">
        <v>48924</v>
      </c>
      <c r="I974" s="1" t="d">
        <v>2019-02-20</v>
      </c>
      <c r="J974" t="s">
        <v>1073</v>
      </c>
      <c r="K974" s="17" t="s">
        <v>100</v>
      </c>
      <c r="L974">
        <v>2</v>
      </c>
    </row>
    <row r="975" spans="1:12" x14ac:dyDescent="0.25">
      <c r="A975" t="s">
        <v>2908</v>
      </c>
      <c r="B975" t="s">
        <v>1086</v>
      </c>
      <c r="C975" t="s">
        <v>67</v>
      </c>
      <c r="D975" t="s">
        <v>46</v>
      </c>
      <c r="E975">
        <v>26</v>
      </c>
      <c r="F975" t="s">
        <v>15</v>
      </c>
      <c r="G975" t="s">
        <v>69</v>
      </c>
      <c r="H975" t="s">
        <v>2909</v>
      </c>
      <c r="I975" s="1" t="d">
        <v>2014-07-08</v>
      </c>
      <c r="J975" t="s">
        <v>2910</v>
      </c>
      <c r="K975" s="17" t="s">
        <v>71</v>
      </c>
      <c r="L975">
        <v>5</v>
      </c>
    </row>
    <row r="976" spans="1:12" x14ac:dyDescent="0.25">
      <c r="A976" t="s">
        <v>2911</v>
      </c>
      <c r="B976" t="s">
        <v>199</v>
      </c>
      <c r="C976" t="s">
        <v>2912</v>
      </c>
      <c r="D976" t="s">
        <v>9527</v>
      </c>
      <c r="E976">
        <v>33</v>
      </c>
      <c r="F976" t="s">
        <v>81</v>
      </c>
      <c r="G976" t="s">
        <v>88</v>
      </c>
      <c r="H976" t="s">
        <v>2913</v>
      </c>
      <c r="I976" s="1" t="d">
        <v>2018-11-23</v>
      </c>
      <c r="J976" t="s">
        <v>2914</v>
      </c>
      <c r="K976" s="17" t="s">
        <v>90</v>
      </c>
      <c r="L976">
        <v>3</v>
      </c>
    </row>
    <row r="977" spans="1:12" x14ac:dyDescent="0.25">
      <c r="A977" t="s">
        <v>2915</v>
      </c>
      <c r="B977" t="s">
        <v>102</v>
      </c>
      <c r="C977" t="s">
        <v>268</v>
      </c>
      <c r="D977" t="s">
        <v>23</v>
      </c>
      <c r="E977">
        <v>21</v>
      </c>
      <c r="F977" t="s">
        <v>422</v>
      </c>
      <c r="G977" t="s">
        <v>2916</v>
      </c>
      <c r="H977" s="2">
        <v>69523</v>
      </c>
      <c r="I977" s="1" t="d">
        <v>2012-02-17</v>
      </c>
      <c r="J977" t="s">
        <v>1510</v>
      </c>
      <c r="K977" s="17" t="s">
        <v>19</v>
      </c>
      <c r="L977">
        <v>3</v>
      </c>
    </row>
    <row r="978" spans="1:12" x14ac:dyDescent="0.25">
      <c r="A978" t="s">
        <v>2917</v>
      </c>
      <c r="B978" t="s">
        <v>862</v>
      </c>
      <c r="C978" t="s">
        <v>2918</v>
      </c>
      <c r="D978" t="s">
        <v>46</v>
      </c>
      <c r="E978">
        <v>27</v>
      </c>
      <c r="F978" t="s">
        <v>31</v>
      </c>
      <c r="G978" t="s">
        <v>967</v>
      </c>
      <c r="H978" s="2">
        <v>999999</v>
      </c>
      <c r="J978" t="s">
        <v>863</v>
      </c>
      <c r="K978" s="17" t="s">
        <v>42</v>
      </c>
      <c r="L978">
        <v>3</v>
      </c>
    </row>
    <row r="979" spans="1:12" x14ac:dyDescent="0.25">
      <c r="A979" t="s">
        <v>2919</v>
      </c>
      <c r="B979" t="s">
        <v>456</v>
      </c>
      <c r="C979" t="s">
        <v>988</v>
      </c>
      <c r="D979" t="s">
        <v>23</v>
      </c>
      <c r="E979">
        <v>52</v>
      </c>
      <c r="F979" t="s">
        <v>649</v>
      </c>
      <c r="G979" t="s">
        <v>217</v>
      </c>
      <c r="H979" t="s">
        <v>2920</v>
      </c>
      <c r="I979" s="1" t="d">
        <v>2009-03-21</v>
      </c>
      <c r="J979" t="s">
        <v>2921</v>
      </c>
      <c r="K979" s="17" t="s">
        <v>19</v>
      </c>
      <c r="L979">
        <v>3</v>
      </c>
    </row>
    <row r="980" spans="1:12" x14ac:dyDescent="0.25">
      <c r="A980" t="s">
        <v>2922</v>
      </c>
      <c r="B980" t="s">
        <v>228</v>
      </c>
      <c r="C980" t="s">
        <v>225</v>
      </c>
      <c r="D980" t="s">
        <v>9527</v>
      </c>
      <c r="E980">
        <v>33</v>
      </c>
      <c r="F980" t="s">
        <v>75</v>
      </c>
      <c r="G980" t="s">
        <v>127</v>
      </c>
      <c r="H980" s="2">
        <v>94908</v>
      </c>
      <c r="I980" s="1" t="d">
        <v>2007-06-23</v>
      </c>
      <c r="J980" t="s">
        <v>1521</v>
      </c>
      <c r="K980" s="17" t="s">
        <v>50</v>
      </c>
      <c r="L980">
        <v>3</v>
      </c>
    </row>
    <row r="981" spans="1:12" x14ac:dyDescent="0.25">
      <c r="A981" t="s">
        <v>2923</v>
      </c>
      <c r="B981" t="s">
        <v>1301</v>
      </c>
      <c r="C981" t="s">
        <v>53</v>
      </c>
      <c r="D981" t="s">
        <v>9527</v>
      </c>
      <c r="E981">
        <v>28</v>
      </c>
      <c r="F981" t="s">
        <v>38</v>
      </c>
      <c r="G981" t="s">
        <v>191</v>
      </c>
      <c r="H981" s="2">
        <v>52483</v>
      </c>
      <c r="I981" s="1" t="d">
        <v>2011-08-02</v>
      </c>
      <c r="J981" t="s">
        <v>2924</v>
      </c>
      <c r="K981" s="17" t="s">
        <v>27</v>
      </c>
      <c r="L981">
        <v>4</v>
      </c>
    </row>
    <row r="982" spans="1:12" x14ac:dyDescent="0.25">
      <c r="A982" t="s">
        <v>2925</v>
      </c>
      <c r="B982" t="s">
        <v>954</v>
      </c>
      <c r="C982" t="s">
        <v>2926</v>
      </c>
      <c r="D982" t="s">
        <v>23</v>
      </c>
      <c r="E982">
        <v>31</v>
      </c>
      <c r="F982" t="s">
        <v>153</v>
      </c>
      <c r="G982" t="s">
        <v>205</v>
      </c>
      <c r="I982" s="1" t="d">
        <v>2015-07-24</v>
      </c>
      <c r="J982" t="s">
        <v>1822</v>
      </c>
      <c r="K982" s="17" t="s">
        <v>100</v>
      </c>
      <c r="L982">
        <v>2</v>
      </c>
    </row>
    <row r="983" spans="1:12" x14ac:dyDescent="0.25">
      <c r="A983" t="s">
        <v>2927</v>
      </c>
      <c r="B983" t="s">
        <v>993</v>
      </c>
      <c r="C983" t="s">
        <v>1205</v>
      </c>
      <c r="D983" t="s">
        <v>23</v>
      </c>
      <c r="E983">
        <v>49</v>
      </c>
      <c r="F983" t="s">
        <v>47</v>
      </c>
      <c r="G983" t="s">
        <v>351</v>
      </c>
      <c r="H983">
        <v>59823</v>
      </c>
      <c r="I983" s="1" t="d">
        <v>2016-02-17</v>
      </c>
      <c r="J983" t="s">
        <v>2928</v>
      </c>
      <c r="K983" s="17" t="s">
        <v>27</v>
      </c>
      <c r="L983">
        <v>3</v>
      </c>
    </row>
    <row r="984" spans="1:12" x14ac:dyDescent="0.25">
      <c r="A984" t="s">
        <v>2929</v>
      </c>
      <c r="B984" t="s">
        <v>448</v>
      </c>
      <c r="C984" t="s">
        <v>710</v>
      </c>
      <c r="D984" t="s">
        <v>9527</v>
      </c>
      <c r="E984">
        <v>39</v>
      </c>
      <c r="F984" t="s">
        <v>666</v>
      </c>
      <c r="G984" t="s">
        <v>39</v>
      </c>
      <c r="H984">
        <v>52078</v>
      </c>
      <c r="I984" s="1" t="d">
        <v>2011-12-25</v>
      </c>
      <c r="J984" t="s">
        <v>2930</v>
      </c>
      <c r="K984" s="17" t="s">
        <v>207</v>
      </c>
      <c r="L984">
        <v>3</v>
      </c>
    </row>
    <row r="985" spans="1:12" x14ac:dyDescent="0.25">
      <c r="A985" t="s">
        <v>2931</v>
      </c>
      <c r="B985" t="s">
        <v>162</v>
      </c>
      <c r="C985" t="s">
        <v>1576</v>
      </c>
      <c r="D985" t="s">
        <v>23</v>
      </c>
      <c r="E985">
        <v>33</v>
      </c>
      <c r="G985" t="s">
        <v>212</v>
      </c>
      <c r="H985">
        <v>50842</v>
      </c>
      <c r="I985" s="1" t="d">
        <v>2007-10-20</v>
      </c>
      <c r="J985" t="s">
        <v>2454</v>
      </c>
      <c r="K985" s="17" t="s">
        <v>184</v>
      </c>
      <c r="L985">
        <v>3</v>
      </c>
    </row>
    <row r="986" spans="1:12" x14ac:dyDescent="0.25">
      <c r="A986" t="s">
        <v>2932</v>
      </c>
      <c r="B986" t="s">
        <v>808</v>
      </c>
      <c r="C986" t="s">
        <v>30</v>
      </c>
      <c r="D986" t="s">
        <v>23</v>
      </c>
      <c r="E986">
        <v>26</v>
      </c>
      <c r="F986" t="s">
        <v>230</v>
      </c>
      <c r="G986" t="s">
        <v>1329</v>
      </c>
      <c r="H986">
        <v>51143</v>
      </c>
      <c r="I986" s="1" t="d">
        <v>2017-09-26</v>
      </c>
      <c r="J986" t="s">
        <v>2102</v>
      </c>
      <c r="K986" s="17" t="s">
        <v>27</v>
      </c>
      <c r="L986">
        <v>5</v>
      </c>
    </row>
    <row r="987" spans="1:12" x14ac:dyDescent="0.25">
      <c r="A987" t="s">
        <v>2933</v>
      </c>
      <c r="B987" t="s">
        <v>467</v>
      </c>
      <c r="C987" t="s">
        <v>2934</v>
      </c>
      <c r="D987" t="s">
        <v>46</v>
      </c>
      <c r="E987">
        <v>21</v>
      </c>
      <c r="F987" t="s">
        <v>15</v>
      </c>
      <c r="G987" t="s">
        <v>69</v>
      </c>
      <c r="H987" s="2">
        <v>96315</v>
      </c>
      <c r="I987" s="1" t="d">
        <v>2007-10-04</v>
      </c>
      <c r="J987" t="s">
        <v>2935</v>
      </c>
      <c r="K987" s="17" t="s">
        <v>27</v>
      </c>
      <c r="L987">
        <v>2</v>
      </c>
    </row>
    <row r="988" spans="1:12" x14ac:dyDescent="0.25">
      <c r="A988" t="s">
        <v>2936</v>
      </c>
      <c r="B988" t="s">
        <v>60</v>
      </c>
      <c r="C988" t="s">
        <v>381</v>
      </c>
      <c r="D988" t="s">
        <v>9527</v>
      </c>
      <c r="E988">
        <v>42</v>
      </c>
      <c r="F988" t="s">
        <v>2937</v>
      </c>
      <c r="G988" t="s">
        <v>170</v>
      </c>
      <c r="I988" s="1" t="d">
        <v>2009-10-18</v>
      </c>
      <c r="J988" t="s">
        <v>2213</v>
      </c>
      <c r="K988" s="17" t="s">
        <v>90</v>
      </c>
      <c r="L988">
        <v>3</v>
      </c>
    </row>
    <row r="989" spans="1:12" x14ac:dyDescent="0.25">
      <c r="A989" t="s">
        <v>2938</v>
      </c>
      <c r="B989" t="s">
        <v>199</v>
      </c>
      <c r="C989" t="s">
        <v>1356</v>
      </c>
      <c r="D989" t="s">
        <v>46</v>
      </c>
      <c r="E989">
        <v>39</v>
      </c>
      <c r="F989" t="s">
        <v>114</v>
      </c>
      <c r="G989" t="s">
        <v>16</v>
      </c>
      <c r="H989" s="2">
        <v>128210</v>
      </c>
      <c r="I989" s="1" t="d">
        <v>2024-04-30</v>
      </c>
      <c r="J989" t="s">
        <v>2059</v>
      </c>
      <c r="K989" s="17" t="s">
        <v>27</v>
      </c>
      <c r="L989">
        <v>2</v>
      </c>
    </row>
    <row r="990" spans="1:12" x14ac:dyDescent="0.25">
      <c r="A990" t="s">
        <v>2939</v>
      </c>
      <c r="B990" t="s">
        <v>1336</v>
      </c>
      <c r="C990" t="s">
        <v>927</v>
      </c>
      <c r="D990" t="s">
        <v>23</v>
      </c>
      <c r="E990">
        <v>60</v>
      </c>
      <c r="F990" t="s">
        <v>62</v>
      </c>
      <c r="G990" t="s">
        <v>95</v>
      </c>
      <c r="H990">
        <v>73178</v>
      </c>
      <c r="J990" t="s">
        <v>480</v>
      </c>
      <c r="K990" s="17" t="s">
        <v>19</v>
      </c>
      <c r="L990">
        <v>3</v>
      </c>
    </row>
    <row r="991" spans="1:12" x14ac:dyDescent="0.25">
      <c r="A991" t="s">
        <v>2940</v>
      </c>
      <c r="B991" t="s">
        <v>130</v>
      </c>
      <c r="C991" t="s">
        <v>719</v>
      </c>
      <c r="D991" t="s">
        <v>46</v>
      </c>
      <c r="E991">
        <v>42</v>
      </c>
      <c r="F991" t="s">
        <v>645</v>
      </c>
      <c r="G991" t="s">
        <v>48</v>
      </c>
      <c r="J991" t="s">
        <v>2941</v>
      </c>
      <c r="K991" s="17" t="s">
        <v>184</v>
      </c>
      <c r="L991">
        <v>3</v>
      </c>
    </row>
    <row r="992" spans="1:12" x14ac:dyDescent="0.25">
      <c r="A992" t="s">
        <v>2942</v>
      </c>
      <c r="B992" t="s">
        <v>709</v>
      </c>
      <c r="C992" t="s">
        <v>103</v>
      </c>
      <c r="D992" t="s">
        <v>23</v>
      </c>
      <c r="E992">
        <v>37</v>
      </c>
      <c r="F992" t="s">
        <v>356</v>
      </c>
      <c r="G992" t="s">
        <v>69</v>
      </c>
      <c r="H992" t="s">
        <v>2943</v>
      </c>
      <c r="I992" s="1" t="d">
        <v>2022-09-15</v>
      </c>
      <c r="J992" t="s">
        <v>1536</v>
      </c>
      <c r="K992" s="17" t="s">
        <v>50</v>
      </c>
      <c r="L992">
        <v>3</v>
      </c>
    </row>
    <row r="993" spans="1:12" x14ac:dyDescent="0.25">
      <c r="A993" t="s">
        <v>2944</v>
      </c>
      <c r="B993" t="s">
        <v>92</v>
      </c>
      <c r="C993" t="s">
        <v>1538</v>
      </c>
      <c r="D993" t="s">
        <v>46</v>
      </c>
      <c r="E993">
        <v>47</v>
      </c>
      <c r="F993" t="s">
        <v>81</v>
      </c>
      <c r="G993" t="s">
        <v>205</v>
      </c>
      <c r="H993" t="s">
        <v>2945</v>
      </c>
      <c r="I993" s="1" t="d">
        <v>2021-07-31</v>
      </c>
      <c r="J993" t="s">
        <v>2946</v>
      </c>
      <c r="K993" s="17" t="s">
        <v>370</v>
      </c>
      <c r="L993">
        <v>3</v>
      </c>
    </row>
    <row r="994" spans="1:12" x14ac:dyDescent="0.25">
      <c r="A994" t="s">
        <v>2947</v>
      </c>
      <c r="B994" t="s">
        <v>1154</v>
      </c>
      <c r="C994" t="s">
        <v>22</v>
      </c>
      <c r="D994" t="s">
        <v>9527</v>
      </c>
      <c r="E994">
        <v>26</v>
      </c>
      <c r="F994" t="s">
        <v>350</v>
      </c>
      <c r="G994" t="s">
        <v>141</v>
      </c>
      <c r="H994" s="2">
        <v>63133</v>
      </c>
      <c r="I994" s="1" t="d">
        <v>2023-02-14</v>
      </c>
      <c r="J994" t="s">
        <v>2948</v>
      </c>
      <c r="K994" s="17" t="s">
        <v>118</v>
      </c>
      <c r="L994">
        <v>5</v>
      </c>
    </row>
    <row r="995" spans="1:12" x14ac:dyDescent="0.25">
      <c r="A995" t="s">
        <v>2949</v>
      </c>
      <c r="B995" t="s">
        <v>670</v>
      </c>
      <c r="C995" t="s">
        <v>851</v>
      </c>
      <c r="D995" t="s">
        <v>9527</v>
      </c>
      <c r="E995">
        <v>34</v>
      </c>
      <c r="F995" t="s">
        <v>264</v>
      </c>
      <c r="G995" t="s">
        <v>115</v>
      </c>
      <c r="H995">
        <v>95425</v>
      </c>
      <c r="I995" s="1" t="d">
        <v>2010-01-08</v>
      </c>
      <c r="J995" t="s">
        <v>2609</v>
      </c>
      <c r="K995" s="17" t="s">
        <v>34</v>
      </c>
      <c r="L995">
        <v>4</v>
      </c>
    </row>
    <row r="996" spans="1:12" x14ac:dyDescent="0.25">
      <c r="A996" t="s">
        <v>2950</v>
      </c>
      <c r="B996" t="s">
        <v>786</v>
      </c>
      <c r="C996" t="s">
        <v>361</v>
      </c>
      <c r="D996" t="s">
        <v>23</v>
      </c>
      <c r="E996">
        <v>44</v>
      </c>
      <c r="G996" t="s">
        <v>32</v>
      </c>
      <c r="H996" t="s">
        <v>2951</v>
      </c>
      <c r="I996" s="1" t="d">
        <v>2022-12-23</v>
      </c>
      <c r="J996" t="s">
        <v>333</v>
      </c>
      <c r="K996" s="17" t="s">
        <v>27</v>
      </c>
      <c r="L996">
        <v>4</v>
      </c>
    </row>
    <row r="997" spans="1:12" x14ac:dyDescent="0.25">
      <c r="A997" t="s">
        <v>1681</v>
      </c>
      <c r="B997" t="s">
        <v>1064</v>
      </c>
      <c r="C997" t="s">
        <v>53</v>
      </c>
      <c r="D997" t="s">
        <v>9527</v>
      </c>
      <c r="E997">
        <v>48</v>
      </c>
      <c r="F997" t="s">
        <v>216</v>
      </c>
      <c r="G997" t="s">
        <v>82</v>
      </c>
      <c r="J997" t="s">
        <v>1682</v>
      </c>
      <c r="K997" s="17" t="s">
        <v>42</v>
      </c>
      <c r="L997">
        <v>4</v>
      </c>
    </row>
    <row r="998" spans="1:12" x14ac:dyDescent="0.25">
      <c r="A998" t="s">
        <v>2952</v>
      </c>
      <c r="B998" t="s">
        <v>2697</v>
      </c>
      <c r="C998" t="s">
        <v>252</v>
      </c>
      <c r="D998" t="s">
        <v>23</v>
      </c>
      <c r="E998">
        <v>30</v>
      </c>
      <c r="F998" t="s">
        <v>495</v>
      </c>
      <c r="G998" t="s">
        <v>1866</v>
      </c>
      <c r="H998" s="2">
        <v>57649</v>
      </c>
      <c r="I998" s="1" t="d">
        <v>2010-08-28</v>
      </c>
      <c r="J998" t="s">
        <v>501</v>
      </c>
      <c r="K998" s="17" t="s">
        <v>58</v>
      </c>
      <c r="L998">
        <v>3</v>
      </c>
    </row>
    <row r="999" spans="1:12" x14ac:dyDescent="0.25">
      <c r="A999" t="s">
        <v>2953</v>
      </c>
      <c r="B999" t="s">
        <v>2954</v>
      </c>
      <c r="C999" t="s">
        <v>699</v>
      </c>
      <c r="D999" t="s">
        <v>23</v>
      </c>
      <c r="E999">
        <v>33</v>
      </c>
      <c r="F999" t="s">
        <v>196</v>
      </c>
      <c r="G999" t="s">
        <v>288</v>
      </c>
      <c r="H999" t="s">
        <v>2955</v>
      </c>
      <c r="J999" t="s">
        <v>2956</v>
      </c>
      <c r="K999" s="17" t="s">
        <v>34</v>
      </c>
      <c r="L999">
        <v>3</v>
      </c>
    </row>
    <row r="1000" spans="1:12" x14ac:dyDescent="0.25">
      <c r="A1000" t="s">
        <v>2957</v>
      </c>
      <c r="B1000" t="s">
        <v>2041</v>
      </c>
      <c r="C1000" t="s">
        <v>140</v>
      </c>
      <c r="D1000" t="s">
        <v>23</v>
      </c>
      <c r="E1000">
        <v>37</v>
      </c>
      <c r="F1000" t="s">
        <v>532</v>
      </c>
      <c r="G1000" t="s">
        <v>337</v>
      </c>
      <c r="H1000">
        <v>52579</v>
      </c>
      <c r="I1000" s="1" t="d">
        <v>2007-03-28</v>
      </c>
      <c r="J1000" t="s">
        <v>2958</v>
      </c>
      <c r="K1000" s="17" t="s">
        <v>19</v>
      </c>
      <c r="L1000">
        <v>5</v>
      </c>
    </row>
    <row r="1001" spans="1:12" x14ac:dyDescent="0.25">
      <c r="A1001" t="s">
        <v>2959</v>
      </c>
      <c r="B1001" t="s">
        <v>1896</v>
      </c>
      <c r="C1001" t="s">
        <v>1564</v>
      </c>
      <c r="D1001" t="s">
        <v>23</v>
      </c>
      <c r="E1001">
        <v>26</v>
      </c>
      <c r="F1001" t="s">
        <v>2960</v>
      </c>
      <c r="G1001" t="s">
        <v>205</v>
      </c>
      <c r="H1001" s="2">
        <v>66221</v>
      </c>
      <c r="I1001" s="1" t="d">
        <v>2010-01-28</v>
      </c>
      <c r="J1001" t="s">
        <v>2961</v>
      </c>
      <c r="K1001" s="17" t="s">
        <v>50</v>
      </c>
      <c r="L1001">
        <v>3</v>
      </c>
    </row>
    <row r="1002" spans="1:12" x14ac:dyDescent="0.25">
      <c r="A1002" t="s">
        <v>2962</v>
      </c>
      <c r="B1002" t="s">
        <v>2517</v>
      </c>
      <c r="C1002" t="s">
        <v>145</v>
      </c>
      <c r="D1002" t="s">
        <v>9527</v>
      </c>
      <c r="E1002">
        <v>45</v>
      </c>
      <c r="F1002" t="s">
        <v>859</v>
      </c>
      <c r="G1002" t="s">
        <v>16</v>
      </c>
      <c r="H1002" t="s">
        <v>2963</v>
      </c>
      <c r="I1002" s="1" t="d">
        <v>2018-05-27</v>
      </c>
      <c r="J1002" t="s">
        <v>2964</v>
      </c>
      <c r="K1002" s="17" t="s">
        <v>34</v>
      </c>
      <c r="L1002">
        <v>5</v>
      </c>
    </row>
    <row r="1003" spans="1:12" x14ac:dyDescent="0.25">
      <c r="A1003" t="s">
        <v>2965</v>
      </c>
      <c r="B1003" t="s">
        <v>248</v>
      </c>
      <c r="C1003" t="s">
        <v>710</v>
      </c>
      <c r="D1003" t="s">
        <v>9527</v>
      </c>
      <c r="E1003">
        <v>39</v>
      </c>
      <c r="F1003" t="s">
        <v>356</v>
      </c>
      <c r="G1003" t="s">
        <v>16</v>
      </c>
      <c r="H1003" s="2">
        <v>125501</v>
      </c>
      <c r="I1003" s="1" t="d">
        <v>2012-07-29</v>
      </c>
      <c r="J1003" t="s">
        <v>2966</v>
      </c>
      <c r="K1003" s="17" t="s">
        <v>27</v>
      </c>
      <c r="L1003">
        <v>3</v>
      </c>
    </row>
    <row r="1004" spans="1:12" x14ac:dyDescent="0.25">
      <c r="A1004" t="s">
        <v>2967</v>
      </c>
      <c r="B1004" t="s">
        <v>482</v>
      </c>
      <c r="C1004" t="s">
        <v>2140</v>
      </c>
      <c r="D1004" t="s">
        <v>9527</v>
      </c>
      <c r="E1004">
        <v>51</v>
      </c>
      <c r="F1004" t="s">
        <v>411</v>
      </c>
      <c r="G1004" t="s">
        <v>191</v>
      </c>
      <c r="H1004" s="2">
        <v>48579</v>
      </c>
      <c r="I1004" s="1" t="d">
        <v>2012-10-30</v>
      </c>
      <c r="J1004" t="s">
        <v>2968</v>
      </c>
      <c r="K1004" s="17" t="s">
        <v>58</v>
      </c>
      <c r="L1004">
        <v>3</v>
      </c>
    </row>
    <row r="1005" spans="1:12" x14ac:dyDescent="0.25">
      <c r="A1005" t="s">
        <v>2969</v>
      </c>
      <c r="B1005" t="s">
        <v>2041</v>
      </c>
      <c r="C1005" t="s">
        <v>107</v>
      </c>
      <c r="D1005" t="s">
        <v>9527</v>
      </c>
      <c r="E1005">
        <v>28</v>
      </c>
      <c r="F1005" t="s">
        <v>153</v>
      </c>
      <c r="G1005" t="s">
        <v>69</v>
      </c>
      <c r="H1005" t="s">
        <v>2970</v>
      </c>
      <c r="I1005" s="1" t="d">
        <v>2017-10-16</v>
      </c>
      <c r="J1005" t="s">
        <v>1387</v>
      </c>
      <c r="K1005" s="17" t="s">
        <v>90</v>
      </c>
      <c r="L1005">
        <v>3</v>
      </c>
    </row>
    <row r="1006" spans="1:12" x14ac:dyDescent="0.25">
      <c r="A1006" t="s">
        <v>2971</v>
      </c>
      <c r="B1006" t="s">
        <v>102</v>
      </c>
      <c r="C1006" t="s">
        <v>1958</v>
      </c>
      <c r="D1006" t="s">
        <v>46</v>
      </c>
      <c r="E1006">
        <v>41</v>
      </c>
      <c r="F1006" t="s">
        <v>589</v>
      </c>
      <c r="G1006" t="s">
        <v>16</v>
      </c>
      <c r="H1006" t="s">
        <v>2972</v>
      </c>
      <c r="I1006" s="1" t="d">
        <v>2018-10-16</v>
      </c>
      <c r="J1006" t="s">
        <v>2444</v>
      </c>
      <c r="K1006" s="17" t="s">
        <v>207</v>
      </c>
      <c r="L1006">
        <v>3</v>
      </c>
    </row>
    <row r="1007" spans="1:12" x14ac:dyDescent="0.25">
      <c r="A1007" t="s">
        <v>2973</v>
      </c>
      <c r="B1007" t="s">
        <v>2365</v>
      </c>
      <c r="C1007" t="s">
        <v>2974</v>
      </c>
      <c r="D1007" t="s">
        <v>23</v>
      </c>
      <c r="E1007">
        <v>22</v>
      </c>
      <c r="F1007" t="s">
        <v>245</v>
      </c>
      <c r="G1007" t="s">
        <v>182</v>
      </c>
      <c r="H1007" t="s">
        <v>2975</v>
      </c>
      <c r="I1007" s="1" t="d">
        <v>2013-12-02</v>
      </c>
      <c r="J1007" t="s">
        <v>2976</v>
      </c>
      <c r="K1007" s="17" t="s">
        <v>71</v>
      </c>
      <c r="L1007">
        <v>2</v>
      </c>
    </row>
    <row r="1008" spans="1:12" x14ac:dyDescent="0.25">
      <c r="A1008" t="s">
        <v>2977</v>
      </c>
      <c r="B1008" t="s">
        <v>841</v>
      </c>
      <c r="C1008" t="s">
        <v>715</v>
      </c>
      <c r="D1008" t="s">
        <v>46</v>
      </c>
      <c r="E1008">
        <v>35</v>
      </c>
      <c r="F1008" t="s">
        <v>54</v>
      </c>
      <c r="G1008" t="s">
        <v>48</v>
      </c>
      <c r="H1008" t="s">
        <v>2978</v>
      </c>
      <c r="J1008" t="s">
        <v>2478</v>
      </c>
      <c r="K1008" s="17" t="s">
        <v>149</v>
      </c>
      <c r="L1008">
        <v>4</v>
      </c>
    </row>
    <row r="1009" spans="1:12" x14ac:dyDescent="0.25">
      <c r="A1009" t="s">
        <v>2979</v>
      </c>
      <c r="B1009" t="s">
        <v>394</v>
      </c>
      <c r="C1009" t="s">
        <v>1266</v>
      </c>
      <c r="D1009" t="s">
        <v>46</v>
      </c>
      <c r="E1009">
        <v>35</v>
      </c>
      <c r="F1009" t="s">
        <v>62</v>
      </c>
      <c r="G1009" t="s">
        <v>182</v>
      </c>
      <c r="H1009" s="2">
        <v>129613</v>
      </c>
      <c r="I1009" s="1" t="d">
        <v>2019-09-04</v>
      </c>
      <c r="J1009" t="s">
        <v>2980</v>
      </c>
      <c r="K1009" s="17" t="s">
        <v>19</v>
      </c>
      <c r="L1009">
        <v>3</v>
      </c>
    </row>
    <row r="1010" spans="1:12" x14ac:dyDescent="0.25">
      <c r="A1010" t="s">
        <v>2981</v>
      </c>
      <c r="B1010" t="s">
        <v>949</v>
      </c>
      <c r="C1010" t="s">
        <v>204</v>
      </c>
      <c r="D1010" t="s">
        <v>9527</v>
      </c>
      <c r="E1010">
        <v>44</v>
      </c>
      <c r="F1010" t="s">
        <v>24</v>
      </c>
      <c r="G1010" t="s">
        <v>115</v>
      </c>
      <c r="H1010" t="s">
        <v>2982</v>
      </c>
      <c r="I1010" s="1" t="d">
        <v>2008-06-27</v>
      </c>
      <c r="J1010" t="s">
        <v>1637</v>
      </c>
      <c r="K1010" s="17" t="s">
        <v>58</v>
      </c>
      <c r="L1010">
        <v>3</v>
      </c>
    </row>
    <row r="1011" spans="1:12" x14ac:dyDescent="0.25">
      <c r="A1011" t="s">
        <v>2983</v>
      </c>
      <c r="B1011" t="s">
        <v>394</v>
      </c>
      <c r="C1011" t="s">
        <v>318</v>
      </c>
      <c r="D1011" t="s">
        <v>23</v>
      </c>
      <c r="E1011">
        <v>45</v>
      </c>
      <c r="F1011" t="s">
        <v>186</v>
      </c>
      <c r="G1011" t="s">
        <v>82</v>
      </c>
      <c r="H1011" t="s">
        <v>2984</v>
      </c>
      <c r="I1011" s="1" t="d">
        <v>2007-03-24</v>
      </c>
      <c r="J1011" t="s">
        <v>2985</v>
      </c>
      <c r="K1011" s="17" t="s">
        <v>100</v>
      </c>
      <c r="L1011">
        <v>3</v>
      </c>
    </row>
    <row r="1012" spans="1:12" x14ac:dyDescent="0.25">
      <c r="A1012" t="s">
        <v>2986</v>
      </c>
      <c r="B1012" t="s">
        <v>709</v>
      </c>
      <c r="C1012" t="s">
        <v>766</v>
      </c>
      <c r="D1012" t="s">
        <v>23</v>
      </c>
      <c r="E1012">
        <v>21</v>
      </c>
      <c r="F1012" t="s">
        <v>153</v>
      </c>
      <c r="G1012" t="s">
        <v>82</v>
      </c>
      <c r="H1012" s="2">
        <v>72930</v>
      </c>
      <c r="I1012" s="1" t="d">
        <v>2013-06-02</v>
      </c>
      <c r="J1012" t="s">
        <v>2011</v>
      </c>
      <c r="K1012" s="17" t="s">
        <v>27</v>
      </c>
      <c r="L1012">
        <v>2</v>
      </c>
    </row>
    <row r="1013" spans="1:12" x14ac:dyDescent="0.25">
      <c r="A1013" t="s">
        <v>2987</v>
      </c>
      <c r="B1013" t="s">
        <v>1221</v>
      </c>
      <c r="C1013" t="s">
        <v>970</v>
      </c>
      <c r="D1013" t="s">
        <v>46</v>
      </c>
      <c r="E1013">
        <v>44</v>
      </c>
      <c r="G1013" t="s">
        <v>48</v>
      </c>
      <c r="H1013" s="2">
        <v>98997</v>
      </c>
      <c r="J1013" t="s">
        <v>2988</v>
      </c>
      <c r="K1013" s="17" t="s">
        <v>27</v>
      </c>
      <c r="L1013">
        <v>4</v>
      </c>
    </row>
    <row r="1014" spans="1:12" x14ac:dyDescent="0.25">
      <c r="A1014" t="s">
        <v>2989</v>
      </c>
      <c r="B1014" t="s">
        <v>102</v>
      </c>
      <c r="C1014" t="s">
        <v>210</v>
      </c>
      <c r="D1014" t="s">
        <v>46</v>
      </c>
      <c r="E1014">
        <v>36</v>
      </c>
      <c r="F1014" t="s">
        <v>1546</v>
      </c>
      <c r="G1014" t="s">
        <v>217</v>
      </c>
      <c r="H1014" s="2">
        <v>151028</v>
      </c>
      <c r="I1014" s="1" t="d">
        <v>2016-08-04</v>
      </c>
      <c r="J1014" t="s">
        <v>2990</v>
      </c>
      <c r="K1014" s="17" t="s">
        <v>27</v>
      </c>
      <c r="L1014">
        <v>2</v>
      </c>
    </row>
    <row r="1015" spans="1:12" x14ac:dyDescent="0.25">
      <c r="A1015" t="s">
        <v>2991</v>
      </c>
      <c r="B1015" t="s">
        <v>1051</v>
      </c>
      <c r="C1015" t="s">
        <v>2755</v>
      </c>
      <c r="D1015" t="s">
        <v>23</v>
      </c>
      <c r="E1015">
        <v>30</v>
      </c>
      <c r="F1015" t="s">
        <v>104</v>
      </c>
      <c r="G1015" t="s">
        <v>191</v>
      </c>
      <c r="H1015">
        <v>56601</v>
      </c>
      <c r="I1015" s="1" t="d">
        <v>2023-06-27</v>
      </c>
      <c r="J1015" t="s">
        <v>2506</v>
      </c>
      <c r="K1015" s="17" t="s">
        <v>149</v>
      </c>
      <c r="L1015">
        <v>3</v>
      </c>
    </row>
    <row r="1016" spans="1:12" x14ac:dyDescent="0.25">
      <c r="A1016" t="s">
        <v>2992</v>
      </c>
      <c r="B1016" t="s">
        <v>786</v>
      </c>
      <c r="C1016" t="s">
        <v>135</v>
      </c>
      <c r="D1016" t="s">
        <v>23</v>
      </c>
      <c r="E1016">
        <v>41</v>
      </c>
      <c r="F1016" t="s">
        <v>978</v>
      </c>
      <c r="G1016" t="s">
        <v>205</v>
      </c>
      <c r="H1016">
        <v>94207</v>
      </c>
      <c r="I1016" s="1" t="d">
        <v>2014-12-08</v>
      </c>
      <c r="J1016" t="s">
        <v>1135</v>
      </c>
      <c r="K1016" s="17" t="s">
        <v>58</v>
      </c>
      <c r="L1016">
        <v>4</v>
      </c>
    </row>
    <row r="1017" spans="1:12" x14ac:dyDescent="0.25">
      <c r="A1017" t="s">
        <v>2993</v>
      </c>
      <c r="B1017" t="s">
        <v>282</v>
      </c>
      <c r="C1017" t="s">
        <v>631</v>
      </c>
      <c r="D1017" t="s">
        <v>9527</v>
      </c>
      <c r="E1017">
        <v>35</v>
      </c>
      <c r="F1017" t="s">
        <v>859</v>
      </c>
      <c r="G1017" t="s">
        <v>82</v>
      </c>
      <c r="H1017" t="s">
        <v>2994</v>
      </c>
      <c r="I1017" s="1" t="d">
        <v>2011-07-23</v>
      </c>
      <c r="J1017" t="s">
        <v>2995</v>
      </c>
      <c r="K1017" s="17" t="s">
        <v>100</v>
      </c>
      <c r="L1017">
        <v>3</v>
      </c>
    </row>
    <row r="1018" spans="1:12" x14ac:dyDescent="0.25">
      <c r="A1018" t="s">
        <v>2996</v>
      </c>
      <c r="B1018" t="s">
        <v>1096</v>
      </c>
      <c r="C1018" t="s">
        <v>1039</v>
      </c>
      <c r="D1018" t="s">
        <v>9527</v>
      </c>
      <c r="E1018">
        <v>26</v>
      </c>
      <c r="F1018" t="s">
        <v>94</v>
      </c>
      <c r="G1018" t="s">
        <v>337</v>
      </c>
      <c r="I1018" s="1" t="d">
        <v>2016-11-28</v>
      </c>
      <c r="J1018" t="s">
        <v>2997</v>
      </c>
      <c r="K1018" s="17" t="s">
        <v>370</v>
      </c>
      <c r="L1018">
        <v>3</v>
      </c>
    </row>
    <row r="1019" spans="1:12" x14ac:dyDescent="0.25">
      <c r="A1019" t="s">
        <v>1966</v>
      </c>
      <c r="B1019" t="s">
        <v>709</v>
      </c>
      <c r="C1019" t="s">
        <v>36</v>
      </c>
      <c r="D1019" t="s">
        <v>9527</v>
      </c>
      <c r="E1019">
        <v>25</v>
      </c>
      <c r="F1019" t="s">
        <v>2998</v>
      </c>
      <c r="G1019" t="s">
        <v>127</v>
      </c>
      <c r="I1019" s="1" t="d">
        <v>2005-09-24</v>
      </c>
      <c r="J1019" t="s">
        <v>1968</v>
      </c>
      <c r="K1019" s="17" t="s">
        <v>50</v>
      </c>
      <c r="L1019">
        <v>3</v>
      </c>
    </row>
    <row r="1020" spans="1:12" x14ac:dyDescent="0.25">
      <c r="A1020" t="s">
        <v>2999</v>
      </c>
      <c r="B1020" t="s">
        <v>571</v>
      </c>
      <c r="C1020" t="s">
        <v>152</v>
      </c>
      <c r="D1020" t="s">
        <v>23</v>
      </c>
      <c r="E1020">
        <v>39</v>
      </c>
      <c r="F1020" t="s">
        <v>666</v>
      </c>
      <c r="G1020" t="s">
        <v>88</v>
      </c>
      <c r="I1020" s="1" t="d">
        <v>2006-10-30</v>
      </c>
      <c r="J1020" t="s">
        <v>3000</v>
      </c>
      <c r="K1020" s="17" t="s">
        <v>118</v>
      </c>
      <c r="L1020">
        <v>3</v>
      </c>
    </row>
    <row r="1021" spans="1:12" x14ac:dyDescent="0.25">
      <c r="A1021" t="s">
        <v>3001</v>
      </c>
      <c r="B1021" t="s">
        <v>355</v>
      </c>
      <c r="C1021" t="s">
        <v>631</v>
      </c>
      <c r="D1021" t="s">
        <v>23</v>
      </c>
      <c r="E1021">
        <v>28</v>
      </c>
      <c r="F1021" t="s">
        <v>258</v>
      </c>
      <c r="G1021" t="s">
        <v>177</v>
      </c>
      <c r="H1021" t="s">
        <v>3002</v>
      </c>
      <c r="I1021" s="1" t="d">
        <v>2010-08-03</v>
      </c>
      <c r="J1021" t="s">
        <v>3003</v>
      </c>
      <c r="K1021" s="17" t="s">
        <v>19</v>
      </c>
      <c r="L1021">
        <v>5</v>
      </c>
    </row>
    <row r="1022" spans="1:12" x14ac:dyDescent="0.25">
      <c r="A1022" t="s">
        <v>3004</v>
      </c>
      <c r="B1022" t="s">
        <v>1124</v>
      </c>
      <c r="C1022" t="s">
        <v>163</v>
      </c>
      <c r="D1022" t="s">
        <v>46</v>
      </c>
      <c r="E1022">
        <v>25</v>
      </c>
      <c r="F1022" t="s">
        <v>62</v>
      </c>
      <c r="G1022" t="s">
        <v>39</v>
      </c>
      <c r="H1022" t="s">
        <v>3005</v>
      </c>
      <c r="I1022" s="1" t="d">
        <v>2016-07-20</v>
      </c>
      <c r="J1022" t="s">
        <v>235</v>
      </c>
      <c r="K1022" s="17" t="s">
        <v>100</v>
      </c>
      <c r="L1022">
        <v>5</v>
      </c>
    </row>
    <row r="1023" spans="1:12" x14ac:dyDescent="0.25">
      <c r="A1023" t="s">
        <v>980</v>
      </c>
      <c r="B1023" t="s">
        <v>981</v>
      </c>
      <c r="C1023" t="s">
        <v>516</v>
      </c>
      <c r="D1023" t="s">
        <v>23</v>
      </c>
      <c r="E1023">
        <v>40</v>
      </c>
      <c r="F1023" t="s">
        <v>31</v>
      </c>
      <c r="G1023" t="s">
        <v>39</v>
      </c>
      <c r="H1023" s="2">
        <v>46177</v>
      </c>
      <c r="I1023" s="1" t="d">
        <v>2021-04-12</v>
      </c>
      <c r="J1023" t="s">
        <v>982</v>
      </c>
      <c r="K1023" s="17" t="s">
        <v>27</v>
      </c>
      <c r="L1023">
        <v>3</v>
      </c>
    </row>
    <row r="1024" spans="1:12" x14ac:dyDescent="0.25">
      <c r="A1024" t="s">
        <v>3006</v>
      </c>
      <c r="B1024" t="s">
        <v>1738</v>
      </c>
      <c r="C1024" t="s">
        <v>204</v>
      </c>
      <c r="D1024" t="s">
        <v>46</v>
      </c>
      <c r="E1024">
        <v>32</v>
      </c>
      <c r="F1024" t="s">
        <v>645</v>
      </c>
      <c r="G1024" t="s">
        <v>177</v>
      </c>
      <c r="H1024" t="s">
        <v>3007</v>
      </c>
      <c r="J1024" t="s">
        <v>2639</v>
      </c>
      <c r="K1024" s="17" t="s">
        <v>27</v>
      </c>
      <c r="L1024">
        <v>3</v>
      </c>
    </row>
    <row r="1025" spans="1:12" x14ac:dyDescent="0.25">
      <c r="A1025" t="s">
        <v>3008</v>
      </c>
      <c r="B1025" t="s">
        <v>914</v>
      </c>
      <c r="C1025" t="s">
        <v>827</v>
      </c>
      <c r="D1025" t="s">
        <v>9527</v>
      </c>
      <c r="E1025">
        <v>37</v>
      </c>
      <c r="F1025" t="s">
        <v>31</v>
      </c>
      <c r="G1025" t="s">
        <v>337</v>
      </c>
      <c r="H1025" t="s">
        <v>3009</v>
      </c>
      <c r="I1025" s="1" t="d">
        <v>2010-03-14</v>
      </c>
      <c r="J1025" t="s">
        <v>3010</v>
      </c>
      <c r="K1025" s="17" t="s">
        <v>184</v>
      </c>
      <c r="L1025">
        <v>3</v>
      </c>
    </row>
    <row r="1026" spans="1:12" x14ac:dyDescent="0.25">
      <c r="A1026" t="s">
        <v>3011</v>
      </c>
      <c r="B1026" t="s">
        <v>1124</v>
      </c>
      <c r="C1026" t="s">
        <v>631</v>
      </c>
      <c r="D1026" t="s">
        <v>46</v>
      </c>
      <c r="E1026">
        <v>47</v>
      </c>
      <c r="F1026" t="s">
        <v>589</v>
      </c>
      <c r="G1026" t="s">
        <v>638</v>
      </c>
      <c r="H1026" t="s">
        <v>3012</v>
      </c>
      <c r="I1026" s="1" t="d">
        <v>2007-11-21</v>
      </c>
      <c r="J1026" t="s">
        <v>3013</v>
      </c>
      <c r="K1026" s="17" t="s">
        <v>90</v>
      </c>
      <c r="L1026">
        <v>3</v>
      </c>
    </row>
    <row r="1027" spans="1:12" x14ac:dyDescent="0.25">
      <c r="A1027" t="s">
        <v>3014</v>
      </c>
      <c r="B1027" t="s">
        <v>439</v>
      </c>
      <c r="C1027" t="s">
        <v>204</v>
      </c>
      <c r="D1027" t="s">
        <v>9527</v>
      </c>
      <c r="E1027">
        <v>41</v>
      </c>
      <c r="F1027" t="s">
        <v>238</v>
      </c>
      <c r="G1027" t="s">
        <v>1791</v>
      </c>
      <c r="H1027" t="s">
        <v>3015</v>
      </c>
      <c r="J1027" t="s">
        <v>3016</v>
      </c>
      <c r="K1027" s="17" t="s">
        <v>19</v>
      </c>
      <c r="L1027">
        <v>2</v>
      </c>
    </row>
    <row r="1028" spans="1:12" x14ac:dyDescent="0.25">
      <c r="A1028" t="s">
        <v>3017</v>
      </c>
      <c r="B1028" t="s">
        <v>789</v>
      </c>
      <c r="C1028" t="s">
        <v>1576</v>
      </c>
      <c r="D1028" t="s">
        <v>46</v>
      </c>
      <c r="E1028">
        <v>51</v>
      </c>
      <c r="G1028" t="s">
        <v>39</v>
      </c>
      <c r="H1028" t="s">
        <v>3018</v>
      </c>
      <c r="J1028" t="s">
        <v>3019</v>
      </c>
      <c r="K1028" s="17" t="s">
        <v>34</v>
      </c>
      <c r="L1028">
        <v>3</v>
      </c>
    </row>
    <row r="1029" spans="1:12" x14ac:dyDescent="0.25">
      <c r="A1029" t="s">
        <v>3020</v>
      </c>
      <c r="B1029" t="s">
        <v>1316</v>
      </c>
      <c r="C1029" t="s">
        <v>416</v>
      </c>
      <c r="D1029" t="s">
        <v>23</v>
      </c>
      <c r="E1029">
        <v>35</v>
      </c>
      <c r="F1029" t="s">
        <v>2065</v>
      </c>
      <c r="G1029" t="s">
        <v>504</v>
      </c>
      <c r="H1029">
        <v>80309</v>
      </c>
      <c r="I1029" s="1" t="d">
        <v>2017-06-05</v>
      </c>
      <c r="J1029" t="s">
        <v>2036</v>
      </c>
      <c r="K1029" s="17" t="s">
        <v>50</v>
      </c>
      <c r="L1029">
        <v>3</v>
      </c>
    </row>
    <row r="1030" spans="1:12" x14ac:dyDescent="0.25">
      <c r="A1030" t="s">
        <v>3021</v>
      </c>
      <c r="B1030" t="s">
        <v>702</v>
      </c>
      <c r="C1030" t="s">
        <v>758</v>
      </c>
      <c r="D1030" t="s">
        <v>9527</v>
      </c>
      <c r="E1030">
        <v>43</v>
      </c>
      <c r="F1030" t="s">
        <v>253</v>
      </c>
      <c r="G1030" t="s">
        <v>283</v>
      </c>
      <c r="H1030" s="2">
        <v>117721</v>
      </c>
      <c r="I1030" s="1" t="d">
        <v>2022-06-02</v>
      </c>
      <c r="J1030" t="s">
        <v>3022</v>
      </c>
      <c r="K1030" s="17" t="s">
        <v>90</v>
      </c>
      <c r="L1030">
        <v>4</v>
      </c>
    </row>
    <row r="1031" spans="1:12" x14ac:dyDescent="0.25">
      <c r="A1031" t="s">
        <v>3023</v>
      </c>
      <c r="B1031" t="s">
        <v>1086</v>
      </c>
      <c r="C1031" t="s">
        <v>1442</v>
      </c>
      <c r="D1031" t="s">
        <v>23</v>
      </c>
      <c r="E1031">
        <v>21</v>
      </c>
      <c r="F1031" t="s">
        <v>1385</v>
      </c>
      <c r="G1031" t="s">
        <v>39</v>
      </c>
      <c r="H1031">
        <v>93229</v>
      </c>
      <c r="I1031" s="1" t="d">
        <v>2006-01-04</v>
      </c>
      <c r="J1031" t="s">
        <v>2162</v>
      </c>
      <c r="K1031" s="17" t="s">
        <v>58</v>
      </c>
      <c r="L1031">
        <v>4</v>
      </c>
    </row>
    <row r="1032" spans="1:12" x14ac:dyDescent="0.25">
      <c r="A1032" t="s">
        <v>3024</v>
      </c>
      <c r="B1032" t="s">
        <v>931</v>
      </c>
      <c r="C1032" t="s">
        <v>440</v>
      </c>
      <c r="D1032" t="s">
        <v>23</v>
      </c>
      <c r="E1032">
        <v>25</v>
      </c>
      <c r="F1032" t="s">
        <v>200</v>
      </c>
      <c r="G1032" t="s">
        <v>504</v>
      </c>
      <c r="H1032">
        <v>82546</v>
      </c>
      <c r="I1032" s="1" t="d">
        <v>2013-12-04</v>
      </c>
      <c r="J1032" t="s">
        <v>2340</v>
      </c>
      <c r="K1032" s="17" t="s">
        <v>370</v>
      </c>
      <c r="L1032">
        <v>3</v>
      </c>
    </row>
    <row r="1033" spans="1:12" x14ac:dyDescent="0.25">
      <c r="A1033" t="s">
        <v>3025</v>
      </c>
      <c r="B1033" t="s">
        <v>1738</v>
      </c>
      <c r="C1033" t="s">
        <v>1377</v>
      </c>
      <c r="D1033" t="s">
        <v>46</v>
      </c>
      <c r="E1033">
        <v>42</v>
      </c>
      <c r="F1033" t="s">
        <v>216</v>
      </c>
      <c r="G1033" t="s">
        <v>170</v>
      </c>
      <c r="I1033" s="1" t="d">
        <v>2016-04-27</v>
      </c>
      <c r="J1033" t="s">
        <v>3026</v>
      </c>
      <c r="K1033" s="17" t="s">
        <v>370</v>
      </c>
      <c r="L1033">
        <v>4</v>
      </c>
    </row>
    <row r="1034" spans="1:12" x14ac:dyDescent="0.25">
      <c r="A1034" t="s">
        <v>3027</v>
      </c>
      <c r="B1034" t="s">
        <v>1181</v>
      </c>
      <c r="C1034" t="s">
        <v>2249</v>
      </c>
      <c r="D1034" t="s">
        <v>46</v>
      </c>
      <c r="E1034">
        <v>41</v>
      </c>
      <c r="F1034" t="s">
        <v>666</v>
      </c>
      <c r="G1034" t="s">
        <v>205</v>
      </c>
      <c r="I1034" s="1" t="d">
        <v>2023-10-21</v>
      </c>
      <c r="J1034" t="s">
        <v>3028</v>
      </c>
      <c r="K1034" s="17" t="s">
        <v>207</v>
      </c>
      <c r="L1034">
        <v>5</v>
      </c>
    </row>
    <row r="1035" spans="1:12" x14ac:dyDescent="0.25">
      <c r="A1035" t="s">
        <v>3029</v>
      </c>
      <c r="B1035" t="s">
        <v>281</v>
      </c>
      <c r="C1035" t="s">
        <v>386</v>
      </c>
      <c r="D1035" t="s">
        <v>46</v>
      </c>
      <c r="E1035">
        <v>53</v>
      </c>
      <c r="F1035" t="s">
        <v>146</v>
      </c>
      <c r="G1035" t="s">
        <v>159</v>
      </c>
      <c r="H1035">
        <v>106136</v>
      </c>
      <c r="I1035" s="1" t="d">
        <v>2006-06-23</v>
      </c>
      <c r="J1035" t="s">
        <v>1613</v>
      </c>
      <c r="K1035" s="17" t="s">
        <v>58</v>
      </c>
      <c r="L1035">
        <v>4</v>
      </c>
    </row>
    <row r="1036" spans="1:12" x14ac:dyDescent="0.25">
      <c r="A1036" t="s">
        <v>3030</v>
      </c>
      <c r="B1036" t="s">
        <v>86</v>
      </c>
      <c r="C1036" t="s">
        <v>1668</v>
      </c>
      <c r="D1036" t="s">
        <v>9527</v>
      </c>
      <c r="E1036">
        <v>47</v>
      </c>
      <c r="F1036" t="s">
        <v>2302</v>
      </c>
      <c r="G1036" t="s">
        <v>115</v>
      </c>
      <c r="H1036" s="2">
        <v>84242</v>
      </c>
      <c r="I1036" s="1" t="d">
        <v>2018-11-01</v>
      </c>
      <c r="J1036" t="s">
        <v>3031</v>
      </c>
      <c r="K1036" s="17" t="s">
        <v>184</v>
      </c>
      <c r="L1036">
        <v>5</v>
      </c>
    </row>
    <row r="1037" spans="1:12" x14ac:dyDescent="0.25">
      <c r="A1037" t="s">
        <v>3032</v>
      </c>
      <c r="B1037" t="s">
        <v>426</v>
      </c>
      <c r="C1037" t="s">
        <v>107</v>
      </c>
      <c r="D1037" t="s">
        <v>46</v>
      </c>
      <c r="E1037">
        <v>37</v>
      </c>
      <c r="F1037" t="s">
        <v>859</v>
      </c>
      <c r="G1037" t="s">
        <v>191</v>
      </c>
      <c r="H1037">
        <v>57946</v>
      </c>
      <c r="I1037" s="1" t="d">
        <v>2007-06-18</v>
      </c>
      <c r="J1037" t="s">
        <v>3033</v>
      </c>
      <c r="K1037" s="17" t="s">
        <v>71</v>
      </c>
      <c r="L1037">
        <v>3</v>
      </c>
    </row>
    <row r="1038" spans="1:12" x14ac:dyDescent="0.25">
      <c r="A1038" t="s">
        <v>3034</v>
      </c>
      <c r="B1038" t="s">
        <v>808</v>
      </c>
      <c r="C1038" t="s">
        <v>3035</v>
      </c>
      <c r="D1038" t="s">
        <v>9527</v>
      </c>
      <c r="E1038">
        <v>31</v>
      </c>
      <c r="F1038" t="s">
        <v>114</v>
      </c>
      <c r="G1038" t="s">
        <v>1215</v>
      </c>
      <c r="H1038" s="2">
        <v>95073</v>
      </c>
      <c r="I1038" s="1" t="d">
        <v>2024-06-07</v>
      </c>
      <c r="J1038" t="s">
        <v>3036</v>
      </c>
      <c r="K1038" s="17" t="s">
        <v>58</v>
      </c>
      <c r="L1038">
        <v>3</v>
      </c>
    </row>
    <row r="1039" spans="1:12" x14ac:dyDescent="0.25">
      <c r="A1039" t="s">
        <v>3037</v>
      </c>
      <c r="B1039" t="s">
        <v>174</v>
      </c>
      <c r="C1039" t="s">
        <v>869</v>
      </c>
      <c r="D1039" t="s">
        <v>46</v>
      </c>
      <c r="E1039">
        <v>38</v>
      </c>
      <c r="F1039" t="s">
        <v>38</v>
      </c>
      <c r="G1039" t="s">
        <v>39</v>
      </c>
      <c r="H1039" t="s">
        <v>3038</v>
      </c>
      <c r="I1039" s="1" t="d">
        <v>2008-11-17</v>
      </c>
      <c r="J1039" t="s">
        <v>3039</v>
      </c>
      <c r="K1039" s="17" t="s">
        <v>100</v>
      </c>
      <c r="L1039">
        <v>4</v>
      </c>
    </row>
    <row r="1040" spans="1:12" x14ac:dyDescent="0.25">
      <c r="A1040" t="s">
        <v>3040</v>
      </c>
      <c r="B1040" t="s">
        <v>281</v>
      </c>
      <c r="C1040" t="s">
        <v>2249</v>
      </c>
      <c r="D1040" t="s">
        <v>9527</v>
      </c>
      <c r="E1040">
        <v>26</v>
      </c>
      <c r="F1040" t="s">
        <v>269</v>
      </c>
      <c r="G1040" t="s">
        <v>996</v>
      </c>
      <c r="H1040" s="2">
        <v>99485</v>
      </c>
      <c r="I1040" s="1" t="d">
        <v>2017-12-22</v>
      </c>
      <c r="J1040" t="s">
        <v>419</v>
      </c>
      <c r="K1040" s="17" t="s">
        <v>19</v>
      </c>
      <c r="L1040">
        <v>2</v>
      </c>
    </row>
    <row r="1041" spans="1:12" x14ac:dyDescent="0.25">
      <c r="A1041" t="s">
        <v>3041</v>
      </c>
      <c r="B1041" t="s">
        <v>507</v>
      </c>
      <c r="C1041" t="s">
        <v>1622</v>
      </c>
      <c r="D1041" t="s">
        <v>23</v>
      </c>
      <c r="E1041">
        <v>39</v>
      </c>
      <c r="F1041" t="s">
        <v>94</v>
      </c>
      <c r="G1041" t="s">
        <v>357</v>
      </c>
      <c r="H1041" t="s">
        <v>3042</v>
      </c>
      <c r="I1041" s="1" t="d">
        <v>2019-03-22</v>
      </c>
      <c r="J1041" t="s">
        <v>1776</v>
      </c>
      <c r="K1041" s="17" t="s">
        <v>42</v>
      </c>
      <c r="L1041">
        <v>4</v>
      </c>
    </row>
    <row r="1042" spans="1:12" x14ac:dyDescent="0.25">
      <c r="A1042" t="s">
        <v>3043</v>
      </c>
      <c r="B1042" t="s">
        <v>157</v>
      </c>
      <c r="C1042" t="s">
        <v>3044</v>
      </c>
      <c r="D1042" t="s">
        <v>46</v>
      </c>
      <c r="E1042">
        <v>31</v>
      </c>
      <c r="F1042" t="s">
        <v>399</v>
      </c>
      <c r="G1042" t="s">
        <v>191</v>
      </c>
      <c r="H1042" s="2">
        <v>49192</v>
      </c>
      <c r="I1042" s="1" t="d">
        <v>2009-07-06</v>
      </c>
      <c r="J1042" t="s">
        <v>3045</v>
      </c>
      <c r="K1042" s="17" t="s">
        <v>184</v>
      </c>
      <c r="L1042">
        <v>4</v>
      </c>
    </row>
    <row r="1043" spans="1:12" x14ac:dyDescent="0.25">
      <c r="A1043" t="s">
        <v>3046</v>
      </c>
      <c r="B1043" t="s">
        <v>2512</v>
      </c>
      <c r="C1043" t="s">
        <v>237</v>
      </c>
      <c r="D1043" t="s">
        <v>46</v>
      </c>
      <c r="E1043">
        <v>32</v>
      </c>
      <c r="F1043" t="s">
        <v>15</v>
      </c>
      <c r="G1043" t="s">
        <v>88</v>
      </c>
      <c r="H1043" s="2">
        <v>97584</v>
      </c>
      <c r="I1043" s="1" t="d">
        <v>2022-07-04</v>
      </c>
      <c r="J1043" t="s">
        <v>3047</v>
      </c>
      <c r="K1043" s="17" t="s">
        <v>27</v>
      </c>
      <c r="L1043">
        <v>4</v>
      </c>
    </row>
    <row r="1044" spans="1:12" x14ac:dyDescent="0.25">
      <c r="A1044" t="s">
        <v>3048</v>
      </c>
      <c r="B1044" t="s">
        <v>130</v>
      </c>
      <c r="C1044" t="s">
        <v>618</v>
      </c>
      <c r="D1044" t="s">
        <v>9527</v>
      </c>
      <c r="E1044">
        <v>24</v>
      </c>
      <c r="F1044" t="s">
        <v>264</v>
      </c>
      <c r="G1044" t="s">
        <v>16</v>
      </c>
      <c r="H1044">
        <v>116191</v>
      </c>
      <c r="I1044" s="1" t="d">
        <v>2016-02-26</v>
      </c>
      <c r="J1044" t="s">
        <v>3049</v>
      </c>
      <c r="K1044" s="17" t="s">
        <v>27</v>
      </c>
      <c r="L1044">
        <v>4</v>
      </c>
    </row>
    <row r="1045" spans="1:12" x14ac:dyDescent="0.25">
      <c r="A1045" t="s">
        <v>3050</v>
      </c>
      <c r="B1045" t="s">
        <v>3051</v>
      </c>
      <c r="C1045" t="s">
        <v>1343</v>
      </c>
      <c r="D1045" t="s">
        <v>46</v>
      </c>
      <c r="E1045">
        <v>26</v>
      </c>
      <c r="F1045" t="s">
        <v>522</v>
      </c>
      <c r="G1045" t="s">
        <v>69</v>
      </c>
      <c r="H1045" s="2">
        <v>96224</v>
      </c>
      <c r="J1045" t="s">
        <v>3052</v>
      </c>
      <c r="K1045" s="17" t="s">
        <v>100</v>
      </c>
      <c r="L1045">
        <v>2</v>
      </c>
    </row>
    <row r="1046" spans="1:12" x14ac:dyDescent="0.25">
      <c r="A1046" t="s">
        <v>3053</v>
      </c>
      <c r="B1046" t="s">
        <v>804</v>
      </c>
      <c r="C1046" t="s">
        <v>869</v>
      </c>
      <c r="D1046" t="s">
        <v>9527</v>
      </c>
      <c r="E1046">
        <v>51</v>
      </c>
      <c r="F1046" t="s">
        <v>211</v>
      </c>
      <c r="G1046" t="s">
        <v>39</v>
      </c>
      <c r="H1046" t="s">
        <v>3054</v>
      </c>
      <c r="I1046" s="1" t="d">
        <v>2019-09-06</v>
      </c>
      <c r="J1046" t="s">
        <v>806</v>
      </c>
      <c r="K1046" s="17" t="s">
        <v>19</v>
      </c>
      <c r="L1046">
        <v>4</v>
      </c>
    </row>
    <row r="1047" spans="1:12" x14ac:dyDescent="0.25">
      <c r="A1047" t="s">
        <v>3055</v>
      </c>
      <c r="B1047" t="s">
        <v>228</v>
      </c>
      <c r="C1047" t="s">
        <v>1520</v>
      </c>
      <c r="D1047" t="s">
        <v>9527</v>
      </c>
      <c r="E1047">
        <v>43</v>
      </c>
      <c r="F1047" t="s">
        <v>417</v>
      </c>
      <c r="G1047" t="s">
        <v>337</v>
      </c>
      <c r="H1047" t="s">
        <v>3056</v>
      </c>
      <c r="I1047" s="1" t="d">
        <v>2024-11-06</v>
      </c>
      <c r="J1047" t="s">
        <v>1521</v>
      </c>
      <c r="K1047" s="17" t="s">
        <v>184</v>
      </c>
      <c r="L1047">
        <v>5</v>
      </c>
    </row>
    <row r="1048" spans="1:12" x14ac:dyDescent="0.25">
      <c r="A1048" t="s">
        <v>3057</v>
      </c>
      <c r="B1048" t="s">
        <v>3058</v>
      </c>
      <c r="C1048" t="s">
        <v>631</v>
      </c>
      <c r="D1048" t="s">
        <v>9527</v>
      </c>
      <c r="E1048">
        <v>39</v>
      </c>
      <c r="G1048" t="s">
        <v>69</v>
      </c>
      <c r="H1048" s="2">
        <v>69312</v>
      </c>
      <c r="I1048" s="1" t="d">
        <v>2005-01-18</v>
      </c>
      <c r="J1048" t="s">
        <v>3059</v>
      </c>
      <c r="K1048" s="17" t="s">
        <v>58</v>
      </c>
      <c r="L1048">
        <v>1</v>
      </c>
    </row>
    <row r="1049" spans="1:12" x14ac:dyDescent="0.25">
      <c r="A1049" t="s">
        <v>3060</v>
      </c>
      <c r="B1049" t="s">
        <v>139</v>
      </c>
      <c r="C1049" t="s">
        <v>107</v>
      </c>
      <c r="D1049" t="s">
        <v>9527</v>
      </c>
      <c r="E1049">
        <v>39</v>
      </c>
      <c r="F1049" t="s">
        <v>649</v>
      </c>
      <c r="G1049" t="s">
        <v>182</v>
      </c>
      <c r="I1049" s="1" t="d">
        <v>2024-10-07</v>
      </c>
      <c r="J1049" t="s">
        <v>2303</v>
      </c>
      <c r="K1049" s="17" t="s">
        <v>370</v>
      </c>
      <c r="L1049">
        <v>4</v>
      </c>
    </row>
    <row r="1050" spans="1:12" x14ac:dyDescent="0.25">
      <c r="A1050" t="s">
        <v>3061</v>
      </c>
      <c r="B1050" t="s">
        <v>846</v>
      </c>
      <c r="C1050" t="s">
        <v>869</v>
      </c>
      <c r="D1050" t="s">
        <v>46</v>
      </c>
      <c r="E1050">
        <v>40</v>
      </c>
      <c r="F1050" t="s">
        <v>3062</v>
      </c>
      <c r="G1050" t="s">
        <v>177</v>
      </c>
      <c r="H1050" t="s">
        <v>3063</v>
      </c>
      <c r="I1050" s="1" t="d">
        <v>2009-02-21</v>
      </c>
      <c r="J1050" t="s">
        <v>3064</v>
      </c>
      <c r="K1050" s="17" t="s">
        <v>42</v>
      </c>
      <c r="L1050">
        <v>4</v>
      </c>
    </row>
    <row r="1051" spans="1:12" x14ac:dyDescent="0.25">
      <c r="A1051" t="s">
        <v>3065</v>
      </c>
      <c r="B1051" t="s">
        <v>1002</v>
      </c>
      <c r="C1051" t="s">
        <v>45</v>
      </c>
      <c r="D1051" t="s">
        <v>23</v>
      </c>
      <c r="E1051">
        <v>50</v>
      </c>
      <c r="F1051" t="s">
        <v>253</v>
      </c>
      <c r="G1051" t="s">
        <v>182</v>
      </c>
      <c r="H1051" t="s">
        <v>3066</v>
      </c>
      <c r="I1051" s="1" t="d">
        <v>2007-02-01</v>
      </c>
      <c r="J1051" t="s">
        <v>3067</v>
      </c>
      <c r="K1051" s="17" t="s">
        <v>184</v>
      </c>
      <c r="L1051">
        <v>4</v>
      </c>
    </row>
    <row r="1052" spans="1:12" x14ac:dyDescent="0.25">
      <c r="A1052" t="s">
        <v>3068</v>
      </c>
      <c r="B1052" t="s">
        <v>808</v>
      </c>
      <c r="C1052" t="s">
        <v>805</v>
      </c>
      <c r="D1052" t="s">
        <v>23</v>
      </c>
      <c r="E1052">
        <v>35</v>
      </c>
      <c r="F1052" t="s">
        <v>373</v>
      </c>
      <c r="G1052" t="s">
        <v>842</v>
      </c>
      <c r="H1052">
        <v>141440</v>
      </c>
      <c r="I1052" s="1" t="d">
        <v>2023-04-08</v>
      </c>
      <c r="J1052" t="s">
        <v>1797</v>
      </c>
      <c r="K1052" s="17" t="s">
        <v>149</v>
      </c>
      <c r="L1052">
        <v>3</v>
      </c>
    </row>
    <row r="1053" spans="1:12" x14ac:dyDescent="0.25">
      <c r="A1053" t="s">
        <v>3069</v>
      </c>
      <c r="B1053" t="s">
        <v>335</v>
      </c>
      <c r="C1053" t="s">
        <v>175</v>
      </c>
      <c r="D1053" t="s">
        <v>23</v>
      </c>
      <c r="E1053">
        <v>34</v>
      </c>
      <c r="F1053" t="s">
        <v>211</v>
      </c>
      <c r="G1053" t="s">
        <v>1719</v>
      </c>
      <c r="H1053" t="s">
        <v>3070</v>
      </c>
      <c r="I1053" s="1" t="d">
        <v>2015-07-17</v>
      </c>
      <c r="J1053" t="s">
        <v>3071</v>
      </c>
      <c r="K1053" s="17" t="s">
        <v>34</v>
      </c>
      <c r="L1053">
        <v>4</v>
      </c>
    </row>
    <row r="1054" spans="1:12" x14ac:dyDescent="0.25">
      <c r="A1054" t="s">
        <v>3072</v>
      </c>
      <c r="B1054" t="s">
        <v>180</v>
      </c>
      <c r="C1054" t="s">
        <v>1332</v>
      </c>
      <c r="D1054" t="s">
        <v>46</v>
      </c>
      <c r="E1054">
        <v>21</v>
      </c>
      <c r="F1054" t="s">
        <v>1116</v>
      </c>
      <c r="G1054" t="s">
        <v>55</v>
      </c>
      <c r="H1054" s="2">
        <v>67330</v>
      </c>
      <c r="I1054" s="1" t="d">
        <v>2023-06-02</v>
      </c>
      <c r="J1054" t="s">
        <v>3073</v>
      </c>
      <c r="K1054" s="17" t="s">
        <v>19</v>
      </c>
      <c r="L1054">
        <v>3</v>
      </c>
    </row>
    <row r="1055" spans="1:12" x14ac:dyDescent="0.25">
      <c r="A1055" t="s">
        <v>3074</v>
      </c>
      <c r="B1055" t="s">
        <v>2041</v>
      </c>
      <c r="C1055" t="s">
        <v>3075</v>
      </c>
      <c r="D1055" t="s">
        <v>9527</v>
      </c>
      <c r="E1055">
        <v>25</v>
      </c>
      <c r="F1055" t="s">
        <v>216</v>
      </c>
      <c r="G1055" t="s">
        <v>82</v>
      </c>
      <c r="H1055" t="s">
        <v>3076</v>
      </c>
      <c r="I1055" s="1" t="d">
        <v>2005-02-28</v>
      </c>
      <c r="J1055" t="s">
        <v>3077</v>
      </c>
      <c r="K1055" s="17" t="s">
        <v>100</v>
      </c>
      <c r="L1055">
        <v>3</v>
      </c>
    </row>
    <row r="1056" spans="1:12" x14ac:dyDescent="0.25">
      <c r="A1056" t="s">
        <v>3078</v>
      </c>
      <c r="B1056" t="s">
        <v>37</v>
      </c>
      <c r="C1056" t="s">
        <v>1750</v>
      </c>
      <c r="D1056" t="s">
        <v>9527</v>
      </c>
      <c r="E1056">
        <v>29</v>
      </c>
      <c r="G1056" t="s">
        <v>82</v>
      </c>
      <c r="H1056">
        <v>47991</v>
      </c>
      <c r="I1056" s="1" t="d">
        <v>2005-10-08</v>
      </c>
      <c r="J1056" t="s">
        <v>3079</v>
      </c>
      <c r="K1056" s="17" t="s">
        <v>100</v>
      </c>
      <c r="L1056">
        <v>4</v>
      </c>
    </row>
    <row r="1057" spans="1:12" x14ac:dyDescent="0.25">
      <c r="A1057" t="s">
        <v>3080</v>
      </c>
      <c r="B1057" t="s">
        <v>2147</v>
      </c>
      <c r="C1057" t="s">
        <v>318</v>
      </c>
      <c r="D1057" t="s">
        <v>46</v>
      </c>
      <c r="E1057">
        <v>59</v>
      </c>
      <c r="G1057" t="s">
        <v>39</v>
      </c>
      <c r="J1057" t="s">
        <v>2985</v>
      </c>
      <c r="K1057" s="17" t="s">
        <v>207</v>
      </c>
      <c r="L1057">
        <v>4</v>
      </c>
    </row>
    <row r="1058" spans="1:12" x14ac:dyDescent="0.25">
      <c r="A1058" t="s">
        <v>2423</v>
      </c>
      <c r="B1058" t="s">
        <v>311</v>
      </c>
      <c r="C1058" t="s">
        <v>145</v>
      </c>
      <c r="D1058" t="s">
        <v>9527</v>
      </c>
      <c r="E1058">
        <v>42</v>
      </c>
      <c r="F1058" t="s">
        <v>200</v>
      </c>
      <c r="G1058" t="s">
        <v>48</v>
      </c>
      <c r="H1058">
        <v>84968</v>
      </c>
      <c r="I1058" s="1" t="d">
        <v>2023-03-19</v>
      </c>
      <c r="J1058" t="s">
        <v>867</v>
      </c>
      <c r="K1058" s="17" t="s">
        <v>34</v>
      </c>
      <c r="L1058">
        <v>3</v>
      </c>
    </row>
    <row r="1059" spans="1:12" x14ac:dyDescent="0.25">
      <c r="A1059" t="s">
        <v>3081</v>
      </c>
      <c r="B1059" t="s">
        <v>456</v>
      </c>
      <c r="C1059" t="s">
        <v>988</v>
      </c>
      <c r="D1059" t="s">
        <v>9527</v>
      </c>
      <c r="E1059">
        <v>38</v>
      </c>
      <c r="F1059" t="s">
        <v>859</v>
      </c>
      <c r="G1059" t="s">
        <v>39</v>
      </c>
      <c r="H1059" s="2">
        <v>51822</v>
      </c>
      <c r="J1059" t="s">
        <v>2921</v>
      </c>
      <c r="K1059" s="17" t="s">
        <v>370</v>
      </c>
      <c r="L1059">
        <v>3</v>
      </c>
    </row>
    <row r="1060" spans="1:12" x14ac:dyDescent="0.25">
      <c r="A1060" t="s">
        <v>3082</v>
      </c>
      <c r="B1060" t="s">
        <v>583</v>
      </c>
      <c r="C1060" t="s">
        <v>1377</v>
      </c>
      <c r="D1060" t="s">
        <v>9527</v>
      </c>
      <c r="E1060">
        <v>52</v>
      </c>
      <c r="F1060" t="s">
        <v>1568</v>
      </c>
      <c r="G1060" t="s">
        <v>283</v>
      </c>
      <c r="H1060">
        <v>171870</v>
      </c>
      <c r="I1060" s="1" t="d">
        <v>2008-08-25</v>
      </c>
      <c r="J1060" t="s">
        <v>1978</v>
      </c>
      <c r="K1060" s="17" t="s">
        <v>50</v>
      </c>
      <c r="L1060">
        <v>3</v>
      </c>
    </row>
    <row r="1061" spans="1:12" x14ac:dyDescent="0.25">
      <c r="A1061" t="s">
        <v>3083</v>
      </c>
      <c r="B1061" t="s">
        <v>3084</v>
      </c>
      <c r="C1061" t="s">
        <v>175</v>
      </c>
      <c r="D1061" t="s">
        <v>46</v>
      </c>
      <c r="E1061">
        <v>26</v>
      </c>
      <c r="F1061" t="s">
        <v>3085</v>
      </c>
      <c r="G1061" t="s">
        <v>48</v>
      </c>
      <c r="H1061">
        <v>50861</v>
      </c>
      <c r="I1061" s="1" t="d">
        <v>2008-02-23</v>
      </c>
      <c r="J1061" t="s">
        <v>178</v>
      </c>
      <c r="K1061" s="17" t="s">
        <v>207</v>
      </c>
      <c r="L1061">
        <v>3</v>
      </c>
    </row>
    <row r="1062" spans="1:12" x14ac:dyDescent="0.25">
      <c r="A1062" t="s">
        <v>3086</v>
      </c>
      <c r="B1062" t="s">
        <v>3087</v>
      </c>
      <c r="C1062" t="s">
        <v>970</v>
      </c>
      <c r="D1062" t="s">
        <v>9527</v>
      </c>
      <c r="E1062">
        <v>51</v>
      </c>
      <c r="F1062" t="s">
        <v>31</v>
      </c>
      <c r="G1062" t="s">
        <v>141</v>
      </c>
      <c r="H1062" s="2">
        <v>55683</v>
      </c>
      <c r="I1062" s="1" t="d">
        <v>2016-06-12</v>
      </c>
      <c r="J1062" t="s">
        <v>1711</v>
      </c>
      <c r="K1062" s="17" t="s">
        <v>100</v>
      </c>
      <c r="L1062">
        <v>4</v>
      </c>
    </row>
    <row r="1063" spans="1:12" x14ac:dyDescent="0.25">
      <c r="A1063" t="s">
        <v>3088</v>
      </c>
      <c r="B1063" t="s">
        <v>901</v>
      </c>
      <c r="C1063" t="s">
        <v>3089</v>
      </c>
      <c r="D1063" t="s">
        <v>23</v>
      </c>
      <c r="E1063">
        <v>27</v>
      </c>
      <c r="F1063" t="s">
        <v>81</v>
      </c>
      <c r="G1063" t="s">
        <v>82</v>
      </c>
      <c r="H1063" t="s">
        <v>3090</v>
      </c>
      <c r="I1063" s="1" t="d">
        <v>2013-11-18</v>
      </c>
      <c r="J1063" t="s">
        <v>2338</v>
      </c>
      <c r="K1063" s="17" t="s">
        <v>42</v>
      </c>
      <c r="L1063">
        <v>3</v>
      </c>
    </row>
    <row r="1064" spans="1:12" x14ac:dyDescent="0.25">
      <c r="A1064" t="s">
        <v>3091</v>
      </c>
      <c r="B1064" t="s">
        <v>2272</v>
      </c>
      <c r="C1064" t="s">
        <v>827</v>
      </c>
      <c r="D1064" t="s">
        <v>9527</v>
      </c>
      <c r="E1064">
        <v>49</v>
      </c>
      <c r="F1064" t="s">
        <v>1785</v>
      </c>
      <c r="G1064" t="s">
        <v>88</v>
      </c>
      <c r="H1064" s="2">
        <v>45161</v>
      </c>
      <c r="I1064" s="1" t="d">
        <v>2016-08-22</v>
      </c>
      <c r="J1064" t="s">
        <v>3092</v>
      </c>
      <c r="K1064" s="17" t="s">
        <v>149</v>
      </c>
      <c r="L1064">
        <v>5</v>
      </c>
    </row>
    <row r="1065" spans="1:12" x14ac:dyDescent="0.25">
      <c r="A1065" t="s">
        <v>3093</v>
      </c>
      <c r="B1065" t="s">
        <v>1418</v>
      </c>
      <c r="C1065" t="s">
        <v>1770</v>
      </c>
      <c r="D1065" t="s">
        <v>46</v>
      </c>
      <c r="E1065">
        <v>39</v>
      </c>
      <c r="F1065" t="s">
        <v>216</v>
      </c>
      <c r="G1065" t="s">
        <v>141</v>
      </c>
      <c r="H1065">
        <v>51537</v>
      </c>
      <c r="I1065" s="1" t="d">
        <v>2012-08-08</v>
      </c>
      <c r="J1065" t="s">
        <v>2524</v>
      </c>
      <c r="K1065" s="17" t="s">
        <v>42</v>
      </c>
      <c r="L1065">
        <v>4</v>
      </c>
    </row>
    <row r="1066" spans="1:12" x14ac:dyDescent="0.25">
      <c r="A1066" t="s">
        <v>3094</v>
      </c>
      <c r="B1066" t="s">
        <v>786</v>
      </c>
      <c r="C1066" t="s">
        <v>710</v>
      </c>
      <c r="D1066" t="s">
        <v>23</v>
      </c>
      <c r="E1066">
        <v>40</v>
      </c>
      <c r="F1066" t="s">
        <v>245</v>
      </c>
      <c r="G1066" t="s">
        <v>69</v>
      </c>
      <c r="I1066" s="1" t="d">
        <v>2017-08-27</v>
      </c>
      <c r="J1066" t="s">
        <v>780</v>
      </c>
      <c r="K1066" s="17" t="s">
        <v>19</v>
      </c>
      <c r="L1066">
        <v>2</v>
      </c>
    </row>
    <row r="1067" spans="1:12" x14ac:dyDescent="0.25">
      <c r="A1067" t="s">
        <v>1141</v>
      </c>
      <c r="B1067" t="s">
        <v>993</v>
      </c>
      <c r="C1067" t="s">
        <v>665</v>
      </c>
      <c r="D1067" t="s">
        <v>23</v>
      </c>
      <c r="E1067">
        <v>44</v>
      </c>
      <c r="F1067" t="s">
        <v>104</v>
      </c>
      <c r="G1067" t="s">
        <v>16</v>
      </c>
      <c r="H1067" t="s">
        <v>3095</v>
      </c>
      <c r="J1067" t="s">
        <v>1144</v>
      </c>
      <c r="K1067" s="17" t="s">
        <v>42</v>
      </c>
      <c r="L1067">
        <v>3</v>
      </c>
    </row>
    <row r="1068" spans="1:12" x14ac:dyDescent="0.25">
      <c r="A1068" t="s">
        <v>3096</v>
      </c>
      <c r="B1068" t="s">
        <v>1706</v>
      </c>
      <c r="C1068" t="s">
        <v>3097</v>
      </c>
      <c r="D1068" t="s">
        <v>46</v>
      </c>
      <c r="E1068">
        <v>43</v>
      </c>
      <c r="G1068" t="s">
        <v>39</v>
      </c>
      <c r="H1068" t="s">
        <v>3098</v>
      </c>
      <c r="I1068" s="1" t="d">
        <v>2011-11-30</v>
      </c>
      <c r="J1068" t="s">
        <v>3099</v>
      </c>
      <c r="K1068" s="17" t="s">
        <v>149</v>
      </c>
      <c r="L1068">
        <v>5</v>
      </c>
    </row>
    <row r="1069" spans="1:12" x14ac:dyDescent="0.25">
      <c r="A1069" t="s">
        <v>3100</v>
      </c>
      <c r="B1069" t="s">
        <v>804</v>
      </c>
      <c r="C1069" t="s">
        <v>210</v>
      </c>
      <c r="D1069" t="s">
        <v>23</v>
      </c>
      <c r="E1069">
        <v>41</v>
      </c>
      <c r="F1069" t="s">
        <v>3101</v>
      </c>
      <c r="G1069" t="s">
        <v>212</v>
      </c>
      <c r="H1069" t="s">
        <v>3102</v>
      </c>
      <c r="I1069" s="1" t="d">
        <v>2009-10-19</v>
      </c>
      <c r="J1069" t="s">
        <v>3103</v>
      </c>
      <c r="K1069" s="17" t="s">
        <v>71</v>
      </c>
      <c r="L1069">
        <v>3</v>
      </c>
    </row>
    <row r="1070" spans="1:12" x14ac:dyDescent="0.25">
      <c r="A1070" t="s">
        <v>3104</v>
      </c>
      <c r="B1070" t="s">
        <v>112</v>
      </c>
      <c r="C1070" t="s">
        <v>1360</v>
      </c>
      <c r="D1070" t="s">
        <v>9527</v>
      </c>
      <c r="E1070">
        <v>21</v>
      </c>
      <c r="F1070" t="s">
        <v>104</v>
      </c>
      <c r="G1070" t="s">
        <v>170</v>
      </c>
      <c r="I1070" s="1" t="d">
        <v>2012-09-17</v>
      </c>
      <c r="J1070" t="s">
        <v>3105</v>
      </c>
      <c r="K1070" s="17" t="s">
        <v>118</v>
      </c>
      <c r="L1070">
        <v>3</v>
      </c>
    </row>
    <row r="1071" spans="1:12" x14ac:dyDescent="0.25">
      <c r="A1071" t="s">
        <v>3106</v>
      </c>
      <c r="B1071" t="s">
        <v>157</v>
      </c>
      <c r="C1071" t="s">
        <v>2023</v>
      </c>
      <c r="D1071" t="s">
        <v>9527</v>
      </c>
      <c r="E1071">
        <v>26</v>
      </c>
      <c r="F1071" t="s">
        <v>38</v>
      </c>
      <c r="G1071" t="s">
        <v>69</v>
      </c>
      <c r="H1071" t="s">
        <v>3107</v>
      </c>
      <c r="I1071" s="1" t="d">
        <v>2019-06-30</v>
      </c>
      <c r="J1071" t="s">
        <v>1529</v>
      </c>
      <c r="K1071" s="17" t="s">
        <v>34</v>
      </c>
      <c r="L1071">
        <v>2</v>
      </c>
    </row>
    <row r="1072" spans="1:12" x14ac:dyDescent="0.25">
      <c r="A1072" t="s">
        <v>3108</v>
      </c>
      <c r="B1072" t="s">
        <v>3109</v>
      </c>
      <c r="C1072" t="s">
        <v>1258</v>
      </c>
      <c r="D1072" t="s">
        <v>23</v>
      </c>
      <c r="E1072">
        <v>21</v>
      </c>
      <c r="F1072" t="s">
        <v>146</v>
      </c>
      <c r="G1072" t="s">
        <v>641</v>
      </c>
      <c r="H1072" s="2">
        <v>92422</v>
      </c>
      <c r="J1072" t="s">
        <v>1420</v>
      </c>
      <c r="K1072" s="17" t="s">
        <v>100</v>
      </c>
      <c r="L1072">
        <v>4</v>
      </c>
    </row>
    <row r="1073" spans="1:12" x14ac:dyDescent="0.25">
      <c r="A1073" t="s">
        <v>3110</v>
      </c>
      <c r="B1073" t="s">
        <v>180</v>
      </c>
      <c r="C1073" t="s">
        <v>45</v>
      </c>
      <c r="D1073" t="s">
        <v>9527</v>
      </c>
      <c r="E1073">
        <v>42</v>
      </c>
      <c r="F1073" t="s">
        <v>81</v>
      </c>
      <c r="G1073" t="s">
        <v>48</v>
      </c>
      <c r="H1073" t="s">
        <v>3111</v>
      </c>
      <c r="I1073" s="1" t="d">
        <v>2019-08-08</v>
      </c>
      <c r="J1073" t="s">
        <v>3112</v>
      </c>
      <c r="K1073" s="17" t="s">
        <v>34</v>
      </c>
      <c r="L1073">
        <v>4</v>
      </c>
    </row>
    <row r="1074" spans="1:12" x14ac:dyDescent="0.25">
      <c r="A1074" t="s">
        <v>3113</v>
      </c>
      <c r="B1074" t="s">
        <v>1301</v>
      </c>
      <c r="C1074" t="s">
        <v>61</v>
      </c>
      <c r="D1074" t="s">
        <v>9527</v>
      </c>
      <c r="E1074">
        <v>39</v>
      </c>
      <c r="F1074" t="s">
        <v>989</v>
      </c>
      <c r="G1074" t="s">
        <v>177</v>
      </c>
      <c r="H1074" t="s">
        <v>3114</v>
      </c>
      <c r="I1074" s="1" t="d">
        <v>2014-09-15</v>
      </c>
      <c r="J1074" t="s">
        <v>3115</v>
      </c>
      <c r="K1074" s="17" t="s">
        <v>71</v>
      </c>
      <c r="L1074">
        <v>5</v>
      </c>
    </row>
    <row r="1075" spans="1:12" x14ac:dyDescent="0.25">
      <c r="A1075" t="s">
        <v>3116</v>
      </c>
      <c r="B1075" t="s">
        <v>1301</v>
      </c>
      <c r="C1075" t="s">
        <v>572</v>
      </c>
      <c r="D1075" t="s">
        <v>9527</v>
      </c>
      <c r="E1075">
        <v>37</v>
      </c>
      <c r="F1075" t="s">
        <v>532</v>
      </c>
      <c r="G1075" t="s">
        <v>115</v>
      </c>
      <c r="I1075" s="1" t="d">
        <v>2007-08-27</v>
      </c>
      <c r="J1075" t="s">
        <v>3117</v>
      </c>
      <c r="K1075" s="17" t="s">
        <v>71</v>
      </c>
      <c r="L1075">
        <v>3</v>
      </c>
    </row>
    <row r="1076" spans="1:12" x14ac:dyDescent="0.25">
      <c r="A1076" t="s">
        <v>3118</v>
      </c>
      <c r="B1076" t="s">
        <v>686</v>
      </c>
      <c r="C1076" t="s">
        <v>739</v>
      </c>
      <c r="D1076" t="s">
        <v>9527</v>
      </c>
      <c r="E1076">
        <v>46</v>
      </c>
      <c r="F1076" t="s">
        <v>230</v>
      </c>
      <c r="G1076" t="s">
        <v>88</v>
      </c>
      <c r="H1076" s="2">
        <v>59596</v>
      </c>
      <c r="I1076" s="1" t="d">
        <v>2023-12-12</v>
      </c>
      <c r="J1076" t="s">
        <v>3119</v>
      </c>
      <c r="K1076" s="17" t="s">
        <v>34</v>
      </c>
      <c r="L1076">
        <v>5</v>
      </c>
    </row>
    <row r="1077" spans="1:12" x14ac:dyDescent="0.25">
      <c r="A1077" t="s">
        <v>3120</v>
      </c>
      <c r="B1077" t="s">
        <v>833</v>
      </c>
      <c r="C1077" t="s">
        <v>699</v>
      </c>
      <c r="D1077" t="s">
        <v>46</v>
      </c>
      <c r="E1077">
        <v>41</v>
      </c>
      <c r="F1077" t="s">
        <v>169</v>
      </c>
      <c r="G1077" t="s">
        <v>115</v>
      </c>
      <c r="I1077" s="1" t="d">
        <v>2006-10-12</v>
      </c>
      <c r="J1077" t="s">
        <v>1410</v>
      </c>
      <c r="K1077" s="17" t="s">
        <v>184</v>
      </c>
      <c r="L1077">
        <v>5</v>
      </c>
    </row>
    <row r="1078" spans="1:12" x14ac:dyDescent="0.25">
      <c r="A1078" t="s">
        <v>3121</v>
      </c>
      <c r="B1078" t="s">
        <v>826</v>
      </c>
      <c r="C1078" t="s">
        <v>1291</v>
      </c>
      <c r="D1078" t="s">
        <v>23</v>
      </c>
      <c r="E1078">
        <v>35</v>
      </c>
      <c r="F1078" t="s">
        <v>196</v>
      </c>
      <c r="G1078" t="s">
        <v>297</v>
      </c>
      <c r="H1078" s="2">
        <v>999999</v>
      </c>
      <c r="I1078" s="1" t="d">
        <v>2012-02-13</v>
      </c>
      <c r="J1078" t="s">
        <v>1601</v>
      </c>
      <c r="K1078" s="17" t="s">
        <v>27</v>
      </c>
      <c r="L1078">
        <v>3</v>
      </c>
    </row>
    <row r="1079" spans="1:12" x14ac:dyDescent="0.25">
      <c r="A1079" t="s">
        <v>3122</v>
      </c>
      <c r="B1079" t="s">
        <v>448</v>
      </c>
      <c r="C1079" t="s">
        <v>1343</v>
      </c>
      <c r="D1079" t="s">
        <v>46</v>
      </c>
      <c r="E1079">
        <v>40</v>
      </c>
      <c r="F1079" t="s">
        <v>559</v>
      </c>
      <c r="G1079" t="s">
        <v>82</v>
      </c>
      <c r="I1079" s="1" t="d">
        <v>2014-07-02</v>
      </c>
      <c r="J1079" t="s">
        <v>3123</v>
      </c>
      <c r="K1079" s="17" t="s">
        <v>19</v>
      </c>
      <c r="L1079">
        <v>4</v>
      </c>
    </row>
    <row r="1080" spans="1:12" x14ac:dyDescent="0.25">
      <c r="A1080" t="s">
        <v>3124</v>
      </c>
      <c r="B1080" t="s">
        <v>199</v>
      </c>
      <c r="C1080" t="s">
        <v>758</v>
      </c>
      <c r="D1080" t="s">
        <v>46</v>
      </c>
      <c r="E1080">
        <v>29</v>
      </c>
      <c r="F1080" t="s">
        <v>62</v>
      </c>
      <c r="G1080" t="s">
        <v>88</v>
      </c>
      <c r="I1080" s="1" t="d">
        <v>2005-11-11</v>
      </c>
      <c r="J1080" t="s">
        <v>3125</v>
      </c>
      <c r="K1080" s="17" t="s">
        <v>100</v>
      </c>
      <c r="L1080">
        <v>3</v>
      </c>
    </row>
    <row r="1081" spans="1:12" x14ac:dyDescent="0.25">
      <c r="A1081" t="s">
        <v>3126</v>
      </c>
      <c r="B1081" t="s">
        <v>3127</v>
      </c>
      <c r="C1081" t="s">
        <v>210</v>
      </c>
      <c r="D1081" t="s">
        <v>23</v>
      </c>
      <c r="E1081">
        <v>42</v>
      </c>
      <c r="F1081" t="s">
        <v>1546</v>
      </c>
      <c r="G1081" t="s">
        <v>48</v>
      </c>
      <c r="I1081" s="1" t="d">
        <v>2022-10-25</v>
      </c>
      <c r="J1081" t="s">
        <v>3128</v>
      </c>
      <c r="K1081" s="17" t="s">
        <v>149</v>
      </c>
      <c r="L1081">
        <v>3</v>
      </c>
    </row>
    <row r="1082" spans="1:12" x14ac:dyDescent="0.25">
      <c r="A1082" t="s">
        <v>3129</v>
      </c>
      <c r="B1082" t="s">
        <v>102</v>
      </c>
      <c r="C1082" t="s">
        <v>1520</v>
      </c>
      <c r="D1082" t="s">
        <v>9527</v>
      </c>
      <c r="E1082">
        <v>47</v>
      </c>
      <c r="F1082" t="s">
        <v>190</v>
      </c>
      <c r="G1082" t="s">
        <v>88</v>
      </c>
      <c r="H1082" s="2">
        <v>58805</v>
      </c>
      <c r="I1082" s="1" t="d">
        <v>2020-06-10</v>
      </c>
      <c r="J1082" t="s">
        <v>206</v>
      </c>
      <c r="K1082" s="17" t="s">
        <v>149</v>
      </c>
      <c r="L1082">
        <v>5</v>
      </c>
    </row>
    <row r="1083" spans="1:12" x14ac:dyDescent="0.25">
      <c r="A1083" t="s">
        <v>3130</v>
      </c>
      <c r="B1083" t="s">
        <v>3131</v>
      </c>
      <c r="C1083" t="s">
        <v>1266</v>
      </c>
      <c r="D1083" t="s">
        <v>9527</v>
      </c>
      <c r="E1083">
        <v>60</v>
      </c>
      <c r="F1083" t="s">
        <v>38</v>
      </c>
      <c r="G1083" t="s">
        <v>239</v>
      </c>
      <c r="H1083">
        <v>61321</v>
      </c>
      <c r="I1083" s="1" t="d">
        <v>2019-03-19</v>
      </c>
      <c r="J1083" t="s">
        <v>2742</v>
      </c>
      <c r="K1083" s="17" t="s">
        <v>184</v>
      </c>
      <c r="L1083">
        <v>4</v>
      </c>
    </row>
    <row r="1084" spans="1:12" x14ac:dyDescent="0.25">
      <c r="A1084" t="s">
        <v>3132</v>
      </c>
      <c r="B1084" t="s">
        <v>773</v>
      </c>
      <c r="C1084" t="s">
        <v>766</v>
      </c>
      <c r="D1084" t="s">
        <v>46</v>
      </c>
      <c r="E1084">
        <v>39</v>
      </c>
      <c r="F1084" t="s">
        <v>319</v>
      </c>
      <c r="G1084" t="s">
        <v>39</v>
      </c>
      <c r="H1084" s="2">
        <v>46024</v>
      </c>
      <c r="I1084" s="1" t="d">
        <v>2018-09-29</v>
      </c>
      <c r="J1084" t="s">
        <v>2503</v>
      </c>
      <c r="K1084" s="17" t="s">
        <v>149</v>
      </c>
      <c r="L1084">
        <v>3</v>
      </c>
    </row>
    <row r="1085" spans="1:12" x14ac:dyDescent="0.25">
      <c r="A1085" t="s">
        <v>3133</v>
      </c>
      <c r="B1085" t="s">
        <v>86</v>
      </c>
      <c r="C1085" t="s">
        <v>699</v>
      </c>
      <c r="D1085" t="s">
        <v>9527</v>
      </c>
      <c r="E1085">
        <v>42</v>
      </c>
      <c r="F1085" t="s">
        <v>319</v>
      </c>
      <c r="G1085" t="s">
        <v>39</v>
      </c>
      <c r="H1085">
        <v>53542</v>
      </c>
      <c r="I1085" s="1" t="d">
        <v>2009-12-30</v>
      </c>
      <c r="J1085" t="s">
        <v>2434</v>
      </c>
      <c r="K1085" s="17" t="s">
        <v>184</v>
      </c>
      <c r="L1085">
        <v>4</v>
      </c>
    </row>
    <row r="1086" spans="1:12" x14ac:dyDescent="0.25">
      <c r="A1086" t="s">
        <v>3134</v>
      </c>
      <c r="B1086" t="s">
        <v>3135</v>
      </c>
      <c r="C1086" t="s">
        <v>457</v>
      </c>
      <c r="D1086" t="s">
        <v>9527</v>
      </c>
      <c r="E1086">
        <v>40</v>
      </c>
      <c r="F1086" t="s">
        <v>649</v>
      </c>
      <c r="G1086" t="s">
        <v>1556</v>
      </c>
      <c r="H1086" s="2">
        <v>76203</v>
      </c>
      <c r="I1086" s="1" t="d">
        <v>2006-09-06</v>
      </c>
      <c r="J1086" t="s">
        <v>2454</v>
      </c>
      <c r="K1086" s="17" t="s">
        <v>58</v>
      </c>
      <c r="L1086">
        <v>4</v>
      </c>
    </row>
    <row r="1087" spans="1:12" x14ac:dyDescent="0.25">
      <c r="A1087" t="s">
        <v>3136</v>
      </c>
      <c r="B1087" t="s">
        <v>1342</v>
      </c>
      <c r="C1087" t="s">
        <v>715</v>
      </c>
      <c r="D1087" t="s">
        <v>9527</v>
      </c>
      <c r="E1087">
        <v>29</v>
      </c>
      <c r="F1087" t="s">
        <v>356</v>
      </c>
      <c r="G1087" t="s">
        <v>16</v>
      </c>
      <c r="H1087" s="2">
        <v>151950</v>
      </c>
      <c r="I1087" s="1" t="d">
        <v>2007-11-08</v>
      </c>
      <c r="J1087" t="s">
        <v>2123</v>
      </c>
      <c r="K1087" s="17" t="s">
        <v>71</v>
      </c>
      <c r="L1087">
        <v>3</v>
      </c>
    </row>
    <row r="1088" spans="1:12" x14ac:dyDescent="0.25">
      <c r="A1088" t="s">
        <v>3137</v>
      </c>
      <c r="B1088" t="s">
        <v>86</v>
      </c>
      <c r="C1088" t="s">
        <v>902</v>
      </c>
      <c r="D1088" t="s">
        <v>9527</v>
      </c>
      <c r="E1088">
        <v>43</v>
      </c>
      <c r="F1088" t="s">
        <v>114</v>
      </c>
      <c r="G1088" t="s">
        <v>48</v>
      </c>
      <c r="H1088" s="2">
        <v>-94384</v>
      </c>
      <c r="I1088" s="1" t="d">
        <v>2012-11-09</v>
      </c>
      <c r="J1088" t="s">
        <v>2988</v>
      </c>
      <c r="K1088" s="17" t="s">
        <v>370</v>
      </c>
      <c r="L1088">
        <v>3</v>
      </c>
    </row>
    <row r="1089" spans="1:12" x14ac:dyDescent="0.25">
      <c r="A1089" t="s">
        <v>3138</v>
      </c>
      <c r="B1089" t="s">
        <v>139</v>
      </c>
      <c r="C1089" t="s">
        <v>1657</v>
      </c>
      <c r="D1089" t="s">
        <v>23</v>
      </c>
      <c r="E1089">
        <v>53</v>
      </c>
      <c r="F1089" t="s">
        <v>114</v>
      </c>
      <c r="G1089" t="s">
        <v>504</v>
      </c>
      <c r="H1089">
        <v>92958</v>
      </c>
      <c r="I1089" s="1" t="d">
        <v>2012-11-08</v>
      </c>
      <c r="J1089" t="s">
        <v>3019</v>
      </c>
      <c r="K1089" s="17" t="s">
        <v>149</v>
      </c>
      <c r="L1089">
        <v>4</v>
      </c>
    </row>
    <row r="1090" spans="1:12" x14ac:dyDescent="0.25">
      <c r="A1090" t="s">
        <v>3139</v>
      </c>
      <c r="B1090" t="s">
        <v>652</v>
      </c>
      <c r="C1090" t="s">
        <v>74</v>
      </c>
      <c r="D1090" t="s">
        <v>9527</v>
      </c>
      <c r="E1090">
        <v>49</v>
      </c>
      <c r="F1090" t="s">
        <v>2275</v>
      </c>
      <c r="G1090" t="s">
        <v>357</v>
      </c>
      <c r="H1090" s="2">
        <v>126443</v>
      </c>
      <c r="I1090" s="1" t="d">
        <v>2006-02-13</v>
      </c>
      <c r="J1090" t="s">
        <v>3140</v>
      </c>
      <c r="K1090" s="17" t="s">
        <v>90</v>
      </c>
      <c r="L1090">
        <v>3</v>
      </c>
    </row>
    <row r="1091" spans="1:12" x14ac:dyDescent="0.25">
      <c r="A1091" t="s">
        <v>3141</v>
      </c>
      <c r="B1091" t="s">
        <v>1784</v>
      </c>
      <c r="C1091" t="s">
        <v>3142</v>
      </c>
      <c r="D1091" t="s">
        <v>9527</v>
      </c>
      <c r="E1091">
        <v>44</v>
      </c>
      <c r="F1091" t="s">
        <v>296</v>
      </c>
      <c r="G1091" t="s">
        <v>504</v>
      </c>
      <c r="H1091" t="s">
        <v>3143</v>
      </c>
      <c r="I1091" s="1" t="d">
        <v>2007-09-27</v>
      </c>
      <c r="J1091" t="s">
        <v>541</v>
      </c>
      <c r="K1091" s="17" t="s">
        <v>27</v>
      </c>
      <c r="L1091">
        <v>4</v>
      </c>
    </row>
    <row r="1092" spans="1:12" x14ac:dyDescent="0.25">
      <c r="A1092" t="s">
        <v>3144</v>
      </c>
      <c r="B1092" t="s">
        <v>404</v>
      </c>
      <c r="C1092" t="s">
        <v>3145</v>
      </c>
      <c r="D1092" t="s">
        <v>46</v>
      </c>
      <c r="E1092">
        <v>46</v>
      </c>
      <c r="F1092" t="s">
        <v>114</v>
      </c>
      <c r="G1092" t="s">
        <v>82</v>
      </c>
      <c r="H1092" t="s">
        <v>3146</v>
      </c>
      <c r="I1092" s="1" t="d">
        <v>2019-06-14</v>
      </c>
      <c r="J1092" t="s">
        <v>3147</v>
      </c>
      <c r="K1092" s="17" t="s">
        <v>42</v>
      </c>
      <c r="L1092">
        <v>3</v>
      </c>
    </row>
    <row r="1093" spans="1:12" x14ac:dyDescent="0.25">
      <c r="A1093" t="s">
        <v>3148</v>
      </c>
      <c r="B1093" t="s">
        <v>2272</v>
      </c>
      <c r="C1093" t="s">
        <v>477</v>
      </c>
      <c r="D1093" t="s">
        <v>9527</v>
      </c>
      <c r="E1093">
        <v>49</v>
      </c>
      <c r="F1093" t="s">
        <v>3085</v>
      </c>
      <c r="G1093" t="s">
        <v>82</v>
      </c>
      <c r="J1093" t="s">
        <v>1375</v>
      </c>
      <c r="K1093" s="17" t="s">
        <v>42</v>
      </c>
      <c r="L1093">
        <v>4</v>
      </c>
    </row>
    <row r="1094" spans="1:12" x14ac:dyDescent="0.25">
      <c r="A1094" t="s">
        <v>3149</v>
      </c>
      <c r="B1094" t="s">
        <v>1312</v>
      </c>
      <c r="C1094" t="s">
        <v>1622</v>
      </c>
      <c r="D1094" t="s">
        <v>23</v>
      </c>
      <c r="E1094">
        <v>33</v>
      </c>
      <c r="F1094" t="s">
        <v>3150</v>
      </c>
      <c r="G1094" t="s">
        <v>1860</v>
      </c>
      <c r="H1094" t="s">
        <v>3151</v>
      </c>
      <c r="I1094" s="1" t="d">
        <v>2013-10-25</v>
      </c>
      <c r="J1094" t="s">
        <v>3152</v>
      </c>
      <c r="K1094" s="17" t="s">
        <v>90</v>
      </c>
      <c r="L1094">
        <v>4</v>
      </c>
    </row>
    <row r="1095" spans="1:12" x14ac:dyDescent="0.25">
      <c r="A1095" t="s">
        <v>3153</v>
      </c>
      <c r="B1095" t="s">
        <v>199</v>
      </c>
      <c r="C1095" t="s">
        <v>318</v>
      </c>
      <c r="D1095" t="s">
        <v>9527</v>
      </c>
      <c r="E1095">
        <v>33</v>
      </c>
      <c r="F1095" t="s">
        <v>301</v>
      </c>
      <c r="G1095" t="s">
        <v>69</v>
      </c>
      <c r="I1095" s="1" t="d">
        <v>2018-05-11</v>
      </c>
      <c r="J1095" t="s">
        <v>265</v>
      </c>
      <c r="K1095" s="17" t="s">
        <v>50</v>
      </c>
      <c r="L1095">
        <v>2</v>
      </c>
    </row>
    <row r="1096" spans="1:12" x14ac:dyDescent="0.25">
      <c r="A1096" t="s">
        <v>3154</v>
      </c>
      <c r="B1096" t="s">
        <v>637</v>
      </c>
      <c r="C1096" t="s">
        <v>237</v>
      </c>
      <c r="D1096" t="s">
        <v>9527</v>
      </c>
      <c r="E1096">
        <v>45</v>
      </c>
      <c r="F1096" t="s">
        <v>146</v>
      </c>
      <c r="G1096" t="s">
        <v>191</v>
      </c>
      <c r="H1096" t="s">
        <v>3155</v>
      </c>
      <c r="I1096" s="1" t="d">
        <v>2013-02-16</v>
      </c>
      <c r="J1096" t="s">
        <v>3156</v>
      </c>
      <c r="K1096" s="17" t="s">
        <v>100</v>
      </c>
      <c r="L1096">
        <v>4</v>
      </c>
    </row>
    <row r="1097" spans="1:12" x14ac:dyDescent="0.25">
      <c r="A1097" t="s">
        <v>3157</v>
      </c>
      <c r="B1097" t="s">
        <v>808</v>
      </c>
      <c r="C1097" t="s">
        <v>3158</v>
      </c>
      <c r="D1097" t="s">
        <v>23</v>
      </c>
      <c r="E1097">
        <v>34</v>
      </c>
      <c r="F1097" t="s">
        <v>1116</v>
      </c>
      <c r="G1097" t="s">
        <v>177</v>
      </c>
      <c r="H1097" t="s">
        <v>3159</v>
      </c>
      <c r="I1097" s="1" t="d">
        <v>2020-11-17</v>
      </c>
      <c r="J1097" t="s">
        <v>3036</v>
      </c>
      <c r="K1097" s="17" t="s">
        <v>34</v>
      </c>
      <c r="L1097">
        <v>4</v>
      </c>
    </row>
    <row r="1098" spans="1:12" x14ac:dyDescent="0.25">
      <c r="A1098" t="s">
        <v>3160</v>
      </c>
      <c r="B1098" t="s">
        <v>130</v>
      </c>
      <c r="C1098" t="s">
        <v>395</v>
      </c>
      <c r="D1098" t="s">
        <v>46</v>
      </c>
      <c r="E1098">
        <v>49</v>
      </c>
      <c r="F1098" t="s">
        <v>532</v>
      </c>
      <c r="G1098" t="s">
        <v>48</v>
      </c>
      <c r="I1098" s="1" t="d">
        <v>2013-07-11</v>
      </c>
      <c r="J1098" t="s">
        <v>2815</v>
      </c>
      <c r="K1098" s="17" t="s">
        <v>149</v>
      </c>
      <c r="L1098">
        <v>3</v>
      </c>
    </row>
    <row r="1099" spans="1:12" x14ac:dyDescent="0.25">
      <c r="A1099" t="s">
        <v>3161</v>
      </c>
      <c r="B1099" t="s">
        <v>120</v>
      </c>
      <c r="C1099" t="s">
        <v>237</v>
      </c>
      <c r="D1099" t="s">
        <v>23</v>
      </c>
      <c r="E1099">
        <v>29</v>
      </c>
      <c r="F1099" t="s">
        <v>253</v>
      </c>
      <c r="G1099" t="s">
        <v>212</v>
      </c>
      <c r="H1099" t="s">
        <v>3162</v>
      </c>
      <c r="I1099" s="1" t="d">
        <v>2011-02-13</v>
      </c>
      <c r="J1099" t="s">
        <v>241</v>
      </c>
      <c r="K1099" s="17" t="s">
        <v>34</v>
      </c>
      <c r="L1099">
        <v>1</v>
      </c>
    </row>
    <row r="1100" spans="1:12" x14ac:dyDescent="0.25">
      <c r="A1100" t="s">
        <v>3163</v>
      </c>
      <c r="B1100" t="s">
        <v>1689</v>
      </c>
      <c r="C1100" t="s">
        <v>1142</v>
      </c>
      <c r="D1100" t="s">
        <v>46</v>
      </c>
      <c r="E1100">
        <v>42</v>
      </c>
      <c r="F1100" t="s">
        <v>62</v>
      </c>
      <c r="G1100" t="s">
        <v>164</v>
      </c>
      <c r="I1100" s="1" t="d">
        <v>2009-09-12</v>
      </c>
      <c r="J1100" t="s">
        <v>2201</v>
      </c>
      <c r="K1100" s="17" t="s">
        <v>118</v>
      </c>
      <c r="L1100">
        <v>4</v>
      </c>
    </row>
    <row r="1101" spans="1:12" x14ac:dyDescent="0.25">
      <c r="A1101" t="s">
        <v>3164</v>
      </c>
      <c r="B1101" t="s">
        <v>1437</v>
      </c>
      <c r="C1101" t="s">
        <v>684</v>
      </c>
      <c r="D1101" t="s">
        <v>9527</v>
      </c>
      <c r="E1101">
        <v>51</v>
      </c>
      <c r="F1101" t="s">
        <v>532</v>
      </c>
      <c r="G1101" t="s">
        <v>205</v>
      </c>
      <c r="H1101" t="s">
        <v>3165</v>
      </c>
      <c r="I1101" s="1" t="d">
        <v>2018-08-25</v>
      </c>
      <c r="J1101" t="s">
        <v>2359</v>
      </c>
      <c r="K1101" s="17" t="s">
        <v>118</v>
      </c>
      <c r="L1101">
        <v>5</v>
      </c>
    </row>
    <row r="1102" spans="1:12" x14ac:dyDescent="0.25">
      <c r="A1102" t="s">
        <v>3166</v>
      </c>
      <c r="B1102" t="s">
        <v>315</v>
      </c>
      <c r="C1102" t="s">
        <v>869</v>
      </c>
      <c r="D1102" t="s">
        <v>23</v>
      </c>
      <c r="E1102">
        <v>39</v>
      </c>
      <c r="F1102" t="s">
        <v>269</v>
      </c>
      <c r="G1102" t="s">
        <v>39</v>
      </c>
      <c r="H1102">
        <v>46215</v>
      </c>
      <c r="I1102" s="1" t="d">
        <v>2012-09-28</v>
      </c>
      <c r="J1102" t="s">
        <v>2728</v>
      </c>
      <c r="K1102" s="17" t="s">
        <v>207</v>
      </c>
      <c r="L1102">
        <v>2</v>
      </c>
    </row>
    <row r="1103" spans="1:12" x14ac:dyDescent="0.25">
      <c r="A1103" t="s">
        <v>3167</v>
      </c>
      <c r="B1103" t="s">
        <v>355</v>
      </c>
      <c r="C1103" t="s">
        <v>1384</v>
      </c>
      <c r="D1103" t="s">
        <v>23</v>
      </c>
      <c r="E1103">
        <v>32</v>
      </c>
      <c r="F1103" t="s">
        <v>350</v>
      </c>
      <c r="G1103" t="s">
        <v>217</v>
      </c>
      <c r="H1103" s="2">
        <v>69728</v>
      </c>
      <c r="I1103" s="1" t="d">
        <v>2020-05-30</v>
      </c>
      <c r="J1103" t="s">
        <v>3168</v>
      </c>
      <c r="K1103" s="17" t="s">
        <v>100</v>
      </c>
      <c r="L1103">
        <v>3</v>
      </c>
    </row>
    <row r="1104" spans="1:12" x14ac:dyDescent="0.25">
      <c r="A1104" t="s">
        <v>3169</v>
      </c>
      <c r="B1104" t="s">
        <v>1706</v>
      </c>
      <c r="C1104" t="s">
        <v>3170</v>
      </c>
      <c r="D1104" t="s">
        <v>23</v>
      </c>
      <c r="E1104">
        <v>45</v>
      </c>
      <c r="F1104" t="s">
        <v>47</v>
      </c>
      <c r="G1104" t="s">
        <v>82</v>
      </c>
      <c r="H1104">
        <v>50210</v>
      </c>
      <c r="I1104" s="1" t="d">
        <v>2008-04-05</v>
      </c>
      <c r="J1104" t="s">
        <v>3171</v>
      </c>
      <c r="K1104" s="17" t="s">
        <v>58</v>
      </c>
      <c r="L1104">
        <v>2</v>
      </c>
    </row>
    <row r="1105" spans="1:12" x14ac:dyDescent="0.25">
      <c r="A1105" t="s">
        <v>3172</v>
      </c>
      <c r="B1105" t="s">
        <v>2856</v>
      </c>
      <c r="C1105" t="s">
        <v>3173</v>
      </c>
      <c r="D1105" t="s">
        <v>9527</v>
      </c>
      <c r="E1105">
        <v>43</v>
      </c>
      <c r="F1105" t="s">
        <v>238</v>
      </c>
      <c r="G1105" t="s">
        <v>170</v>
      </c>
      <c r="H1105" t="s">
        <v>962</v>
      </c>
      <c r="I1105" s="1" t="d">
        <v>2023-01-24</v>
      </c>
      <c r="J1105" t="s">
        <v>2442</v>
      </c>
      <c r="K1105" s="17" t="s">
        <v>34</v>
      </c>
      <c r="L1105">
        <v>5</v>
      </c>
    </row>
    <row r="1106" spans="1:12" x14ac:dyDescent="0.25">
      <c r="A1106" t="s">
        <v>3174</v>
      </c>
      <c r="B1106" t="s">
        <v>3127</v>
      </c>
      <c r="C1106" t="s">
        <v>3175</v>
      </c>
      <c r="D1106" t="s">
        <v>46</v>
      </c>
      <c r="E1106">
        <v>26</v>
      </c>
      <c r="F1106" t="s">
        <v>196</v>
      </c>
      <c r="G1106" t="s">
        <v>1329</v>
      </c>
      <c r="H1106" t="s">
        <v>3176</v>
      </c>
      <c r="I1106" s="1" t="d">
        <v>2010-05-27</v>
      </c>
      <c r="J1106" t="s">
        <v>3177</v>
      </c>
      <c r="K1106" s="17" t="s">
        <v>42</v>
      </c>
      <c r="L1106">
        <v>4</v>
      </c>
    </row>
    <row r="1107" spans="1:12" x14ac:dyDescent="0.25">
      <c r="A1107" t="s">
        <v>3178</v>
      </c>
      <c r="B1107" t="s">
        <v>3179</v>
      </c>
      <c r="C1107" t="s">
        <v>1564</v>
      </c>
      <c r="D1107" t="s">
        <v>9527</v>
      </c>
      <c r="E1107">
        <v>34</v>
      </c>
      <c r="F1107" t="s">
        <v>918</v>
      </c>
      <c r="G1107" t="s">
        <v>115</v>
      </c>
      <c r="I1107" s="1" t="d">
        <v>2005-04-26</v>
      </c>
      <c r="J1107" t="s">
        <v>3180</v>
      </c>
      <c r="K1107" s="17" t="s">
        <v>42</v>
      </c>
      <c r="L1107">
        <v>3</v>
      </c>
    </row>
    <row r="1108" spans="1:12" x14ac:dyDescent="0.25">
      <c r="A1108" t="s">
        <v>3181</v>
      </c>
      <c r="B1108" t="s">
        <v>167</v>
      </c>
      <c r="C1108" t="s">
        <v>381</v>
      </c>
      <c r="D1108" t="s">
        <v>9527</v>
      </c>
      <c r="E1108">
        <v>32</v>
      </c>
      <c r="F1108" t="s">
        <v>1116</v>
      </c>
      <c r="G1108" t="s">
        <v>82</v>
      </c>
      <c r="H1108">
        <v>68778</v>
      </c>
      <c r="I1108" s="1" t="d">
        <v>2018-04-04</v>
      </c>
      <c r="J1108" t="s">
        <v>2718</v>
      </c>
      <c r="K1108" s="17" t="s">
        <v>19</v>
      </c>
      <c r="L1108">
        <v>3</v>
      </c>
    </row>
    <row r="1109" spans="1:12" x14ac:dyDescent="0.25">
      <c r="A1109" t="s">
        <v>3182</v>
      </c>
      <c r="B1109" t="s">
        <v>1221</v>
      </c>
      <c r="C1109" t="s">
        <v>488</v>
      </c>
      <c r="D1109" t="s">
        <v>9527</v>
      </c>
      <c r="E1109">
        <v>48</v>
      </c>
      <c r="F1109" t="s">
        <v>38</v>
      </c>
      <c r="G1109" t="s">
        <v>191</v>
      </c>
      <c r="H1109" t="s">
        <v>3183</v>
      </c>
      <c r="I1109" s="1" t="d">
        <v>2005-03-14</v>
      </c>
      <c r="J1109" t="s">
        <v>3184</v>
      </c>
      <c r="K1109" s="17" t="s">
        <v>50</v>
      </c>
      <c r="L1109">
        <v>5</v>
      </c>
    </row>
    <row r="1110" spans="1:12" x14ac:dyDescent="0.25">
      <c r="A1110" t="s">
        <v>3185</v>
      </c>
      <c r="B1110" t="s">
        <v>3186</v>
      </c>
      <c r="C1110" t="s">
        <v>181</v>
      </c>
      <c r="D1110" t="s">
        <v>9527</v>
      </c>
      <c r="E1110">
        <v>31</v>
      </c>
      <c r="F1110" t="s">
        <v>859</v>
      </c>
      <c r="G1110" t="s">
        <v>82</v>
      </c>
      <c r="H1110">
        <v>48990</v>
      </c>
      <c r="I1110" s="1" t="d">
        <v>2019-09-13</v>
      </c>
      <c r="J1110" t="s">
        <v>3187</v>
      </c>
      <c r="K1110" s="17" t="s">
        <v>27</v>
      </c>
      <c r="L1110">
        <v>4</v>
      </c>
    </row>
    <row r="1111" spans="1:12" x14ac:dyDescent="0.25">
      <c r="A1111" t="s">
        <v>3188</v>
      </c>
      <c r="B1111" t="s">
        <v>439</v>
      </c>
      <c r="C1111" t="s">
        <v>3189</v>
      </c>
      <c r="D1111" t="s">
        <v>46</v>
      </c>
      <c r="E1111">
        <v>21</v>
      </c>
      <c r="F1111" t="s">
        <v>24</v>
      </c>
      <c r="G1111" t="s">
        <v>115</v>
      </c>
      <c r="H1111" t="s">
        <v>3190</v>
      </c>
      <c r="I1111" s="1" t="d">
        <v>2015-02-08</v>
      </c>
      <c r="J1111" t="s">
        <v>3191</v>
      </c>
      <c r="K1111" s="17" t="s">
        <v>27</v>
      </c>
      <c r="L1111">
        <v>4</v>
      </c>
    </row>
    <row r="1112" spans="1:12" x14ac:dyDescent="0.25">
      <c r="A1112" t="s">
        <v>3192</v>
      </c>
      <c r="B1112" t="s">
        <v>13</v>
      </c>
      <c r="C1112" t="s">
        <v>567</v>
      </c>
      <c r="D1112" t="s">
        <v>9527</v>
      </c>
      <c r="E1112">
        <v>45</v>
      </c>
      <c r="F1112" t="s">
        <v>68</v>
      </c>
      <c r="G1112" t="s">
        <v>159</v>
      </c>
      <c r="H1112" t="s">
        <v>3193</v>
      </c>
      <c r="I1112" s="1" t="d">
        <v>2009-12-23</v>
      </c>
      <c r="J1112" t="s">
        <v>925</v>
      </c>
      <c r="K1112" s="17" t="s">
        <v>118</v>
      </c>
      <c r="L1112">
        <v>3</v>
      </c>
    </row>
    <row r="1113" spans="1:12" x14ac:dyDescent="0.25">
      <c r="A1113" t="s">
        <v>3194</v>
      </c>
      <c r="B1113" t="s">
        <v>306</v>
      </c>
      <c r="C1113" t="s">
        <v>1517</v>
      </c>
      <c r="D1113" t="s">
        <v>9527</v>
      </c>
      <c r="E1113">
        <v>37</v>
      </c>
      <c r="F1113" t="s">
        <v>108</v>
      </c>
      <c r="G1113" t="s">
        <v>191</v>
      </c>
      <c r="H1113" s="2">
        <v>85859</v>
      </c>
      <c r="I1113" s="1" t="d">
        <v>2015-10-12</v>
      </c>
      <c r="J1113" t="s">
        <v>3195</v>
      </c>
      <c r="K1113" s="17" t="s">
        <v>149</v>
      </c>
      <c r="L1113">
        <v>3</v>
      </c>
    </row>
    <row r="1114" spans="1:12" x14ac:dyDescent="0.25">
      <c r="A1114" t="s">
        <v>3196</v>
      </c>
      <c r="B1114" t="s">
        <v>134</v>
      </c>
      <c r="C1114" t="s">
        <v>1520</v>
      </c>
      <c r="D1114" t="s">
        <v>46</v>
      </c>
      <c r="E1114">
        <v>25</v>
      </c>
      <c r="F1114" t="s">
        <v>68</v>
      </c>
      <c r="G1114" t="s">
        <v>3197</v>
      </c>
      <c r="H1114">
        <v>86100</v>
      </c>
      <c r="I1114" s="1" t="d">
        <v>2008-07-28</v>
      </c>
      <c r="J1114" t="s">
        <v>1047</v>
      </c>
      <c r="K1114" s="17" t="s">
        <v>34</v>
      </c>
      <c r="L1114">
        <v>4</v>
      </c>
    </row>
    <row r="1115" spans="1:12" x14ac:dyDescent="0.25">
      <c r="A1115" t="s">
        <v>3198</v>
      </c>
      <c r="B1115" t="s">
        <v>394</v>
      </c>
      <c r="C1115" t="s">
        <v>618</v>
      </c>
      <c r="D1115" t="s">
        <v>23</v>
      </c>
      <c r="E1115">
        <v>49</v>
      </c>
      <c r="F1115" t="s">
        <v>522</v>
      </c>
      <c r="G1115" t="s">
        <v>357</v>
      </c>
      <c r="H1115">
        <v>111884</v>
      </c>
      <c r="I1115" s="1" t="d">
        <v>2010-08-10</v>
      </c>
      <c r="J1115" t="s">
        <v>3199</v>
      </c>
      <c r="K1115" s="17" t="s">
        <v>42</v>
      </c>
      <c r="L1115">
        <v>3</v>
      </c>
    </row>
    <row r="1116" spans="1:12" x14ac:dyDescent="0.25">
      <c r="A1116" t="s">
        <v>3200</v>
      </c>
      <c r="B1116" t="s">
        <v>3201</v>
      </c>
      <c r="C1116" t="s">
        <v>3202</v>
      </c>
      <c r="D1116" t="s">
        <v>23</v>
      </c>
      <c r="E1116">
        <v>54</v>
      </c>
      <c r="F1116" t="s">
        <v>104</v>
      </c>
      <c r="G1116" t="s">
        <v>217</v>
      </c>
      <c r="I1116" s="1" t="d">
        <v>2011-09-28</v>
      </c>
      <c r="J1116" t="s">
        <v>2941</v>
      </c>
      <c r="K1116" s="17" t="s">
        <v>19</v>
      </c>
      <c r="L1116">
        <v>1</v>
      </c>
    </row>
    <row r="1117" spans="1:12" x14ac:dyDescent="0.25">
      <c r="A1117" t="s">
        <v>3203</v>
      </c>
      <c r="B1117" t="s">
        <v>1738</v>
      </c>
      <c r="C1117" t="s">
        <v>715</v>
      </c>
      <c r="D1117" t="s">
        <v>46</v>
      </c>
      <c r="E1117">
        <v>43</v>
      </c>
      <c r="F1117" t="s">
        <v>859</v>
      </c>
      <c r="G1117" t="s">
        <v>115</v>
      </c>
      <c r="H1117">
        <v>71065</v>
      </c>
      <c r="I1117" s="1" t="d">
        <v>2017-08-07</v>
      </c>
      <c r="J1117" t="s">
        <v>2123</v>
      </c>
      <c r="K1117" s="17" t="s">
        <v>27</v>
      </c>
      <c r="L1117">
        <v>3</v>
      </c>
    </row>
    <row r="1118" spans="1:12" x14ac:dyDescent="0.25">
      <c r="A1118" t="s">
        <v>3204</v>
      </c>
      <c r="B1118" t="s">
        <v>507</v>
      </c>
      <c r="C1118" t="s">
        <v>966</v>
      </c>
      <c r="D1118" t="s">
        <v>46</v>
      </c>
      <c r="E1118">
        <v>49</v>
      </c>
      <c r="F1118" t="s">
        <v>146</v>
      </c>
      <c r="G1118" t="s">
        <v>170</v>
      </c>
      <c r="H1118">
        <v>90682</v>
      </c>
      <c r="I1118" s="1" t="d">
        <v>2005-07-24</v>
      </c>
      <c r="J1118" t="s">
        <v>1776</v>
      </c>
      <c r="K1118" s="17" t="s">
        <v>34</v>
      </c>
      <c r="L1118">
        <v>3</v>
      </c>
    </row>
    <row r="1119" spans="1:12" x14ac:dyDescent="0.25">
      <c r="A1119" t="s">
        <v>3205</v>
      </c>
      <c r="B1119" t="s">
        <v>174</v>
      </c>
      <c r="C1119" t="s">
        <v>3206</v>
      </c>
      <c r="D1119" t="s">
        <v>46</v>
      </c>
      <c r="E1119">
        <v>30</v>
      </c>
      <c r="F1119" t="s">
        <v>350</v>
      </c>
      <c r="G1119" t="s">
        <v>88</v>
      </c>
      <c r="H1119" t="s">
        <v>3207</v>
      </c>
      <c r="I1119" s="1" t="d">
        <v>2018-12-19</v>
      </c>
      <c r="J1119" t="s">
        <v>3208</v>
      </c>
      <c r="K1119" s="17" t="s">
        <v>71</v>
      </c>
      <c r="L1119">
        <v>3</v>
      </c>
    </row>
    <row r="1120" spans="1:12" x14ac:dyDescent="0.25">
      <c r="A1120" t="s">
        <v>3209</v>
      </c>
      <c r="B1120" t="s">
        <v>1738</v>
      </c>
      <c r="C1120" t="s">
        <v>521</v>
      </c>
      <c r="D1120" t="s">
        <v>46</v>
      </c>
      <c r="E1120">
        <v>30</v>
      </c>
      <c r="F1120" t="s">
        <v>296</v>
      </c>
      <c r="G1120" t="s">
        <v>170</v>
      </c>
      <c r="I1120" s="1" t="d">
        <v>2015-01-02</v>
      </c>
      <c r="J1120" t="s">
        <v>3210</v>
      </c>
      <c r="K1120" s="17" t="s">
        <v>34</v>
      </c>
      <c r="L1120">
        <v>2</v>
      </c>
    </row>
    <row r="1121" spans="1:12" x14ac:dyDescent="0.25">
      <c r="A1121" t="s">
        <v>3211</v>
      </c>
      <c r="B1121" t="s">
        <v>1051</v>
      </c>
      <c r="C1121" t="s">
        <v>1734</v>
      </c>
      <c r="D1121" t="s">
        <v>46</v>
      </c>
      <c r="E1121">
        <v>21</v>
      </c>
      <c r="F1121" t="s">
        <v>200</v>
      </c>
      <c r="G1121" t="s">
        <v>526</v>
      </c>
      <c r="H1121">
        <v>85967</v>
      </c>
      <c r="I1121" s="1" t="d">
        <v>2011-10-13</v>
      </c>
      <c r="J1121" t="s">
        <v>3212</v>
      </c>
      <c r="K1121" s="17" t="s">
        <v>207</v>
      </c>
      <c r="L1121">
        <v>3</v>
      </c>
    </row>
    <row r="1122" spans="1:12" x14ac:dyDescent="0.25">
      <c r="A1122" t="s">
        <v>3213</v>
      </c>
      <c r="B1122" t="s">
        <v>3214</v>
      </c>
      <c r="C1122" t="s">
        <v>1881</v>
      </c>
      <c r="D1122" t="s">
        <v>23</v>
      </c>
      <c r="E1122">
        <v>36</v>
      </c>
      <c r="F1122" t="s">
        <v>216</v>
      </c>
      <c r="G1122" t="s">
        <v>217</v>
      </c>
      <c r="H1122">
        <v>94066</v>
      </c>
      <c r="I1122" s="1" t="d">
        <v>2022-06-26</v>
      </c>
      <c r="J1122" t="s">
        <v>343</v>
      </c>
      <c r="K1122" s="17" t="s">
        <v>184</v>
      </c>
      <c r="L1122">
        <v>2</v>
      </c>
    </row>
    <row r="1123" spans="1:12" x14ac:dyDescent="0.25">
      <c r="A1123" t="s">
        <v>3215</v>
      </c>
      <c r="B1123" t="s">
        <v>157</v>
      </c>
      <c r="C1123" t="s">
        <v>729</v>
      </c>
      <c r="D1123" t="s">
        <v>9527</v>
      </c>
      <c r="E1123">
        <v>34</v>
      </c>
      <c r="F1123" t="s">
        <v>104</v>
      </c>
      <c r="G1123" t="s">
        <v>115</v>
      </c>
      <c r="H1123" t="s">
        <v>3216</v>
      </c>
      <c r="I1123" s="1" t="d">
        <v>2023-11-25</v>
      </c>
      <c r="J1123" t="s">
        <v>3217</v>
      </c>
      <c r="K1123" s="17" t="s">
        <v>19</v>
      </c>
      <c r="L1123">
        <v>5</v>
      </c>
    </row>
    <row r="1124" spans="1:12" x14ac:dyDescent="0.25">
      <c r="A1124" t="s">
        <v>3218</v>
      </c>
      <c r="B1124" t="s">
        <v>3127</v>
      </c>
      <c r="C1124" t="s">
        <v>599</v>
      </c>
      <c r="D1124" t="s">
        <v>23</v>
      </c>
      <c r="E1124">
        <v>41</v>
      </c>
      <c r="F1124" t="s">
        <v>24</v>
      </c>
      <c r="G1124" t="s">
        <v>177</v>
      </c>
      <c r="I1124" s="1" t="d">
        <v>2009-11-29</v>
      </c>
      <c r="J1124" t="s">
        <v>1751</v>
      </c>
      <c r="K1124" s="17" t="s">
        <v>207</v>
      </c>
      <c r="L1124">
        <v>3</v>
      </c>
    </row>
    <row r="1125" spans="1:12" x14ac:dyDescent="0.25">
      <c r="A1125" t="s">
        <v>3219</v>
      </c>
      <c r="B1125" t="s">
        <v>248</v>
      </c>
      <c r="C1125" t="s">
        <v>474</v>
      </c>
      <c r="D1125" t="s">
        <v>23</v>
      </c>
      <c r="E1125">
        <v>51</v>
      </c>
      <c r="F1125" t="s">
        <v>264</v>
      </c>
      <c r="G1125" t="s">
        <v>1215</v>
      </c>
      <c r="H1125">
        <v>73782</v>
      </c>
      <c r="I1125" s="1" t="d">
        <v>2008-11-22</v>
      </c>
      <c r="J1125" t="s">
        <v>3220</v>
      </c>
      <c r="K1125" s="17" t="s">
        <v>90</v>
      </c>
      <c r="L1125">
        <v>3</v>
      </c>
    </row>
    <row r="1126" spans="1:12" x14ac:dyDescent="0.25">
      <c r="A1126" t="s">
        <v>3221</v>
      </c>
      <c r="B1126" t="s">
        <v>134</v>
      </c>
      <c r="C1126" t="s">
        <v>14</v>
      </c>
      <c r="D1126" t="s">
        <v>9527</v>
      </c>
      <c r="E1126">
        <v>38</v>
      </c>
      <c r="F1126" t="s">
        <v>81</v>
      </c>
      <c r="G1126" t="s">
        <v>212</v>
      </c>
      <c r="H1126" s="2">
        <v>60292</v>
      </c>
      <c r="I1126" s="1" t="d">
        <v>2023-12-09</v>
      </c>
      <c r="J1126" t="s">
        <v>616</v>
      </c>
      <c r="K1126" s="17" t="s">
        <v>34</v>
      </c>
      <c r="L1126">
        <v>2</v>
      </c>
    </row>
    <row r="1127" spans="1:12" x14ac:dyDescent="0.25">
      <c r="A1127" t="s">
        <v>3222</v>
      </c>
      <c r="B1127" t="s">
        <v>130</v>
      </c>
      <c r="C1127" t="s">
        <v>1564</v>
      </c>
      <c r="D1127" t="s">
        <v>9527</v>
      </c>
      <c r="E1127">
        <v>34</v>
      </c>
      <c r="F1127" t="s">
        <v>81</v>
      </c>
      <c r="G1127" t="s">
        <v>16</v>
      </c>
      <c r="H1127">
        <v>72779</v>
      </c>
      <c r="I1127" s="1" t="d">
        <v>2011-04-22</v>
      </c>
      <c r="J1127" t="s">
        <v>3223</v>
      </c>
      <c r="K1127" s="17" t="s">
        <v>90</v>
      </c>
      <c r="L1127">
        <v>3</v>
      </c>
    </row>
    <row r="1128" spans="1:12" x14ac:dyDescent="0.25">
      <c r="A1128" t="s">
        <v>3224</v>
      </c>
      <c r="B1128" t="s">
        <v>3225</v>
      </c>
      <c r="C1128" t="s">
        <v>988</v>
      </c>
      <c r="D1128" t="s">
        <v>46</v>
      </c>
      <c r="E1128">
        <v>42</v>
      </c>
      <c r="F1128" t="s">
        <v>153</v>
      </c>
      <c r="G1128" t="s">
        <v>177</v>
      </c>
      <c r="H1128" s="2">
        <v>64251</v>
      </c>
      <c r="I1128" s="1" t="d">
        <v>2016-04-17</v>
      </c>
      <c r="J1128" t="s">
        <v>3226</v>
      </c>
      <c r="K1128" s="17" t="s">
        <v>42</v>
      </c>
      <c r="L1128">
        <v>3</v>
      </c>
    </row>
    <row r="1129" spans="1:12" x14ac:dyDescent="0.25">
      <c r="A1129" t="s">
        <v>3227</v>
      </c>
      <c r="B1129" t="s">
        <v>931</v>
      </c>
      <c r="C1129" t="s">
        <v>710</v>
      </c>
      <c r="D1129" t="s">
        <v>23</v>
      </c>
      <c r="E1129">
        <v>40</v>
      </c>
      <c r="F1129" t="s">
        <v>190</v>
      </c>
      <c r="G1129" t="s">
        <v>170</v>
      </c>
      <c r="I1129" s="1" t="d">
        <v>2015-03-11</v>
      </c>
      <c r="J1129" t="s">
        <v>1910</v>
      </c>
      <c r="K1129" s="17" t="s">
        <v>207</v>
      </c>
      <c r="L1129">
        <v>4</v>
      </c>
    </row>
    <row r="1130" spans="1:12" x14ac:dyDescent="0.25">
      <c r="A1130" t="s">
        <v>570</v>
      </c>
      <c r="B1130" t="s">
        <v>571</v>
      </c>
      <c r="C1130" t="s">
        <v>572</v>
      </c>
      <c r="D1130" t="s">
        <v>9527</v>
      </c>
      <c r="E1130">
        <v>37</v>
      </c>
      <c r="F1130" t="s">
        <v>245</v>
      </c>
      <c r="G1130" t="s">
        <v>69</v>
      </c>
      <c r="H1130">
        <v>62930</v>
      </c>
      <c r="I1130" s="1" t="d">
        <v>2014-05-04</v>
      </c>
      <c r="J1130" t="s">
        <v>573</v>
      </c>
      <c r="K1130" s="17" t="s">
        <v>100</v>
      </c>
      <c r="L1130">
        <v>4</v>
      </c>
    </row>
    <row r="1131" spans="1:12" x14ac:dyDescent="0.25">
      <c r="A1131" t="s">
        <v>3228</v>
      </c>
      <c r="B1131" t="s">
        <v>718</v>
      </c>
      <c r="C1131" t="s">
        <v>181</v>
      </c>
      <c r="D1131" t="s">
        <v>46</v>
      </c>
      <c r="E1131">
        <v>40</v>
      </c>
      <c r="F1131" t="s">
        <v>24</v>
      </c>
      <c r="G1131" t="s">
        <v>88</v>
      </c>
      <c r="I1131" s="1" t="d">
        <v>2008-07-27</v>
      </c>
      <c r="J1131" t="s">
        <v>3229</v>
      </c>
      <c r="K1131" s="17" t="s">
        <v>19</v>
      </c>
      <c r="L1131">
        <v>4</v>
      </c>
    </row>
    <row r="1132" spans="1:12" x14ac:dyDescent="0.25">
      <c r="A1132" t="s">
        <v>3230</v>
      </c>
      <c r="B1132" t="s">
        <v>221</v>
      </c>
      <c r="C1132" t="s">
        <v>552</v>
      </c>
      <c r="D1132" t="s">
        <v>46</v>
      </c>
      <c r="E1132">
        <v>35</v>
      </c>
      <c r="F1132" t="s">
        <v>585</v>
      </c>
      <c r="G1132" t="s">
        <v>3231</v>
      </c>
      <c r="I1132" s="1" t="d">
        <v>2024-12-11</v>
      </c>
      <c r="J1132" t="s">
        <v>3232</v>
      </c>
      <c r="K1132" s="17" t="s">
        <v>50</v>
      </c>
      <c r="L1132">
        <v>2</v>
      </c>
    </row>
    <row r="1133" spans="1:12" x14ac:dyDescent="0.25">
      <c r="A1133" t="s">
        <v>3233</v>
      </c>
      <c r="B1133" t="s">
        <v>157</v>
      </c>
      <c r="C1133" t="s">
        <v>710</v>
      </c>
      <c r="D1133" t="s">
        <v>23</v>
      </c>
      <c r="E1133">
        <v>44</v>
      </c>
      <c r="F1133" t="s">
        <v>153</v>
      </c>
      <c r="G1133" t="s">
        <v>217</v>
      </c>
      <c r="H1133" t="s">
        <v>3234</v>
      </c>
      <c r="I1133" s="1" t="d">
        <v>2020-08-29</v>
      </c>
      <c r="J1133" t="s">
        <v>3235</v>
      </c>
      <c r="K1133" s="17" t="s">
        <v>42</v>
      </c>
      <c r="L1133">
        <v>4</v>
      </c>
    </row>
    <row r="1134" spans="1:12" x14ac:dyDescent="0.25">
      <c r="A1134" t="s">
        <v>3236</v>
      </c>
      <c r="B1134" t="s">
        <v>470</v>
      </c>
      <c r="C1134" t="s">
        <v>1055</v>
      </c>
      <c r="D1134" t="s">
        <v>23</v>
      </c>
      <c r="E1134">
        <v>47</v>
      </c>
      <c r="F1134" t="s">
        <v>417</v>
      </c>
      <c r="G1134" t="s">
        <v>88</v>
      </c>
      <c r="H1134" t="s">
        <v>3237</v>
      </c>
      <c r="I1134" s="1" t="d">
        <v>2013-05-31</v>
      </c>
      <c r="J1134" t="s">
        <v>3238</v>
      </c>
      <c r="K1134" s="17" t="s">
        <v>100</v>
      </c>
      <c r="L1134">
        <v>3</v>
      </c>
    </row>
    <row r="1135" spans="1:12" x14ac:dyDescent="0.25">
      <c r="A1135" t="s">
        <v>3239</v>
      </c>
      <c r="B1135" t="s">
        <v>1086</v>
      </c>
      <c r="C1135" t="s">
        <v>1306</v>
      </c>
      <c r="D1135" t="s">
        <v>23</v>
      </c>
      <c r="E1135">
        <v>40</v>
      </c>
      <c r="F1135" t="s">
        <v>108</v>
      </c>
      <c r="G1135" t="s">
        <v>69</v>
      </c>
      <c r="I1135" s="1" t="d">
        <v>2012-03-11</v>
      </c>
      <c r="J1135" t="s">
        <v>587</v>
      </c>
      <c r="K1135" s="17" t="s">
        <v>58</v>
      </c>
      <c r="L1135">
        <v>3</v>
      </c>
    </row>
    <row r="1136" spans="1:12" x14ac:dyDescent="0.25">
      <c r="A1136" t="s">
        <v>3240</v>
      </c>
      <c r="B1136" t="s">
        <v>702</v>
      </c>
      <c r="C1136" t="s">
        <v>631</v>
      </c>
      <c r="D1136" t="s">
        <v>9527</v>
      </c>
      <c r="E1136">
        <v>31</v>
      </c>
      <c r="F1136" t="s">
        <v>319</v>
      </c>
      <c r="G1136" t="s">
        <v>2888</v>
      </c>
      <c r="H1136">
        <v>56883</v>
      </c>
      <c r="I1136" s="1" t="d">
        <v>2013-06-20</v>
      </c>
      <c r="J1136" t="s">
        <v>733</v>
      </c>
      <c r="K1136" s="17" t="s">
        <v>42</v>
      </c>
      <c r="L1136">
        <v>3</v>
      </c>
    </row>
    <row r="1137" spans="1:12" x14ac:dyDescent="0.25">
      <c r="A1137" t="s">
        <v>3241</v>
      </c>
      <c r="B1137" t="s">
        <v>151</v>
      </c>
      <c r="C1137" t="s">
        <v>3242</v>
      </c>
      <c r="D1137" t="s">
        <v>46</v>
      </c>
      <c r="E1137">
        <v>25</v>
      </c>
      <c r="F1137" t="s">
        <v>31</v>
      </c>
      <c r="G1137" t="s">
        <v>3243</v>
      </c>
      <c r="H1137" s="2">
        <v>94968</v>
      </c>
      <c r="I1137" s="1" t="d">
        <v>2012-02-10</v>
      </c>
      <c r="J1137" t="s">
        <v>96</v>
      </c>
      <c r="K1137" s="17" t="s">
        <v>27</v>
      </c>
      <c r="L1137">
        <v>3</v>
      </c>
    </row>
    <row r="1138" spans="1:12" x14ac:dyDescent="0.25">
      <c r="A1138" t="s">
        <v>3244</v>
      </c>
      <c r="B1138" t="s">
        <v>718</v>
      </c>
      <c r="C1138" t="s">
        <v>961</v>
      </c>
      <c r="D1138" t="s">
        <v>46</v>
      </c>
      <c r="E1138">
        <v>32</v>
      </c>
      <c r="F1138" t="s">
        <v>1116</v>
      </c>
      <c r="G1138" t="s">
        <v>504</v>
      </c>
      <c r="H1138" t="s">
        <v>3245</v>
      </c>
      <c r="I1138" s="1" t="d">
        <v>2010-10-02</v>
      </c>
      <c r="J1138" t="s">
        <v>2256</v>
      </c>
      <c r="K1138" s="17" t="s">
        <v>19</v>
      </c>
      <c r="L1138">
        <v>4</v>
      </c>
    </row>
    <row r="1139" spans="1:12" x14ac:dyDescent="0.25">
      <c r="A1139" t="s">
        <v>3246</v>
      </c>
      <c r="B1139" t="s">
        <v>3247</v>
      </c>
      <c r="C1139" t="s">
        <v>390</v>
      </c>
      <c r="D1139" t="s">
        <v>9527</v>
      </c>
      <c r="E1139">
        <v>34</v>
      </c>
      <c r="F1139" t="s">
        <v>68</v>
      </c>
      <c r="G1139" t="s">
        <v>82</v>
      </c>
      <c r="H1139" s="2">
        <v>81530</v>
      </c>
      <c r="I1139" s="1" t="d">
        <v>2022-04-25</v>
      </c>
      <c r="J1139" t="s">
        <v>3238</v>
      </c>
      <c r="K1139" s="17" t="s">
        <v>90</v>
      </c>
      <c r="L1139">
        <v>3</v>
      </c>
    </row>
    <row r="1140" spans="1:12" x14ac:dyDescent="0.25">
      <c r="A1140" t="s">
        <v>3248</v>
      </c>
      <c r="B1140" t="s">
        <v>945</v>
      </c>
      <c r="C1140" t="s">
        <v>1608</v>
      </c>
      <c r="D1140" t="s">
        <v>9527</v>
      </c>
      <c r="E1140">
        <v>36</v>
      </c>
      <c r="F1140" t="s">
        <v>787</v>
      </c>
      <c r="G1140" t="s">
        <v>82</v>
      </c>
      <c r="H1140" s="2">
        <v>999999</v>
      </c>
      <c r="I1140" s="1" t="d">
        <v>2013-12-27</v>
      </c>
      <c r="J1140" t="s">
        <v>2809</v>
      </c>
      <c r="K1140" s="17" t="s">
        <v>90</v>
      </c>
      <c r="L1140">
        <v>1</v>
      </c>
    </row>
    <row r="1141" spans="1:12" x14ac:dyDescent="0.25">
      <c r="A1141" t="s">
        <v>3249</v>
      </c>
      <c r="B1141" t="s">
        <v>433</v>
      </c>
      <c r="C1141" t="s">
        <v>395</v>
      </c>
      <c r="D1141" t="s">
        <v>23</v>
      </c>
      <c r="E1141">
        <v>48</v>
      </c>
      <c r="G1141" t="s">
        <v>69</v>
      </c>
      <c r="H1141" s="2">
        <v>68554</v>
      </c>
      <c r="I1141" s="1" t="d">
        <v>2006-07-20</v>
      </c>
      <c r="J1141" t="s">
        <v>1547</v>
      </c>
      <c r="K1141" s="17" t="s">
        <v>71</v>
      </c>
      <c r="L1141">
        <v>2</v>
      </c>
    </row>
    <row r="1142" spans="1:12" x14ac:dyDescent="0.25">
      <c r="A1142" t="s">
        <v>3250</v>
      </c>
      <c r="B1142" t="s">
        <v>901</v>
      </c>
      <c r="C1142" t="s">
        <v>624</v>
      </c>
      <c r="D1142" t="s">
        <v>9527</v>
      </c>
      <c r="E1142">
        <v>42</v>
      </c>
      <c r="G1142" t="s">
        <v>82</v>
      </c>
      <c r="H1142">
        <v>41376</v>
      </c>
      <c r="I1142" s="1" t="d">
        <v>2009-12-05</v>
      </c>
      <c r="J1142" t="s">
        <v>3251</v>
      </c>
      <c r="K1142" s="17" t="s">
        <v>100</v>
      </c>
      <c r="L1142">
        <v>3</v>
      </c>
    </row>
    <row r="1143" spans="1:12" x14ac:dyDescent="0.25">
      <c r="A1143" t="s">
        <v>1698</v>
      </c>
      <c r="B1143" t="s">
        <v>102</v>
      </c>
      <c r="C1143" t="s">
        <v>1030</v>
      </c>
      <c r="D1143" t="s">
        <v>46</v>
      </c>
      <c r="E1143">
        <v>49</v>
      </c>
      <c r="F1143" t="s">
        <v>666</v>
      </c>
      <c r="G1143" t="s">
        <v>1866</v>
      </c>
      <c r="H1143" s="2">
        <v>56689</v>
      </c>
      <c r="I1143" s="1" t="d">
        <v>2011-08-02</v>
      </c>
      <c r="J1143" t="s">
        <v>105</v>
      </c>
      <c r="K1143" s="17" t="s">
        <v>71</v>
      </c>
      <c r="L1143">
        <v>3</v>
      </c>
    </row>
    <row r="1144" spans="1:12" x14ac:dyDescent="0.25">
      <c r="A1144" t="s">
        <v>3252</v>
      </c>
      <c r="B1144" t="s">
        <v>1437</v>
      </c>
      <c r="C1144" t="s">
        <v>30</v>
      </c>
      <c r="D1144" t="s">
        <v>46</v>
      </c>
      <c r="E1144">
        <v>27</v>
      </c>
      <c r="F1144" t="s">
        <v>81</v>
      </c>
      <c r="G1144" t="s">
        <v>3253</v>
      </c>
      <c r="H1144" t="s">
        <v>3254</v>
      </c>
      <c r="J1144" t="s">
        <v>3255</v>
      </c>
      <c r="K1144" s="17" t="s">
        <v>184</v>
      </c>
      <c r="L1144">
        <v>3</v>
      </c>
    </row>
    <row r="1145" spans="1:12" x14ac:dyDescent="0.25">
      <c r="A1145" t="s">
        <v>3256</v>
      </c>
      <c r="B1145" t="s">
        <v>2252</v>
      </c>
      <c r="C1145" t="s">
        <v>225</v>
      </c>
      <c r="D1145" t="s">
        <v>9527</v>
      </c>
      <c r="E1145">
        <v>45</v>
      </c>
      <c r="F1145" t="s">
        <v>253</v>
      </c>
      <c r="G1145" t="s">
        <v>177</v>
      </c>
      <c r="H1145" t="s">
        <v>3257</v>
      </c>
      <c r="I1145" s="1" t="d">
        <v>2018-05-31</v>
      </c>
      <c r="J1145" t="s">
        <v>3258</v>
      </c>
      <c r="K1145" s="17" t="s">
        <v>19</v>
      </c>
      <c r="L1145">
        <v>3</v>
      </c>
    </row>
    <row r="1146" spans="1:12" x14ac:dyDescent="0.25">
      <c r="A1146" t="s">
        <v>3259</v>
      </c>
      <c r="B1146" t="s">
        <v>808</v>
      </c>
      <c r="C1146" t="s">
        <v>1657</v>
      </c>
      <c r="D1146" t="s">
        <v>9527</v>
      </c>
      <c r="E1146">
        <v>40</v>
      </c>
      <c r="F1146" t="s">
        <v>169</v>
      </c>
      <c r="G1146" t="s">
        <v>63</v>
      </c>
      <c r="H1146" t="s">
        <v>3260</v>
      </c>
      <c r="I1146" s="1" t="d">
        <v>2018-01-18</v>
      </c>
      <c r="J1146" t="s">
        <v>3261</v>
      </c>
      <c r="K1146" s="17" t="s">
        <v>184</v>
      </c>
      <c r="L1146">
        <v>4</v>
      </c>
    </row>
    <row r="1147" spans="1:12" x14ac:dyDescent="0.25">
      <c r="A1147" t="s">
        <v>3262</v>
      </c>
      <c r="B1147" t="s">
        <v>548</v>
      </c>
      <c r="C1147" t="s">
        <v>61</v>
      </c>
      <c r="D1147" t="s">
        <v>23</v>
      </c>
      <c r="E1147">
        <v>23</v>
      </c>
      <c r="F1147" t="s">
        <v>417</v>
      </c>
      <c r="G1147" t="s">
        <v>115</v>
      </c>
      <c r="H1147" t="s">
        <v>3263</v>
      </c>
      <c r="I1147" s="1" t="d">
        <v>2011-05-25</v>
      </c>
      <c r="J1147" t="s">
        <v>791</v>
      </c>
      <c r="K1147" s="17" t="s">
        <v>58</v>
      </c>
      <c r="L1147">
        <v>4</v>
      </c>
    </row>
    <row r="1148" spans="1:12" x14ac:dyDescent="0.25">
      <c r="A1148" t="s">
        <v>3264</v>
      </c>
      <c r="B1148" t="s">
        <v>702</v>
      </c>
      <c r="C1148" t="s">
        <v>1030</v>
      </c>
      <c r="D1148" t="s">
        <v>23</v>
      </c>
      <c r="E1148">
        <v>30</v>
      </c>
      <c r="F1148" t="s">
        <v>190</v>
      </c>
      <c r="G1148" t="s">
        <v>378</v>
      </c>
      <c r="I1148" s="1" t="d">
        <v>2022-12-26</v>
      </c>
      <c r="J1148" t="s">
        <v>3265</v>
      </c>
      <c r="K1148" s="17" t="s">
        <v>58</v>
      </c>
      <c r="L1148">
        <v>5</v>
      </c>
    </row>
    <row r="1149" spans="1:12" x14ac:dyDescent="0.25">
      <c r="A1149" t="s">
        <v>3266</v>
      </c>
      <c r="B1149" t="s">
        <v>945</v>
      </c>
      <c r="C1149" t="s">
        <v>145</v>
      </c>
      <c r="D1149" t="s">
        <v>9527</v>
      </c>
      <c r="E1149">
        <v>55</v>
      </c>
      <c r="F1149" t="s">
        <v>31</v>
      </c>
      <c r="G1149" t="s">
        <v>39</v>
      </c>
      <c r="H1149" s="2">
        <v>39819</v>
      </c>
      <c r="I1149" s="1" t="d">
        <v>2010-07-06</v>
      </c>
      <c r="J1149" t="s">
        <v>148</v>
      </c>
      <c r="K1149" s="17" t="s">
        <v>42</v>
      </c>
      <c r="L1149">
        <v>1</v>
      </c>
    </row>
    <row r="1150" spans="1:12" x14ac:dyDescent="0.25">
      <c r="A1150" t="s">
        <v>3267</v>
      </c>
      <c r="B1150" t="s">
        <v>664</v>
      </c>
      <c r="C1150" t="s">
        <v>1538</v>
      </c>
      <c r="D1150" t="s">
        <v>23</v>
      </c>
      <c r="E1150">
        <v>36</v>
      </c>
      <c r="F1150" t="s">
        <v>2723</v>
      </c>
      <c r="G1150" t="s">
        <v>378</v>
      </c>
      <c r="H1150" s="2">
        <v>51179</v>
      </c>
      <c r="I1150" s="1" t="d">
        <v>2018-07-03</v>
      </c>
      <c r="J1150" t="s">
        <v>3268</v>
      </c>
      <c r="K1150" s="17" t="s">
        <v>42</v>
      </c>
      <c r="L1150">
        <v>3</v>
      </c>
    </row>
    <row r="1151" spans="1:12" x14ac:dyDescent="0.25">
      <c r="A1151" t="s">
        <v>3269</v>
      </c>
      <c r="B1151" t="s">
        <v>1301</v>
      </c>
      <c r="C1151" t="s">
        <v>1266</v>
      </c>
      <c r="D1151" t="s">
        <v>9527</v>
      </c>
      <c r="E1151">
        <v>41</v>
      </c>
      <c r="F1151" t="s">
        <v>585</v>
      </c>
      <c r="G1151" t="s">
        <v>32</v>
      </c>
      <c r="I1151" s="1" t="d">
        <v>2019-01-12</v>
      </c>
      <c r="J1151" t="s">
        <v>3270</v>
      </c>
      <c r="K1151" s="17" t="s">
        <v>71</v>
      </c>
      <c r="L1151">
        <v>4</v>
      </c>
    </row>
    <row r="1152" spans="1:12" x14ac:dyDescent="0.25">
      <c r="A1152" t="s">
        <v>3271</v>
      </c>
      <c r="B1152" t="s">
        <v>248</v>
      </c>
      <c r="C1152" t="s">
        <v>827</v>
      </c>
      <c r="D1152" t="s">
        <v>23</v>
      </c>
      <c r="E1152">
        <v>45</v>
      </c>
      <c r="F1152" t="s">
        <v>190</v>
      </c>
      <c r="G1152" t="s">
        <v>182</v>
      </c>
      <c r="H1152" s="2">
        <v>96066</v>
      </c>
      <c r="I1152" s="1" t="d">
        <v>2005-02-06</v>
      </c>
      <c r="J1152" t="s">
        <v>1879</v>
      </c>
      <c r="K1152" s="17" t="s">
        <v>71</v>
      </c>
      <c r="L1152">
        <v>5</v>
      </c>
    </row>
    <row r="1153" spans="1:12" x14ac:dyDescent="0.25">
      <c r="A1153" t="s">
        <v>3272</v>
      </c>
      <c r="B1153" t="s">
        <v>410</v>
      </c>
      <c r="C1153" t="s">
        <v>665</v>
      </c>
      <c r="D1153" t="s">
        <v>23</v>
      </c>
      <c r="E1153">
        <v>29</v>
      </c>
      <c r="F1153" t="s">
        <v>666</v>
      </c>
      <c r="G1153" t="s">
        <v>82</v>
      </c>
      <c r="H1153" t="s">
        <v>3273</v>
      </c>
      <c r="I1153" s="1" t="d">
        <v>2010-10-20</v>
      </c>
      <c r="J1153" t="s">
        <v>3274</v>
      </c>
      <c r="K1153" s="17" t="s">
        <v>71</v>
      </c>
      <c r="L1153">
        <v>3</v>
      </c>
    </row>
    <row r="1154" spans="1:12" x14ac:dyDescent="0.25">
      <c r="A1154" t="s">
        <v>3275</v>
      </c>
      <c r="B1154" t="s">
        <v>21</v>
      </c>
      <c r="C1154" t="s">
        <v>3276</v>
      </c>
      <c r="D1154" t="s">
        <v>23</v>
      </c>
      <c r="E1154">
        <v>33</v>
      </c>
      <c r="F1154" t="s">
        <v>559</v>
      </c>
      <c r="G1154" t="s">
        <v>3277</v>
      </c>
      <c r="H1154" s="2">
        <v>155322</v>
      </c>
      <c r="I1154" s="1" t="d">
        <v>2016-05-04</v>
      </c>
      <c r="J1154" t="s">
        <v>3278</v>
      </c>
      <c r="K1154" s="17" t="s">
        <v>27</v>
      </c>
      <c r="L1154">
        <v>5</v>
      </c>
    </row>
    <row r="1155" spans="1:12" x14ac:dyDescent="0.25">
      <c r="A1155" t="s">
        <v>3279</v>
      </c>
      <c r="B1155" t="s">
        <v>311</v>
      </c>
      <c r="C1155" t="s">
        <v>631</v>
      </c>
      <c r="D1155" t="s">
        <v>9527</v>
      </c>
      <c r="E1155">
        <v>36</v>
      </c>
      <c r="F1155" t="s">
        <v>3280</v>
      </c>
      <c r="G1155" t="s">
        <v>69</v>
      </c>
      <c r="H1155">
        <v>108631</v>
      </c>
      <c r="I1155" s="1" t="d">
        <v>2008-05-04</v>
      </c>
      <c r="J1155" t="s">
        <v>451</v>
      </c>
      <c r="K1155" s="17" t="s">
        <v>58</v>
      </c>
      <c r="L1155">
        <v>3</v>
      </c>
    </row>
    <row r="1156" spans="1:12" x14ac:dyDescent="0.25">
      <c r="A1156" t="s">
        <v>3281</v>
      </c>
      <c r="B1156" t="s">
        <v>507</v>
      </c>
      <c r="C1156" t="s">
        <v>631</v>
      </c>
      <c r="D1156" t="s">
        <v>46</v>
      </c>
      <c r="E1156">
        <v>34</v>
      </c>
      <c r="F1156" t="s">
        <v>1116</v>
      </c>
      <c r="G1156" t="s">
        <v>39</v>
      </c>
      <c r="H1156" s="2">
        <v>70244</v>
      </c>
      <c r="I1156" s="1" t="d">
        <v>2008-11-13</v>
      </c>
      <c r="J1156" t="s">
        <v>3282</v>
      </c>
      <c r="K1156" s="17" t="s">
        <v>34</v>
      </c>
      <c r="L1156">
        <v>5</v>
      </c>
    </row>
    <row r="1157" spans="1:12" x14ac:dyDescent="0.25">
      <c r="A1157" t="s">
        <v>3283</v>
      </c>
      <c r="B1157" t="s">
        <v>394</v>
      </c>
      <c r="C1157" t="s">
        <v>858</v>
      </c>
      <c r="D1157" t="s">
        <v>23</v>
      </c>
      <c r="E1157">
        <v>41</v>
      </c>
      <c r="G1157" t="s">
        <v>82</v>
      </c>
      <c r="H1157">
        <v>98087</v>
      </c>
      <c r="I1157" s="1" t="d">
        <v>2021-06-14</v>
      </c>
      <c r="J1157" t="s">
        <v>3284</v>
      </c>
      <c r="K1157" s="17" t="s">
        <v>27</v>
      </c>
      <c r="L1157">
        <v>3</v>
      </c>
    </row>
    <row r="1158" spans="1:12" x14ac:dyDescent="0.25">
      <c r="A1158" t="s">
        <v>3285</v>
      </c>
      <c r="B1158" t="s">
        <v>157</v>
      </c>
      <c r="C1158" t="s">
        <v>1205</v>
      </c>
      <c r="D1158" t="s">
        <v>23</v>
      </c>
      <c r="E1158">
        <v>25</v>
      </c>
      <c r="F1158" t="s">
        <v>38</v>
      </c>
      <c r="G1158" t="s">
        <v>39</v>
      </c>
      <c r="I1158" s="1" t="d">
        <v>2009-08-14</v>
      </c>
      <c r="J1158" t="s">
        <v>3286</v>
      </c>
      <c r="K1158" s="17" t="s">
        <v>184</v>
      </c>
      <c r="L1158">
        <v>2</v>
      </c>
    </row>
    <row r="1159" spans="1:12" x14ac:dyDescent="0.25">
      <c r="A1159" t="s">
        <v>3287</v>
      </c>
      <c r="B1159" t="s">
        <v>257</v>
      </c>
      <c r="C1159" t="s">
        <v>1622</v>
      </c>
      <c r="D1159" t="s">
        <v>23</v>
      </c>
      <c r="E1159">
        <v>45</v>
      </c>
      <c r="F1159" t="s">
        <v>373</v>
      </c>
      <c r="G1159" t="s">
        <v>191</v>
      </c>
      <c r="H1159" t="s">
        <v>3288</v>
      </c>
      <c r="I1159" s="1" t="d">
        <v>2023-01-22</v>
      </c>
      <c r="J1159" t="s">
        <v>3289</v>
      </c>
      <c r="K1159" s="17" t="s">
        <v>207</v>
      </c>
      <c r="L1159">
        <v>2</v>
      </c>
    </row>
    <row r="1160" spans="1:12" x14ac:dyDescent="0.25">
      <c r="A1160" t="s">
        <v>3290</v>
      </c>
      <c r="B1160" t="s">
        <v>769</v>
      </c>
      <c r="C1160" t="s">
        <v>204</v>
      </c>
      <c r="D1160" t="s">
        <v>9527</v>
      </c>
      <c r="E1160">
        <v>48</v>
      </c>
      <c r="F1160" t="s">
        <v>406</v>
      </c>
      <c r="G1160" t="s">
        <v>1277</v>
      </c>
      <c r="H1160" t="s">
        <v>3291</v>
      </c>
      <c r="I1160" s="1" t="d">
        <v>2017-10-07</v>
      </c>
      <c r="J1160" t="s">
        <v>3292</v>
      </c>
      <c r="K1160" s="17" t="s">
        <v>184</v>
      </c>
      <c r="L1160">
        <v>3</v>
      </c>
    </row>
    <row r="1161" spans="1:12" x14ac:dyDescent="0.25">
      <c r="A1161" t="s">
        <v>2485</v>
      </c>
      <c r="B1161" t="s">
        <v>664</v>
      </c>
      <c r="C1161" t="s">
        <v>3293</v>
      </c>
      <c r="D1161" t="s">
        <v>23</v>
      </c>
      <c r="E1161">
        <v>50</v>
      </c>
      <c r="F1161" t="s">
        <v>153</v>
      </c>
      <c r="G1161" t="s">
        <v>842</v>
      </c>
      <c r="H1161" t="s">
        <v>2486</v>
      </c>
      <c r="I1161" s="1" t="d">
        <v>2024-03-27</v>
      </c>
      <c r="J1161" t="s">
        <v>2081</v>
      </c>
      <c r="K1161" s="17" t="s">
        <v>71</v>
      </c>
      <c r="L1161">
        <v>3</v>
      </c>
    </row>
    <row r="1162" spans="1:12" x14ac:dyDescent="0.25">
      <c r="A1162" t="s">
        <v>3294</v>
      </c>
      <c r="B1162" t="s">
        <v>2491</v>
      </c>
      <c r="C1162" t="s">
        <v>2249</v>
      </c>
      <c r="D1162" t="s">
        <v>9527</v>
      </c>
      <c r="E1162">
        <v>47</v>
      </c>
      <c r="G1162" t="s">
        <v>109</v>
      </c>
      <c r="H1162" s="2">
        <v>116268</v>
      </c>
      <c r="I1162" s="1" t="d">
        <v>2024-09-27</v>
      </c>
      <c r="J1162" t="s">
        <v>1485</v>
      </c>
      <c r="K1162" s="17" t="s">
        <v>207</v>
      </c>
      <c r="L1162">
        <v>3</v>
      </c>
    </row>
    <row r="1163" spans="1:12" x14ac:dyDescent="0.25">
      <c r="A1163" t="s">
        <v>3295</v>
      </c>
      <c r="B1163" t="s">
        <v>44</v>
      </c>
      <c r="C1163" t="s">
        <v>195</v>
      </c>
      <c r="D1163" t="s">
        <v>23</v>
      </c>
      <c r="E1163">
        <v>36</v>
      </c>
      <c r="F1163" t="s">
        <v>269</v>
      </c>
      <c r="G1163" t="s">
        <v>147</v>
      </c>
      <c r="H1163" s="2">
        <v>67179</v>
      </c>
      <c r="I1163" s="1" t="d">
        <v>2019-05-03</v>
      </c>
      <c r="J1163" t="s">
        <v>3296</v>
      </c>
      <c r="K1163" s="17" t="s">
        <v>42</v>
      </c>
      <c r="L1163">
        <v>3</v>
      </c>
    </row>
    <row r="1164" spans="1:12" x14ac:dyDescent="0.25">
      <c r="A1164" t="s">
        <v>3297</v>
      </c>
      <c r="B1164" t="s">
        <v>563</v>
      </c>
      <c r="C1164" t="s">
        <v>2727</v>
      </c>
      <c r="D1164" t="s">
        <v>9527</v>
      </c>
      <c r="E1164">
        <v>45</v>
      </c>
      <c r="F1164" t="s">
        <v>62</v>
      </c>
      <c r="G1164" t="s">
        <v>88</v>
      </c>
      <c r="H1164" t="s">
        <v>3298</v>
      </c>
      <c r="I1164" s="1" t="d">
        <v>2016-12-11</v>
      </c>
      <c r="J1164" t="s">
        <v>3299</v>
      </c>
      <c r="K1164" s="17" t="s">
        <v>207</v>
      </c>
      <c r="L1164">
        <v>3</v>
      </c>
    </row>
    <row r="1165" spans="1:12" x14ac:dyDescent="0.25">
      <c r="A1165" t="s">
        <v>3300</v>
      </c>
      <c r="B1165" t="s">
        <v>385</v>
      </c>
      <c r="C1165" t="s">
        <v>696</v>
      </c>
      <c r="D1165" t="s">
        <v>9527</v>
      </c>
      <c r="E1165">
        <v>39</v>
      </c>
      <c r="F1165" t="s">
        <v>264</v>
      </c>
      <c r="G1165" t="s">
        <v>641</v>
      </c>
      <c r="H1165" t="s">
        <v>3301</v>
      </c>
      <c r="I1165" s="1" t="d">
        <v>2008-04-16</v>
      </c>
      <c r="J1165" t="s">
        <v>2890</v>
      </c>
      <c r="K1165" s="17" t="s">
        <v>207</v>
      </c>
      <c r="L1165">
        <v>4</v>
      </c>
    </row>
    <row r="1166" spans="1:12" x14ac:dyDescent="0.25">
      <c r="A1166" t="s">
        <v>3302</v>
      </c>
      <c r="B1166" t="s">
        <v>1896</v>
      </c>
      <c r="C1166" t="s">
        <v>1258</v>
      </c>
      <c r="D1166" t="s">
        <v>46</v>
      </c>
      <c r="E1166">
        <v>26</v>
      </c>
      <c r="F1166" t="s">
        <v>153</v>
      </c>
      <c r="G1166" t="s">
        <v>55</v>
      </c>
      <c r="H1166" t="s">
        <v>3303</v>
      </c>
      <c r="I1166" s="1" t="d">
        <v>2009-06-28</v>
      </c>
      <c r="J1166" t="s">
        <v>1302</v>
      </c>
      <c r="K1166" s="17" t="s">
        <v>149</v>
      </c>
      <c r="L1166">
        <v>2</v>
      </c>
    </row>
    <row r="1167" spans="1:12" x14ac:dyDescent="0.25">
      <c r="A1167" t="s">
        <v>3304</v>
      </c>
      <c r="B1167" t="s">
        <v>520</v>
      </c>
      <c r="C1167" t="s">
        <v>631</v>
      </c>
      <c r="D1167" t="s">
        <v>46</v>
      </c>
      <c r="E1167">
        <v>39</v>
      </c>
      <c r="F1167" t="s">
        <v>859</v>
      </c>
      <c r="G1167" t="s">
        <v>147</v>
      </c>
      <c r="H1167" s="2">
        <v>85905</v>
      </c>
      <c r="I1167" s="1" t="d">
        <v>2016-11-26</v>
      </c>
      <c r="J1167" t="s">
        <v>3305</v>
      </c>
      <c r="K1167" s="17" t="s">
        <v>71</v>
      </c>
      <c r="L1167">
        <v>5</v>
      </c>
    </row>
    <row r="1168" spans="1:12" x14ac:dyDescent="0.25">
      <c r="A1168" t="s">
        <v>3306</v>
      </c>
      <c r="B1168" t="s">
        <v>311</v>
      </c>
      <c r="C1168" t="s">
        <v>181</v>
      </c>
      <c r="D1168" t="s">
        <v>9527</v>
      </c>
      <c r="E1168">
        <v>40</v>
      </c>
      <c r="F1168" t="s">
        <v>559</v>
      </c>
      <c r="G1168" t="s">
        <v>638</v>
      </c>
      <c r="H1168" s="2">
        <v>127992</v>
      </c>
      <c r="I1168" s="1" t="d">
        <v>2014-03-18</v>
      </c>
      <c r="J1168" t="s">
        <v>3307</v>
      </c>
      <c r="K1168" s="17" t="s">
        <v>19</v>
      </c>
      <c r="L1168">
        <v>1</v>
      </c>
    </row>
    <row r="1169" spans="1:12" x14ac:dyDescent="0.25">
      <c r="A1169" t="s">
        <v>3308</v>
      </c>
      <c r="B1169" t="s">
        <v>66</v>
      </c>
      <c r="C1169" t="s">
        <v>2013</v>
      </c>
      <c r="D1169" t="s">
        <v>9527</v>
      </c>
      <c r="E1169">
        <v>48</v>
      </c>
      <c r="F1169" t="s">
        <v>216</v>
      </c>
      <c r="G1169" t="s">
        <v>115</v>
      </c>
      <c r="H1169" t="s">
        <v>3309</v>
      </c>
      <c r="I1169" s="1" t="d">
        <v>2009-08-14</v>
      </c>
      <c r="J1169" t="s">
        <v>1862</v>
      </c>
      <c r="K1169" s="17" t="s">
        <v>71</v>
      </c>
      <c r="L1169">
        <v>4</v>
      </c>
    </row>
    <row r="1170" spans="1:12" x14ac:dyDescent="0.25">
      <c r="A1170" t="s">
        <v>3310</v>
      </c>
      <c r="B1170" t="s">
        <v>134</v>
      </c>
      <c r="C1170" t="s">
        <v>3035</v>
      </c>
      <c r="D1170" t="s">
        <v>23</v>
      </c>
      <c r="E1170">
        <v>29</v>
      </c>
      <c r="F1170" t="s">
        <v>406</v>
      </c>
      <c r="G1170" t="s">
        <v>82</v>
      </c>
      <c r="H1170">
        <v>38402</v>
      </c>
      <c r="I1170" s="1" t="d">
        <v>2022-06-20</v>
      </c>
      <c r="J1170" t="s">
        <v>2206</v>
      </c>
      <c r="K1170" s="17" t="s">
        <v>90</v>
      </c>
      <c r="L1170">
        <v>5</v>
      </c>
    </row>
    <row r="1171" spans="1:12" x14ac:dyDescent="0.25">
      <c r="A1171" t="s">
        <v>3311</v>
      </c>
      <c r="B1171" t="s">
        <v>335</v>
      </c>
      <c r="C1171" t="s">
        <v>453</v>
      </c>
      <c r="D1171" t="s">
        <v>9527</v>
      </c>
      <c r="E1171">
        <v>52</v>
      </c>
      <c r="F1171" t="s">
        <v>31</v>
      </c>
      <c r="G1171" t="s">
        <v>55</v>
      </c>
      <c r="H1171" s="2">
        <v>40988</v>
      </c>
      <c r="I1171" s="1" t="d">
        <v>2012-05-29</v>
      </c>
      <c r="J1171" t="s">
        <v>3312</v>
      </c>
      <c r="K1171" s="17" t="s">
        <v>184</v>
      </c>
      <c r="L1171">
        <v>4</v>
      </c>
    </row>
    <row r="1172" spans="1:12" x14ac:dyDescent="0.25">
      <c r="A1172" t="s">
        <v>3313</v>
      </c>
      <c r="B1172" t="s">
        <v>945</v>
      </c>
      <c r="C1172" t="s">
        <v>827</v>
      </c>
      <c r="D1172" t="s">
        <v>46</v>
      </c>
      <c r="E1172">
        <v>21</v>
      </c>
      <c r="F1172" t="s">
        <v>296</v>
      </c>
      <c r="G1172" t="s">
        <v>82</v>
      </c>
      <c r="I1172" s="1" t="d">
        <v>2017-08-07</v>
      </c>
      <c r="J1172" t="s">
        <v>3314</v>
      </c>
      <c r="K1172" s="17" t="s">
        <v>184</v>
      </c>
      <c r="L1172">
        <v>4</v>
      </c>
    </row>
    <row r="1173" spans="1:12" x14ac:dyDescent="0.25">
      <c r="A1173" t="s">
        <v>3315</v>
      </c>
      <c r="B1173" t="s">
        <v>470</v>
      </c>
      <c r="C1173" t="s">
        <v>195</v>
      </c>
      <c r="D1173" t="s">
        <v>23</v>
      </c>
      <c r="E1173">
        <v>38</v>
      </c>
      <c r="F1173" t="s">
        <v>3316</v>
      </c>
      <c r="G1173" t="s">
        <v>191</v>
      </c>
      <c r="H1173" t="s">
        <v>3317</v>
      </c>
      <c r="I1173" s="1" t="d">
        <v>2012-11-23</v>
      </c>
      <c r="J1173" t="s">
        <v>3318</v>
      </c>
      <c r="K1173" s="17" t="s">
        <v>149</v>
      </c>
      <c r="L1173">
        <v>1</v>
      </c>
    </row>
    <row r="1174" spans="1:12" x14ac:dyDescent="0.25">
      <c r="A1174" t="s">
        <v>3319</v>
      </c>
      <c r="B1174" t="s">
        <v>993</v>
      </c>
      <c r="C1174" t="s">
        <v>244</v>
      </c>
      <c r="D1174" t="s">
        <v>46</v>
      </c>
      <c r="E1174">
        <v>49</v>
      </c>
      <c r="F1174" t="s">
        <v>146</v>
      </c>
      <c r="G1174" t="s">
        <v>48</v>
      </c>
      <c r="H1174" t="s">
        <v>3320</v>
      </c>
      <c r="I1174" s="1" t="d">
        <v>2008-04-04</v>
      </c>
      <c r="J1174" t="s">
        <v>1041</v>
      </c>
      <c r="K1174" s="17" t="s">
        <v>184</v>
      </c>
      <c r="L1174">
        <v>5</v>
      </c>
    </row>
    <row r="1175" spans="1:12" x14ac:dyDescent="0.25">
      <c r="A1175" t="s">
        <v>3321</v>
      </c>
      <c r="B1175" t="s">
        <v>112</v>
      </c>
      <c r="C1175" t="s">
        <v>215</v>
      </c>
      <c r="D1175" t="s">
        <v>23</v>
      </c>
      <c r="E1175">
        <v>36</v>
      </c>
      <c r="F1175" t="s">
        <v>978</v>
      </c>
      <c r="G1175" t="s">
        <v>82</v>
      </c>
      <c r="I1175" s="1" t="d">
        <v>2019-11-12</v>
      </c>
      <c r="J1175" t="s">
        <v>3322</v>
      </c>
      <c r="K1175" s="17" t="s">
        <v>149</v>
      </c>
      <c r="L1175">
        <v>2</v>
      </c>
    </row>
    <row r="1176" spans="1:12" x14ac:dyDescent="0.25">
      <c r="A1176" t="s">
        <v>3323</v>
      </c>
      <c r="B1176" t="s">
        <v>112</v>
      </c>
      <c r="C1176" t="s">
        <v>168</v>
      </c>
      <c r="D1176" t="s">
        <v>46</v>
      </c>
      <c r="E1176">
        <v>33</v>
      </c>
      <c r="F1176" t="s">
        <v>918</v>
      </c>
      <c r="G1176" t="s">
        <v>205</v>
      </c>
      <c r="H1176" t="s">
        <v>3324</v>
      </c>
      <c r="J1176" t="s">
        <v>3325</v>
      </c>
      <c r="K1176" s="17" t="s">
        <v>71</v>
      </c>
      <c r="L1176">
        <v>4</v>
      </c>
    </row>
    <row r="1177" spans="1:12" x14ac:dyDescent="0.25">
      <c r="A1177" t="s">
        <v>3326</v>
      </c>
      <c r="B1177" t="s">
        <v>680</v>
      </c>
      <c r="C1177" t="s">
        <v>427</v>
      </c>
      <c r="D1177" t="s">
        <v>46</v>
      </c>
      <c r="E1177">
        <v>24</v>
      </c>
      <c r="F1177" t="s">
        <v>94</v>
      </c>
      <c r="G1177" t="s">
        <v>177</v>
      </c>
      <c r="H1177" t="s">
        <v>3327</v>
      </c>
      <c r="I1177" s="1" t="d">
        <v>2019-01-22</v>
      </c>
      <c r="J1177" t="s">
        <v>1778</v>
      </c>
      <c r="K1177" s="17" t="s">
        <v>42</v>
      </c>
      <c r="L1177">
        <v>3</v>
      </c>
    </row>
    <row r="1178" spans="1:12" x14ac:dyDescent="0.25">
      <c r="A1178" t="s">
        <v>3328</v>
      </c>
      <c r="B1178" t="s">
        <v>167</v>
      </c>
      <c r="C1178" t="s">
        <v>747</v>
      </c>
      <c r="D1178" t="s">
        <v>23</v>
      </c>
      <c r="E1178">
        <v>24</v>
      </c>
      <c r="F1178" t="s">
        <v>417</v>
      </c>
      <c r="G1178" t="s">
        <v>48</v>
      </c>
      <c r="H1178" s="2">
        <v>56152</v>
      </c>
      <c r="I1178" s="1" t="d">
        <v>2012-08-29</v>
      </c>
      <c r="J1178" t="s">
        <v>3329</v>
      </c>
      <c r="K1178" s="17" t="s">
        <v>71</v>
      </c>
      <c r="L1178">
        <v>4</v>
      </c>
    </row>
    <row r="1179" spans="1:12" x14ac:dyDescent="0.25">
      <c r="A1179" t="s">
        <v>3330</v>
      </c>
      <c r="B1179" t="s">
        <v>1516</v>
      </c>
      <c r="C1179" t="s">
        <v>555</v>
      </c>
      <c r="D1179" t="s">
        <v>23</v>
      </c>
      <c r="E1179">
        <v>26</v>
      </c>
      <c r="F1179" t="s">
        <v>365</v>
      </c>
      <c r="G1179" t="s">
        <v>912</v>
      </c>
      <c r="H1179">
        <v>57026</v>
      </c>
      <c r="I1179" s="1" t="d">
        <v>2014-08-01</v>
      </c>
      <c r="J1179" t="s">
        <v>3284</v>
      </c>
      <c r="K1179" s="17" t="s">
        <v>207</v>
      </c>
      <c r="L1179">
        <v>3</v>
      </c>
    </row>
    <row r="1180" spans="1:12" x14ac:dyDescent="0.25">
      <c r="A1180" t="s">
        <v>3331</v>
      </c>
      <c r="B1180" t="s">
        <v>3332</v>
      </c>
      <c r="C1180" t="s">
        <v>488</v>
      </c>
      <c r="D1180" t="s">
        <v>9527</v>
      </c>
      <c r="E1180">
        <v>24</v>
      </c>
      <c r="F1180" t="s">
        <v>522</v>
      </c>
      <c r="G1180" t="s">
        <v>842</v>
      </c>
      <c r="H1180">
        <v>144218</v>
      </c>
      <c r="I1180" s="1" t="d">
        <v>2024-12-16</v>
      </c>
      <c r="J1180" t="s">
        <v>2278</v>
      </c>
      <c r="K1180" s="17" t="s">
        <v>50</v>
      </c>
      <c r="L1180">
        <v>4</v>
      </c>
    </row>
    <row r="1181" spans="1:12" x14ac:dyDescent="0.25">
      <c r="A1181" t="s">
        <v>3333</v>
      </c>
      <c r="B1181" t="s">
        <v>1842</v>
      </c>
      <c r="C1181" t="s">
        <v>1770</v>
      </c>
      <c r="D1181" t="s">
        <v>23</v>
      </c>
      <c r="E1181">
        <v>55</v>
      </c>
      <c r="F1181" t="s">
        <v>2024</v>
      </c>
      <c r="G1181" t="s">
        <v>357</v>
      </c>
      <c r="H1181" t="s">
        <v>3334</v>
      </c>
      <c r="I1181" s="1" t="d">
        <v>2005-02-26</v>
      </c>
      <c r="J1181" t="s">
        <v>3335</v>
      </c>
      <c r="K1181" s="17" t="s">
        <v>149</v>
      </c>
      <c r="L1181">
        <v>2</v>
      </c>
    </row>
    <row r="1182" spans="1:12" x14ac:dyDescent="0.25">
      <c r="A1182" t="s">
        <v>3336</v>
      </c>
      <c r="B1182" t="s">
        <v>1403</v>
      </c>
      <c r="C1182" t="s">
        <v>215</v>
      </c>
      <c r="D1182" t="s">
        <v>46</v>
      </c>
      <c r="E1182">
        <v>23</v>
      </c>
      <c r="F1182" t="s">
        <v>522</v>
      </c>
      <c r="G1182" t="s">
        <v>177</v>
      </c>
      <c r="H1182" t="s">
        <v>3337</v>
      </c>
      <c r="I1182" s="1" t="d">
        <v>2005-12-11</v>
      </c>
      <c r="J1182" t="s">
        <v>3338</v>
      </c>
      <c r="K1182" s="17" t="s">
        <v>184</v>
      </c>
      <c r="L1182">
        <v>3</v>
      </c>
    </row>
    <row r="1183" spans="1:12" x14ac:dyDescent="0.25">
      <c r="A1183" t="s">
        <v>3339</v>
      </c>
      <c r="B1183" t="s">
        <v>439</v>
      </c>
      <c r="C1183" t="s">
        <v>103</v>
      </c>
      <c r="D1183" t="s">
        <v>9527</v>
      </c>
      <c r="E1183">
        <v>40</v>
      </c>
      <c r="F1183" t="s">
        <v>918</v>
      </c>
      <c r="G1183" t="s">
        <v>48</v>
      </c>
      <c r="H1183" t="s">
        <v>3340</v>
      </c>
      <c r="I1183" s="1" t="d">
        <v>2024-07-04</v>
      </c>
      <c r="J1183" t="s">
        <v>1118</v>
      </c>
      <c r="K1183" s="17" t="s">
        <v>71</v>
      </c>
      <c r="L1183">
        <v>5</v>
      </c>
    </row>
    <row r="1184" spans="1:12" x14ac:dyDescent="0.25">
      <c r="A1184" t="s">
        <v>3341</v>
      </c>
      <c r="B1184" t="s">
        <v>130</v>
      </c>
      <c r="C1184" t="s">
        <v>898</v>
      </c>
      <c r="D1184" t="s">
        <v>9527</v>
      </c>
      <c r="E1184">
        <v>41</v>
      </c>
      <c r="F1184" t="s">
        <v>253</v>
      </c>
      <c r="G1184" t="s">
        <v>1719</v>
      </c>
      <c r="H1184">
        <v>48328</v>
      </c>
      <c r="I1184" s="1" t="d">
        <v>2010-11-14</v>
      </c>
      <c r="J1184" t="s">
        <v>2375</v>
      </c>
      <c r="K1184" s="17" t="s">
        <v>149</v>
      </c>
      <c r="L1184">
        <v>3</v>
      </c>
    </row>
    <row r="1185" spans="1:12" x14ac:dyDescent="0.25">
      <c r="A1185" t="s">
        <v>3342</v>
      </c>
      <c r="B1185" t="s">
        <v>3343</v>
      </c>
      <c r="C1185" t="s">
        <v>660</v>
      </c>
      <c r="D1185" t="s">
        <v>23</v>
      </c>
      <c r="E1185">
        <v>38</v>
      </c>
      <c r="F1185" t="s">
        <v>211</v>
      </c>
      <c r="G1185" t="s">
        <v>182</v>
      </c>
      <c r="H1185" t="s">
        <v>3344</v>
      </c>
      <c r="I1185" s="1" t="d">
        <v>2015-07-28</v>
      </c>
      <c r="J1185" t="s">
        <v>2968</v>
      </c>
      <c r="K1185" s="17" t="s">
        <v>34</v>
      </c>
      <c r="L1185">
        <v>2</v>
      </c>
    </row>
    <row r="1186" spans="1:12" x14ac:dyDescent="0.25">
      <c r="A1186" t="s">
        <v>3345</v>
      </c>
      <c r="B1186" t="s">
        <v>162</v>
      </c>
      <c r="C1186" t="s">
        <v>599</v>
      </c>
      <c r="D1186" t="s">
        <v>9527</v>
      </c>
      <c r="E1186">
        <v>45</v>
      </c>
      <c r="F1186" t="s">
        <v>287</v>
      </c>
      <c r="G1186" t="s">
        <v>115</v>
      </c>
      <c r="H1186">
        <v>85491</v>
      </c>
      <c r="I1186" s="1" t="d">
        <v>2024-06-08</v>
      </c>
      <c r="J1186" t="s">
        <v>602</v>
      </c>
      <c r="K1186" s="17" t="s">
        <v>149</v>
      </c>
      <c r="L1186">
        <v>4</v>
      </c>
    </row>
    <row r="1187" spans="1:12" x14ac:dyDescent="0.25">
      <c r="A1187" t="s">
        <v>3346</v>
      </c>
      <c r="B1187" t="s">
        <v>221</v>
      </c>
      <c r="C1187" t="s">
        <v>263</v>
      </c>
      <c r="D1187" t="s">
        <v>23</v>
      </c>
      <c r="E1187">
        <v>25</v>
      </c>
      <c r="F1187" t="s">
        <v>2700</v>
      </c>
      <c r="G1187" t="s">
        <v>177</v>
      </c>
      <c r="H1187">
        <v>71002</v>
      </c>
      <c r="I1187" s="1" t="d">
        <v>2005-04-01</v>
      </c>
      <c r="J1187" t="s">
        <v>1504</v>
      </c>
      <c r="K1187" s="17" t="s">
        <v>207</v>
      </c>
      <c r="L1187">
        <v>2</v>
      </c>
    </row>
    <row r="1188" spans="1:12" x14ac:dyDescent="0.25">
      <c r="A1188" t="s">
        <v>2291</v>
      </c>
      <c r="B1188" t="s">
        <v>630</v>
      </c>
      <c r="C1188" t="s">
        <v>2292</v>
      </c>
      <c r="D1188" t="s">
        <v>46</v>
      </c>
      <c r="E1188">
        <v>38</v>
      </c>
      <c r="F1188" t="s">
        <v>196</v>
      </c>
      <c r="G1188" t="s">
        <v>170</v>
      </c>
      <c r="H1188" s="2">
        <v>40079</v>
      </c>
      <c r="I1188" s="1" t="d">
        <v>2010-01-28</v>
      </c>
      <c r="J1188" t="s">
        <v>2293</v>
      </c>
      <c r="K1188" s="17" t="s">
        <v>149</v>
      </c>
      <c r="L1188">
        <v>3</v>
      </c>
    </row>
    <row r="1189" spans="1:12" x14ac:dyDescent="0.25">
      <c r="A1189" t="s">
        <v>3347</v>
      </c>
      <c r="B1189" t="s">
        <v>37</v>
      </c>
      <c r="C1189" t="s">
        <v>961</v>
      </c>
      <c r="D1189" t="s">
        <v>23</v>
      </c>
      <c r="E1189">
        <v>45</v>
      </c>
      <c r="F1189" t="s">
        <v>114</v>
      </c>
      <c r="G1189" t="s">
        <v>69</v>
      </c>
      <c r="H1189" t="s">
        <v>3348</v>
      </c>
      <c r="I1189" s="1" t="d">
        <v>2005-11-29</v>
      </c>
      <c r="J1189" t="s">
        <v>2753</v>
      </c>
      <c r="K1189" s="17" t="s">
        <v>58</v>
      </c>
      <c r="L1189">
        <v>1</v>
      </c>
    </row>
    <row r="1190" spans="1:12" x14ac:dyDescent="0.25">
      <c r="A1190" t="s">
        <v>3349</v>
      </c>
      <c r="B1190" t="s">
        <v>86</v>
      </c>
      <c r="C1190" t="s">
        <v>483</v>
      </c>
      <c r="D1190" t="s">
        <v>9527</v>
      </c>
      <c r="E1190">
        <v>39</v>
      </c>
      <c r="F1190" t="s">
        <v>200</v>
      </c>
      <c r="G1190" t="s">
        <v>82</v>
      </c>
      <c r="I1190" s="1" t="d">
        <v>2007-07-28</v>
      </c>
      <c r="J1190" t="s">
        <v>2893</v>
      </c>
      <c r="K1190" s="17" t="s">
        <v>207</v>
      </c>
      <c r="L1190">
        <v>5</v>
      </c>
    </row>
    <row r="1191" spans="1:12" x14ac:dyDescent="0.25">
      <c r="A1191" t="s">
        <v>3350</v>
      </c>
      <c r="B1191" t="s">
        <v>993</v>
      </c>
      <c r="C1191" t="s">
        <v>189</v>
      </c>
      <c r="D1191" t="s">
        <v>46</v>
      </c>
      <c r="E1191">
        <v>21</v>
      </c>
      <c r="F1191" t="s">
        <v>269</v>
      </c>
      <c r="G1191" t="s">
        <v>115</v>
      </c>
      <c r="H1191" t="s">
        <v>3351</v>
      </c>
      <c r="I1191" s="1" t="d">
        <v>2019-11-21</v>
      </c>
      <c r="J1191" t="s">
        <v>3352</v>
      </c>
      <c r="K1191" s="17" t="s">
        <v>19</v>
      </c>
      <c r="L1191">
        <v>3</v>
      </c>
    </row>
    <row r="1192" spans="1:12" x14ac:dyDescent="0.25">
      <c r="A1192" t="s">
        <v>3353</v>
      </c>
      <c r="B1192" t="s">
        <v>21</v>
      </c>
      <c r="C1192" t="s">
        <v>181</v>
      </c>
      <c r="D1192" t="s">
        <v>9527</v>
      </c>
      <c r="E1192">
        <v>46</v>
      </c>
      <c r="F1192" t="s">
        <v>146</v>
      </c>
      <c r="G1192" t="s">
        <v>1121</v>
      </c>
      <c r="H1192" t="s">
        <v>3354</v>
      </c>
      <c r="I1192" s="1" t="d">
        <v>2016-04-28</v>
      </c>
      <c r="J1192" t="s">
        <v>3355</v>
      </c>
      <c r="K1192" s="17" t="s">
        <v>118</v>
      </c>
      <c r="L1192">
        <v>3</v>
      </c>
    </row>
    <row r="1193" spans="1:12" x14ac:dyDescent="0.25">
      <c r="A1193" t="s">
        <v>3356</v>
      </c>
      <c r="B1193" t="s">
        <v>630</v>
      </c>
      <c r="C1193" t="s">
        <v>858</v>
      </c>
      <c r="D1193" t="s">
        <v>46</v>
      </c>
      <c r="E1193">
        <v>44</v>
      </c>
      <c r="F1193" t="s">
        <v>576</v>
      </c>
      <c r="G1193" t="s">
        <v>177</v>
      </c>
      <c r="H1193" t="s">
        <v>3357</v>
      </c>
      <c r="I1193" s="1" t="d">
        <v>2019-02-11</v>
      </c>
      <c r="J1193" t="s">
        <v>860</v>
      </c>
      <c r="K1193" s="17" t="s">
        <v>149</v>
      </c>
      <c r="L1193">
        <v>3</v>
      </c>
    </row>
    <row r="1194" spans="1:12" x14ac:dyDescent="0.25">
      <c r="A1194" t="s">
        <v>3358</v>
      </c>
      <c r="B1194" t="s">
        <v>1002</v>
      </c>
      <c r="C1194" t="s">
        <v>453</v>
      </c>
      <c r="D1194" t="s">
        <v>9527</v>
      </c>
      <c r="E1194">
        <v>56</v>
      </c>
      <c r="F1194" t="s">
        <v>559</v>
      </c>
      <c r="G1194" t="s">
        <v>458</v>
      </c>
      <c r="H1194" t="s">
        <v>3359</v>
      </c>
      <c r="I1194" s="1" t="d">
        <v>2008-02-06</v>
      </c>
      <c r="J1194" t="s">
        <v>3360</v>
      </c>
      <c r="K1194" s="17" t="s">
        <v>19</v>
      </c>
      <c r="L1194">
        <v>4</v>
      </c>
    </row>
    <row r="1195" spans="1:12" x14ac:dyDescent="0.25">
      <c r="A1195" t="s">
        <v>3361</v>
      </c>
      <c r="B1195" t="s">
        <v>139</v>
      </c>
      <c r="C1195" t="s">
        <v>2023</v>
      </c>
      <c r="D1195" t="s">
        <v>46</v>
      </c>
      <c r="E1195">
        <v>41</v>
      </c>
      <c r="F1195" t="s">
        <v>258</v>
      </c>
      <c r="G1195" t="s">
        <v>1215</v>
      </c>
      <c r="H1195" t="s">
        <v>3362</v>
      </c>
      <c r="I1195" s="1" t="d">
        <v>2013-12-07</v>
      </c>
      <c r="J1195" t="s">
        <v>3363</v>
      </c>
      <c r="K1195" s="17" t="s">
        <v>207</v>
      </c>
      <c r="L1195">
        <v>3</v>
      </c>
    </row>
    <row r="1196" spans="1:12" x14ac:dyDescent="0.25">
      <c r="A1196" t="s">
        <v>3364</v>
      </c>
      <c r="B1196" t="s">
        <v>1759</v>
      </c>
      <c r="C1196" t="s">
        <v>462</v>
      </c>
      <c r="D1196" t="s">
        <v>9527</v>
      </c>
      <c r="E1196">
        <v>22</v>
      </c>
      <c r="G1196" t="s">
        <v>212</v>
      </c>
      <c r="H1196" s="2">
        <v>66815</v>
      </c>
      <c r="I1196" s="1" t="d">
        <v>2007-11-22</v>
      </c>
      <c r="J1196" t="s">
        <v>3365</v>
      </c>
      <c r="K1196" s="17" t="s">
        <v>207</v>
      </c>
      <c r="L1196">
        <v>4</v>
      </c>
    </row>
    <row r="1197" spans="1:12" x14ac:dyDescent="0.25">
      <c r="A1197" t="s">
        <v>3366</v>
      </c>
      <c r="B1197" t="s">
        <v>112</v>
      </c>
      <c r="C1197" t="s">
        <v>1622</v>
      </c>
      <c r="D1197" t="s">
        <v>46</v>
      </c>
      <c r="E1197">
        <v>44</v>
      </c>
      <c r="F1197" t="s">
        <v>3101</v>
      </c>
      <c r="G1197" t="s">
        <v>1645</v>
      </c>
      <c r="H1197" s="2">
        <v>77883</v>
      </c>
      <c r="I1197" s="1" t="d">
        <v>2010-11-05</v>
      </c>
      <c r="J1197" t="s">
        <v>2503</v>
      </c>
      <c r="K1197" s="17" t="s">
        <v>50</v>
      </c>
      <c r="L1197">
        <v>4</v>
      </c>
    </row>
    <row r="1198" spans="1:12" x14ac:dyDescent="0.25">
      <c r="A1198" t="s">
        <v>3367</v>
      </c>
      <c r="B1198" t="s">
        <v>29</v>
      </c>
      <c r="C1198" t="s">
        <v>3368</v>
      </c>
      <c r="D1198" t="s">
        <v>9527</v>
      </c>
      <c r="E1198">
        <v>32</v>
      </c>
      <c r="F1198" t="s">
        <v>649</v>
      </c>
      <c r="G1198" t="s">
        <v>328</v>
      </c>
      <c r="I1198" s="1" t="d">
        <v>2013-03-05</v>
      </c>
      <c r="J1198" t="s">
        <v>3369</v>
      </c>
      <c r="K1198" s="17" t="s">
        <v>118</v>
      </c>
      <c r="L1198">
        <v>3</v>
      </c>
    </row>
    <row r="1199" spans="1:12" x14ac:dyDescent="0.25">
      <c r="A1199" t="s">
        <v>3370</v>
      </c>
      <c r="B1199" t="s">
        <v>470</v>
      </c>
      <c r="C1199" t="s">
        <v>599</v>
      </c>
      <c r="D1199" t="s">
        <v>9527</v>
      </c>
      <c r="E1199">
        <v>24</v>
      </c>
      <c r="F1199" t="s">
        <v>671</v>
      </c>
      <c r="G1199" t="s">
        <v>212</v>
      </c>
      <c r="H1199" s="2">
        <v>115491</v>
      </c>
      <c r="I1199" s="1" t="d">
        <v>2012-05-24</v>
      </c>
      <c r="J1199" t="s">
        <v>3371</v>
      </c>
      <c r="K1199" s="17" t="s">
        <v>34</v>
      </c>
      <c r="L1199">
        <v>4</v>
      </c>
    </row>
    <row r="1200" spans="1:12" x14ac:dyDescent="0.25">
      <c r="A1200" t="s">
        <v>3372</v>
      </c>
      <c r="B1200" t="s">
        <v>548</v>
      </c>
      <c r="C1200" t="s">
        <v>107</v>
      </c>
      <c r="D1200" t="s">
        <v>9527</v>
      </c>
      <c r="E1200">
        <v>59</v>
      </c>
      <c r="F1200" t="s">
        <v>169</v>
      </c>
      <c r="G1200" t="s">
        <v>641</v>
      </c>
      <c r="I1200" s="1" t="d">
        <v>2023-08-09</v>
      </c>
      <c r="J1200" t="s">
        <v>2303</v>
      </c>
      <c r="K1200" s="17" t="s">
        <v>42</v>
      </c>
      <c r="L1200">
        <v>3</v>
      </c>
    </row>
    <row r="1201" spans="1:12" x14ac:dyDescent="0.25">
      <c r="A1201" t="s">
        <v>3373</v>
      </c>
      <c r="B1201" t="s">
        <v>993</v>
      </c>
      <c r="C1201" t="s">
        <v>2013</v>
      </c>
      <c r="D1201" t="s">
        <v>9527</v>
      </c>
      <c r="E1201">
        <v>37</v>
      </c>
      <c r="F1201" t="s">
        <v>47</v>
      </c>
      <c r="G1201" t="s">
        <v>88</v>
      </c>
      <c r="H1201">
        <v>52805</v>
      </c>
      <c r="I1201" s="1" t="d">
        <v>2022-11-15</v>
      </c>
      <c r="J1201" t="s">
        <v>3374</v>
      </c>
      <c r="K1201" s="17" t="s">
        <v>370</v>
      </c>
      <c r="L1201">
        <v>4</v>
      </c>
    </row>
    <row r="1202" spans="1:12" x14ac:dyDescent="0.25">
      <c r="A1202" t="s">
        <v>3375</v>
      </c>
      <c r="B1202" t="s">
        <v>66</v>
      </c>
      <c r="C1202" t="s">
        <v>751</v>
      </c>
      <c r="D1202" t="s">
        <v>23</v>
      </c>
      <c r="E1202">
        <v>44</v>
      </c>
      <c r="F1202" t="s">
        <v>258</v>
      </c>
      <c r="G1202" t="s">
        <v>82</v>
      </c>
      <c r="H1202">
        <v>44203</v>
      </c>
      <c r="I1202" s="1" t="d">
        <v>2017-04-01</v>
      </c>
      <c r="J1202" t="s">
        <v>3376</v>
      </c>
      <c r="K1202" s="17" t="s">
        <v>42</v>
      </c>
      <c r="L1202">
        <v>3</v>
      </c>
    </row>
    <row r="1203" spans="1:12" x14ac:dyDescent="0.25">
      <c r="A1203" t="s">
        <v>3377</v>
      </c>
      <c r="B1203" t="s">
        <v>281</v>
      </c>
      <c r="C1203" t="s">
        <v>1055</v>
      </c>
      <c r="D1203" t="s">
        <v>46</v>
      </c>
      <c r="E1203">
        <v>37</v>
      </c>
      <c r="F1203" t="s">
        <v>108</v>
      </c>
      <c r="G1203" t="s">
        <v>82</v>
      </c>
      <c r="H1203" t="s">
        <v>3378</v>
      </c>
      <c r="I1203" s="1" t="d">
        <v>2012-08-26</v>
      </c>
      <c r="J1203" t="s">
        <v>3379</v>
      </c>
      <c r="K1203" s="17" t="s">
        <v>27</v>
      </c>
      <c r="L1203">
        <v>3</v>
      </c>
    </row>
    <row r="1204" spans="1:12" x14ac:dyDescent="0.25">
      <c r="A1204" t="s">
        <v>3380</v>
      </c>
      <c r="B1204" t="s">
        <v>571</v>
      </c>
      <c r="C1204" t="s">
        <v>696</v>
      </c>
      <c r="D1204" t="s">
        <v>23</v>
      </c>
      <c r="E1204">
        <v>56</v>
      </c>
      <c r="F1204" t="s">
        <v>104</v>
      </c>
      <c r="G1204" t="s">
        <v>337</v>
      </c>
      <c r="H1204" t="s">
        <v>3381</v>
      </c>
      <c r="I1204" s="1" t="d">
        <v>2008-05-26</v>
      </c>
      <c r="J1204" t="s">
        <v>3382</v>
      </c>
      <c r="K1204" s="17" t="s">
        <v>207</v>
      </c>
      <c r="L1204">
        <v>3</v>
      </c>
    </row>
    <row r="1205" spans="1:12" x14ac:dyDescent="0.25">
      <c r="A1205" t="s">
        <v>3383</v>
      </c>
      <c r="B1205" t="s">
        <v>199</v>
      </c>
      <c r="C1205" t="s">
        <v>3384</v>
      </c>
      <c r="D1205" t="s">
        <v>9527</v>
      </c>
      <c r="E1205">
        <v>55</v>
      </c>
      <c r="F1205" t="s">
        <v>264</v>
      </c>
      <c r="G1205" t="s">
        <v>82</v>
      </c>
      <c r="H1205" s="2">
        <v>86889</v>
      </c>
      <c r="I1205" s="1" t="d">
        <v>2010-06-12</v>
      </c>
      <c r="J1205" t="s">
        <v>1728</v>
      </c>
      <c r="K1205" s="17" t="s">
        <v>118</v>
      </c>
      <c r="L1205">
        <v>4</v>
      </c>
    </row>
    <row r="1206" spans="1:12" x14ac:dyDescent="0.25">
      <c r="A1206" t="s">
        <v>3385</v>
      </c>
      <c r="B1206" t="s">
        <v>1877</v>
      </c>
      <c r="C1206" t="s">
        <v>2231</v>
      </c>
      <c r="D1206" t="s">
        <v>9527</v>
      </c>
      <c r="E1206">
        <v>49</v>
      </c>
      <c r="F1206" t="s">
        <v>350</v>
      </c>
      <c r="G1206" t="s">
        <v>16</v>
      </c>
      <c r="H1206" t="s">
        <v>3386</v>
      </c>
      <c r="I1206" s="1" t="d">
        <v>2015-07-04</v>
      </c>
      <c r="J1206" t="s">
        <v>3369</v>
      </c>
      <c r="K1206" s="17" t="s">
        <v>207</v>
      </c>
      <c r="L1206">
        <v>4</v>
      </c>
    </row>
    <row r="1207" spans="1:12" x14ac:dyDescent="0.25">
      <c r="A1207" t="s">
        <v>2736</v>
      </c>
      <c r="B1207" t="s">
        <v>773</v>
      </c>
      <c r="C1207" t="s">
        <v>2737</v>
      </c>
      <c r="D1207" t="s">
        <v>9527</v>
      </c>
      <c r="E1207">
        <v>25</v>
      </c>
      <c r="F1207" t="s">
        <v>153</v>
      </c>
      <c r="G1207" t="s">
        <v>337</v>
      </c>
      <c r="H1207">
        <v>65005</v>
      </c>
      <c r="I1207" s="1" t="d">
        <v>2010-11-08</v>
      </c>
      <c r="J1207" t="s">
        <v>1755</v>
      </c>
      <c r="K1207" s="17" t="s">
        <v>184</v>
      </c>
      <c r="L1207">
        <v>2</v>
      </c>
    </row>
    <row r="1208" spans="1:12" x14ac:dyDescent="0.25">
      <c r="A1208" t="s">
        <v>3387</v>
      </c>
      <c r="B1208" t="s">
        <v>44</v>
      </c>
      <c r="C1208" t="s">
        <v>1030</v>
      </c>
      <c r="D1208" t="s">
        <v>23</v>
      </c>
      <c r="E1208">
        <v>52</v>
      </c>
      <c r="F1208" t="s">
        <v>495</v>
      </c>
      <c r="G1208" t="s">
        <v>63</v>
      </c>
      <c r="H1208" t="s">
        <v>3388</v>
      </c>
      <c r="I1208" s="1" t="d">
        <v>2006-11-24</v>
      </c>
      <c r="J1208" t="s">
        <v>1118</v>
      </c>
      <c r="K1208" s="17" t="s">
        <v>27</v>
      </c>
      <c r="L1208">
        <v>3</v>
      </c>
    </row>
    <row r="1209" spans="1:12" x14ac:dyDescent="0.25">
      <c r="A1209" t="s">
        <v>3389</v>
      </c>
      <c r="B1209" t="s">
        <v>630</v>
      </c>
      <c r="C1209" t="s">
        <v>584</v>
      </c>
      <c r="D1209" t="s">
        <v>23</v>
      </c>
      <c r="E1209">
        <v>41</v>
      </c>
      <c r="F1209" t="s">
        <v>75</v>
      </c>
      <c r="G1209" t="s">
        <v>16</v>
      </c>
      <c r="H1209" s="2">
        <v>96980</v>
      </c>
      <c r="I1209" s="1" t="d">
        <v>2012-12-24</v>
      </c>
      <c r="J1209" t="s">
        <v>2392</v>
      </c>
      <c r="K1209" s="17" t="s">
        <v>184</v>
      </c>
      <c r="L1209">
        <v>5</v>
      </c>
    </row>
    <row r="1210" spans="1:12" x14ac:dyDescent="0.25">
      <c r="A1210" t="s">
        <v>3390</v>
      </c>
      <c r="B1210" t="s">
        <v>1325</v>
      </c>
      <c r="C1210" t="s">
        <v>195</v>
      </c>
      <c r="D1210" t="s">
        <v>9527</v>
      </c>
      <c r="E1210">
        <v>44</v>
      </c>
      <c r="F1210" t="s">
        <v>365</v>
      </c>
      <c r="G1210" t="s">
        <v>1121</v>
      </c>
      <c r="H1210">
        <v>143936</v>
      </c>
      <c r="I1210" s="1" t="d">
        <v>2011-04-24</v>
      </c>
      <c r="J1210" t="s">
        <v>316</v>
      </c>
      <c r="K1210" s="17" t="s">
        <v>58</v>
      </c>
      <c r="L1210">
        <v>3</v>
      </c>
    </row>
    <row r="1211" spans="1:12" x14ac:dyDescent="0.25">
      <c r="A1211" t="s">
        <v>3391</v>
      </c>
      <c r="B1211" t="s">
        <v>311</v>
      </c>
      <c r="C1211" t="s">
        <v>3392</v>
      </c>
      <c r="D1211" t="s">
        <v>23</v>
      </c>
      <c r="E1211">
        <v>30</v>
      </c>
      <c r="F1211" t="s">
        <v>978</v>
      </c>
      <c r="G1211" t="s">
        <v>170</v>
      </c>
      <c r="H1211" t="s">
        <v>3393</v>
      </c>
      <c r="I1211" s="1" t="d">
        <v>2022-12-21</v>
      </c>
      <c r="J1211" t="s">
        <v>2373</v>
      </c>
      <c r="K1211" s="17" t="s">
        <v>370</v>
      </c>
      <c r="L1211">
        <v>4</v>
      </c>
    </row>
    <row r="1212" spans="1:12" x14ac:dyDescent="0.25">
      <c r="A1212" t="s">
        <v>3394</v>
      </c>
      <c r="B1212" t="s">
        <v>936</v>
      </c>
      <c r="C1212" t="s">
        <v>1266</v>
      </c>
      <c r="D1212" t="s">
        <v>23</v>
      </c>
      <c r="E1212">
        <v>35</v>
      </c>
      <c r="F1212" t="s">
        <v>411</v>
      </c>
      <c r="G1212" t="s">
        <v>1130</v>
      </c>
      <c r="H1212" t="s">
        <v>3395</v>
      </c>
      <c r="I1212" s="1" t="d">
        <v>2013-01-07</v>
      </c>
      <c r="J1212" t="s">
        <v>3013</v>
      </c>
      <c r="K1212" s="17" t="s">
        <v>19</v>
      </c>
      <c r="L1212">
        <v>2</v>
      </c>
    </row>
    <row r="1213" spans="1:12" x14ac:dyDescent="0.25">
      <c r="A1213" t="s">
        <v>3396</v>
      </c>
      <c r="B1213" t="s">
        <v>1096</v>
      </c>
      <c r="C1213" t="s">
        <v>1881</v>
      </c>
      <c r="D1213" t="s">
        <v>23</v>
      </c>
      <c r="E1213">
        <v>31</v>
      </c>
      <c r="F1213" t="s">
        <v>24</v>
      </c>
      <c r="G1213" t="s">
        <v>191</v>
      </c>
      <c r="H1213" t="s">
        <v>3397</v>
      </c>
      <c r="I1213" s="1" t="d">
        <v>2010-07-01</v>
      </c>
      <c r="J1213" t="s">
        <v>2506</v>
      </c>
      <c r="K1213" s="17" t="s">
        <v>19</v>
      </c>
      <c r="L1213">
        <v>1</v>
      </c>
    </row>
    <row r="1214" spans="1:12" x14ac:dyDescent="0.25">
      <c r="A1214" t="s">
        <v>3398</v>
      </c>
      <c r="B1214" t="s">
        <v>228</v>
      </c>
      <c r="C1214" t="s">
        <v>2860</v>
      </c>
      <c r="D1214" t="s">
        <v>46</v>
      </c>
      <c r="E1214">
        <v>52</v>
      </c>
      <c r="F1214" t="s">
        <v>350</v>
      </c>
      <c r="G1214" t="s">
        <v>32</v>
      </c>
      <c r="H1214">
        <v>53374</v>
      </c>
      <c r="I1214" s="1" t="d">
        <v>2009-01-08</v>
      </c>
      <c r="J1214" t="s">
        <v>3376</v>
      </c>
      <c r="K1214" s="17" t="s">
        <v>27</v>
      </c>
      <c r="L1214">
        <v>4</v>
      </c>
    </row>
    <row r="1215" spans="1:12" x14ac:dyDescent="0.25">
      <c r="A1215" t="s">
        <v>3399</v>
      </c>
      <c r="B1215" t="s">
        <v>841</v>
      </c>
      <c r="C1215" t="s">
        <v>67</v>
      </c>
      <c r="D1215" t="s">
        <v>9527</v>
      </c>
      <c r="E1215">
        <v>26</v>
      </c>
      <c r="F1215" t="s">
        <v>153</v>
      </c>
      <c r="G1215" t="s">
        <v>55</v>
      </c>
      <c r="H1215" s="2">
        <v>70119</v>
      </c>
      <c r="I1215" s="1" t="d">
        <v>2013-01-26</v>
      </c>
      <c r="J1215" t="s">
        <v>1327</v>
      </c>
      <c r="K1215" s="17" t="s">
        <v>71</v>
      </c>
      <c r="L1215">
        <v>3</v>
      </c>
    </row>
    <row r="1216" spans="1:12" x14ac:dyDescent="0.25">
      <c r="A1216" t="s">
        <v>3400</v>
      </c>
      <c r="B1216" t="s">
        <v>340</v>
      </c>
      <c r="C1216" t="s">
        <v>295</v>
      </c>
      <c r="D1216" t="s">
        <v>9527</v>
      </c>
      <c r="E1216">
        <v>41</v>
      </c>
      <c r="F1216" t="s">
        <v>264</v>
      </c>
      <c r="G1216" t="s">
        <v>217</v>
      </c>
      <c r="I1216" s="1" t="d">
        <v>2014-04-14</v>
      </c>
      <c r="J1216" t="s">
        <v>1358</v>
      </c>
      <c r="K1216" s="17" t="s">
        <v>100</v>
      </c>
      <c r="L1216">
        <v>4</v>
      </c>
    </row>
    <row r="1217" spans="1:12" x14ac:dyDescent="0.25">
      <c r="A1217" t="s">
        <v>3401</v>
      </c>
      <c r="B1217" t="s">
        <v>44</v>
      </c>
      <c r="C1217" t="s">
        <v>961</v>
      </c>
      <c r="D1217" t="s">
        <v>9527</v>
      </c>
      <c r="E1217">
        <v>45</v>
      </c>
      <c r="F1217" t="s">
        <v>24</v>
      </c>
      <c r="G1217" t="s">
        <v>177</v>
      </c>
      <c r="H1217">
        <v>75498</v>
      </c>
      <c r="I1217" s="1" t="d">
        <v>2011-08-27</v>
      </c>
      <c r="J1217" t="s">
        <v>49</v>
      </c>
      <c r="K1217" s="17" t="s">
        <v>370</v>
      </c>
      <c r="L1217">
        <v>4</v>
      </c>
    </row>
    <row r="1218" spans="1:12" x14ac:dyDescent="0.25">
      <c r="A1218" t="s">
        <v>3402</v>
      </c>
      <c r="B1218" t="s">
        <v>1706</v>
      </c>
      <c r="C1218" t="s">
        <v>181</v>
      </c>
      <c r="D1218" t="s">
        <v>46</v>
      </c>
      <c r="E1218">
        <v>50</v>
      </c>
      <c r="G1218" t="s">
        <v>182</v>
      </c>
      <c r="I1218" s="1" t="d">
        <v>2020-08-17</v>
      </c>
      <c r="J1218" t="s">
        <v>1999</v>
      </c>
      <c r="K1218" s="17" t="s">
        <v>58</v>
      </c>
      <c r="L1218">
        <v>4</v>
      </c>
    </row>
    <row r="1219" spans="1:12" x14ac:dyDescent="0.25">
      <c r="A1219" t="s">
        <v>3403</v>
      </c>
      <c r="B1219" t="s">
        <v>1336</v>
      </c>
      <c r="C1219" t="s">
        <v>483</v>
      </c>
      <c r="D1219" t="s">
        <v>9527</v>
      </c>
      <c r="E1219">
        <v>29</v>
      </c>
      <c r="F1219" t="s">
        <v>94</v>
      </c>
      <c r="G1219" t="s">
        <v>337</v>
      </c>
      <c r="H1219" s="2">
        <v>70794</v>
      </c>
      <c r="I1219" s="1" t="d">
        <v>2011-02-07</v>
      </c>
      <c r="J1219" t="s">
        <v>3404</v>
      </c>
      <c r="K1219" s="17" t="s">
        <v>149</v>
      </c>
      <c r="L1219">
        <v>5</v>
      </c>
    </row>
    <row r="1220" spans="1:12" x14ac:dyDescent="0.25">
      <c r="A1220" t="s">
        <v>3405</v>
      </c>
      <c r="B1220" t="s">
        <v>936</v>
      </c>
      <c r="C1220" t="s">
        <v>898</v>
      </c>
      <c r="D1220" t="s">
        <v>23</v>
      </c>
      <c r="E1220">
        <v>39</v>
      </c>
      <c r="F1220" t="s">
        <v>1116</v>
      </c>
      <c r="G1220" t="s">
        <v>63</v>
      </c>
      <c r="H1220" t="s">
        <v>3406</v>
      </c>
      <c r="I1220" s="1" t="d">
        <v>2021-08-19</v>
      </c>
      <c r="J1220" t="s">
        <v>1272</v>
      </c>
      <c r="K1220" s="17" t="s">
        <v>19</v>
      </c>
      <c r="L1220">
        <v>4</v>
      </c>
    </row>
    <row r="1221" spans="1:12" x14ac:dyDescent="0.25">
      <c r="A1221" t="s">
        <v>3407</v>
      </c>
      <c r="B1221" t="s">
        <v>294</v>
      </c>
      <c r="C1221" t="s">
        <v>3408</v>
      </c>
      <c r="D1221" t="s">
        <v>9527</v>
      </c>
      <c r="E1221">
        <v>46</v>
      </c>
      <c r="F1221" t="s">
        <v>31</v>
      </c>
      <c r="G1221" t="s">
        <v>3409</v>
      </c>
      <c r="H1221">
        <v>119247</v>
      </c>
      <c r="I1221" s="1" t="d">
        <v>2010-06-02</v>
      </c>
      <c r="J1221" t="s">
        <v>2108</v>
      </c>
      <c r="K1221" s="17" t="s">
        <v>71</v>
      </c>
      <c r="L1221">
        <v>4</v>
      </c>
    </row>
    <row r="1222" spans="1:12" x14ac:dyDescent="0.25">
      <c r="A1222" t="s">
        <v>3410</v>
      </c>
      <c r="B1222" t="s">
        <v>1784</v>
      </c>
      <c r="C1222" t="s">
        <v>381</v>
      </c>
      <c r="D1222" t="s">
        <v>9527</v>
      </c>
      <c r="E1222">
        <v>31</v>
      </c>
      <c r="G1222" t="s">
        <v>351</v>
      </c>
      <c r="H1222">
        <v>36395</v>
      </c>
      <c r="I1222" s="1" t="d">
        <v>2007-09-30</v>
      </c>
      <c r="J1222" t="s">
        <v>3411</v>
      </c>
      <c r="K1222" s="17" t="s">
        <v>370</v>
      </c>
      <c r="L1222">
        <v>4</v>
      </c>
    </row>
    <row r="1223" spans="1:12" x14ac:dyDescent="0.25">
      <c r="A1223" t="s">
        <v>3412</v>
      </c>
      <c r="B1223" t="s">
        <v>355</v>
      </c>
      <c r="C1223" t="s">
        <v>2837</v>
      </c>
      <c r="D1223" t="s">
        <v>23</v>
      </c>
      <c r="E1223">
        <v>35</v>
      </c>
      <c r="G1223" t="s">
        <v>48</v>
      </c>
      <c r="H1223" t="s">
        <v>3413</v>
      </c>
      <c r="I1223" s="1" t="d">
        <v>2012-06-03</v>
      </c>
      <c r="J1223" t="s">
        <v>3414</v>
      </c>
      <c r="K1223" s="17" t="s">
        <v>370</v>
      </c>
      <c r="L1223">
        <v>2</v>
      </c>
    </row>
    <row r="1224" spans="1:12" x14ac:dyDescent="0.25">
      <c r="A1224" t="s">
        <v>3415</v>
      </c>
      <c r="B1224" t="s">
        <v>945</v>
      </c>
      <c r="C1224" t="s">
        <v>336</v>
      </c>
      <c r="D1224" t="s">
        <v>46</v>
      </c>
      <c r="E1224">
        <v>41</v>
      </c>
      <c r="F1224" t="s">
        <v>238</v>
      </c>
      <c r="G1224" t="s">
        <v>131</v>
      </c>
      <c r="I1224" s="1" t="d">
        <v>2006-06-29</v>
      </c>
      <c r="J1224" t="s">
        <v>26</v>
      </c>
      <c r="K1224" s="17" t="s">
        <v>207</v>
      </c>
      <c r="L1224">
        <v>3</v>
      </c>
    </row>
    <row r="1225" spans="1:12" x14ac:dyDescent="0.25">
      <c r="A1225" t="s">
        <v>3416</v>
      </c>
      <c r="B1225" t="s">
        <v>786</v>
      </c>
      <c r="C1225" t="s">
        <v>1657</v>
      </c>
      <c r="D1225" t="s">
        <v>46</v>
      </c>
      <c r="E1225">
        <v>38</v>
      </c>
      <c r="F1225" t="s">
        <v>186</v>
      </c>
      <c r="G1225" t="s">
        <v>357</v>
      </c>
      <c r="I1225" s="1" t="d">
        <v>2021-08-22</v>
      </c>
      <c r="J1225" t="s">
        <v>3417</v>
      </c>
      <c r="K1225" s="17" t="s">
        <v>184</v>
      </c>
      <c r="L1225">
        <v>3</v>
      </c>
    </row>
    <row r="1226" spans="1:12" x14ac:dyDescent="0.25">
      <c r="A1226" t="s">
        <v>3418</v>
      </c>
      <c r="B1226" t="s">
        <v>44</v>
      </c>
      <c r="C1226" t="s">
        <v>1326</v>
      </c>
      <c r="D1226" t="s">
        <v>46</v>
      </c>
      <c r="E1226">
        <v>46</v>
      </c>
      <c r="F1226" t="s">
        <v>153</v>
      </c>
      <c r="G1226" t="s">
        <v>1215</v>
      </c>
      <c r="H1226">
        <v>64443</v>
      </c>
      <c r="I1226" s="1" t="d">
        <v>2013-05-09</v>
      </c>
      <c r="J1226" t="s">
        <v>260</v>
      </c>
      <c r="K1226" s="17" t="s">
        <v>27</v>
      </c>
      <c r="L1226">
        <v>4</v>
      </c>
    </row>
    <row r="1227" spans="1:12" x14ac:dyDescent="0.25">
      <c r="A1227" t="s">
        <v>3419</v>
      </c>
      <c r="B1227" t="s">
        <v>340</v>
      </c>
      <c r="C1227" t="s">
        <v>215</v>
      </c>
      <c r="D1227" t="s">
        <v>9527</v>
      </c>
      <c r="E1227">
        <v>35</v>
      </c>
      <c r="F1227" t="s">
        <v>108</v>
      </c>
      <c r="G1227" t="s">
        <v>191</v>
      </c>
      <c r="H1227" t="s">
        <v>3420</v>
      </c>
      <c r="J1227" t="s">
        <v>730</v>
      </c>
      <c r="K1227" s="17" t="s">
        <v>90</v>
      </c>
      <c r="L1227">
        <v>3</v>
      </c>
    </row>
    <row r="1228" spans="1:12" x14ac:dyDescent="0.25">
      <c r="A1228" t="s">
        <v>3421</v>
      </c>
      <c r="B1228" t="s">
        <v>3422</v>
      </c>
      <c r="C1228" t="s">
        <v>215</v>
      </c>
      <c r="D1228" t="s">
        <v>23</v>
      </c>
      <c r="E1228">
        <v>41</v>
      </c>
      <c r="F1228" t="s">
        <v>356</v>
      </c>
      <c r="G1228" t="s">
        <v>191</v>
      </c>
      <c r="H1228" t="s">
        <v>3423</v>
      </c>
      <c r="I1228" s="1" t="d">
        <v>2011-03-12</v>
      </c>
      <c r="J1228" t="s">
        <v>1225</v>
      </c>
      <c r="K1228" s="17" t="s">
        <v>71</v>
      </c>
      <c r="L1228">
        <v>5</v>
      </c>
    </row>
    <row r="1229" spans="1:12" x14ac:dyDescent="0.25">
      <c r="A1229" t="s">
        <v>3424</v>
      </c>
      <c r="B1229" t="s">
        <v>1837</v>
      </c>
      <c r="C1229" t="s">
        <v>3425</v>
      </c>
      <c r="D1229" t="s">
        <v>9527</v>
      </c>
      <c r="E1229">
        <v>46</v>
      </c>
      <c r="F1229" t="s">
        <v>258</v>
      </c>
      <c r="G1229" t="s">
        <v>82</v>
      </c>
      <c r="H1229">
        <v>46103</v>
      </c>
      <c r="I1229" s="1" t="d">
        <v>2011-12-08</v>
      </c>
      <c r="J1229" t="s">
        <v>3426</v>
      </c>
      <c r="K1229" s="17" t="s">
        <v>71</v>
      </c>
      <c r="L1229">
        <v>4</v>
      </c>
    </row>
    <row r="1230" spans="1:12" x14ac:dyDescent="0.25">
      <c r="A1230" t="s">
        <v>3427</v>
      </c>
      <c r="B1230" t="s">
        <v>3127</v>
      </c>
      <c r="C1230" t="s">
        <v>225</v>
      </c>
      <c r="D1230" t="s">
        <v>46</v>
      </c>
      <c r="E1230">
        <v>42</v>
      </c>
      <c r="F1230" t="s">
        <v>196</v>
      </c>
      <c r="G1230" t="s">
        <v>39</v>
      </c>
      <c r="H1230" s="2">
        <v>45201</v>
      </c>
      <c r="I1230" s="1" t="d">
        <v>2024-03-05</v>
      </c>
      <c r="J1230" t="s">
        <v>863</v>
      </c>
      <c r="K1230" s="17" t="s">
        <v>50</v>
      </c>
      <c r="L1230">
        <v>3</v>
      </c>
    </row>
    <row r="1231" spans="1:12" x14ac:dyDescent="0.25">
      <c r="A1231" t="s">
        <v>3428</v>
      </c>
      <c r="B1231" t="s">
        <v>139</v>
      </c>
      <c r="C1231" t="s">
        <v>512</v>
      </c>
      <c r="D1231" t="s">
        <v>23</v>
      </c>
      <c r="E1231">
        <v>22</v>
      </c>
      <c r="F1231" t="s">
        <v>532</v>
      </c>
      <c r="G1231" t="s">
        <v>1199</v>
      </c>
      <c r="H1231" t="s">
        <v>3429</v>
      </c>
      <c r="I1231" s="1" t="d">
        <v>2024-07-02</v>
      </c>
      <c r="J1231" t="s">
        <v>142</v>
      </c>
      <c r="K1231" s="17" t="s">
        <v>58</v>
      </c>
      <c r="L1231">
        <v>4</v>
      </c>
    </row>
    <row r="1232" spans="1:12" x14ac:dyDescent="0.25">
      <c r="A1232" t="s">
        <v>3430</v>
      </c>
      <c r="B1232" t="s">
        <v>1689</v>
      </c>
      <c r="C1232" t="s">
        <v>291</v>
      </c>
      <c r="D1232" t="s">
        <v>23</v>
      </c>
      <c r="E1232">
        <v>43</v>
      </c>
      <c r="F1232" t="s">
        <v>463</v>
      </c>
      <c r="G1232" t="s">
        <v>39</v>
      </c>
      <c r="H1232">
        <v>100703</v>
      </c>
      <c r="I1232" s="1" t="d">
        <v>2022-01-09</v>
      </c>
      <c r="J1232" t="s">
        <v>3431</v>
      </c>
      <c r="K1232" s="17" t="s">
        <v>100</v>
      </c>
      <c r="L1232">
        <v>3</v>
      </c>
    </row>
    <row r="1233" spans="1:12" x14ac:dyDescent="0.25">
      <c r="A1233" t="s">
        <v>3432</v>
      </c>
      <c r="B1233" t="s">
        <v>1096</v>
      </c>
      <c r="C1233" t="s">
        <v>1564</v>
      </c>
      <c r="D1233" t="s">
        <v>9527</v>
      </c>
      <c r="E1233">
        <v>28</v>
      </c>
      <c r="F1233" t="s">
        <v>532</v>
      </c>
      <c r="G1233" t="s">
        <v>387</v>
      </c>
      <c r="H1233" t="s">
        <v>3433</v>
      </c>
      <c r="I1233" s="1" t="d">
        <v>2017-10-30</v>
      </c>
      <c r="J1233" t="s">
        <v>1348</v>
      </c>
      <c r="K1233" s="17" t="s">
        <v>19</v>
      </c>
      <c r="L1233">
        <v>2</v>
      </c>
    </row>
    <row r="1234" spans="1:12" x14ac:dyDescent="0.25">
      <c r="A1234" t="s">
        <v>3434</v>
      </c>
      <c r="B1234" t="s">
        <v>571</v>
      </c>
      <c r="C1234" t="s">
        <v>268</v>
      </c>
      <c r="D1234" t="s">
        <v>23</v>
      </c>
      <c r="E1234">
        <v>38</v>
      </c>
      <c r="F1234" t="s">
        <v>918</v>
      </c>
      <c r="G1234" t="s">
        <v>55</v>
      </c>
      <c r="H1234" s="2">
        <v>77670</v>
      </c>
      <c r="I1234" s="1" t="d">
        <v>2015-02-20</v>
      </c>
      <c r="J1234" t="s">
        <v>3435</v>
      </c>
      <c r="K1234" s="17" t="s">
        <v>50</v>
      </c>
      <c r="L1234">
        <v>3</v>
      </c>
    </row>
    <row r="1235" spans="1:12" x14ac:dyDescent="0.25">
      <c r="A1235" t="s">
        <v>3436</v>
      </c>
      <c r="B1235" t="s">
        <v>709</v>
      </c>
      <c r="C1235" t="s">
        <v>37</v>
      </c>
      <c r="D1235" t="s">
        <v>23</v>
      </c>
      <c r="E1235">
        <v>48</v>
      </c>
      <c r="F1235" t="s">
        <v>108</v>
      </c>
      <c r="G1235" t="s">
        <v>69</v>
      </c>
      <c r="H1235" t="s">
        <v>3437</v>
      </c>
      <c r="I1235" s="1" t="d">
        <v>2012-01-26</v>
      </c>
      <c r="J1235" t="s">
        <v>1968</v>
      </c>
      <c r="K1235" s="17" t="s">
        <v>100</v>
      </c>
      <c r="L1235">
        <v>2</v>
      </c>
    </row>
    <row r="1236" spans="1:12" x14ac:dyDescent="0.25">
      <c r="A1236" t="s">
        <v>3438</v>
      </c>
      <c r="B1236" t="s">
        <v>262</v>
      </c>
      <c r="C1236" t="s">
        <v>552</v>
      </c>
      <c r="D1236" t="s">
        <v>9527</v>
      </c>
      <c r="E1236">
        <v>24</v>
      </c>
      <c r="F1236" t="s">
        <v>15</v>
      </c>
      <c r="G1236" t="s">
        <v>82</v>
      </c>
      <c r="H1236" t="s">
        <v>3439</v>
      </c>
      <c r="I1236" s="1" t="d">
        <v>2012-01-02</v>
      </c>
      <c r="J1236" t="s">
        <v>1019</v>
      </c>
      <c r="K1236" s="17" t="s">
        <v>118</v>
      </c>
      <c r="L1236">
        <v>3</v>
      </c>
    </row>
    <row r="1237" spans="1:12" x14ac:dyDescent="0.25">
      <c r="A1237" t="s">
        <v>3440</v>
      </c>
      <c r="B1237" t="s">
        <v>144</v>
      </c>
      <c r="C1237" t="s">
        <v>763</v>
      </c>
      <c r="D1237" t="s">
        <v>23</v>
      </c>
      <c r="E1237">
        <v>28</v>
      </c>
      <c r="F1237" t="s">
        <v>978</v>
      </c>
      <c r="G1237" t="s">
        <v>337</v>
      </c>
      <c r="H1237">
        <v>86162</v>
      </c>
      <c r="I1237" s="1" t="d">
        <v>2006-08-09</v>
      </c>
      <c r="J1237" t="s">
        <v>764</v>
      </c>
      <c r="K1237" s="17" t="s">
        <v>42</v>
      </c>
      <c r="L1237">
        <v>3</v>
      </c>
    </row>
    <row r="1238" spans="1:12" x14ac:dyDescent="0.25">
      <c r="A1238" t="s">
        <v>3441</v>
      </c>
      <c r="B1238" t="s">
        <v>670</v>
      </c>
      <c r="C1238" t="s">
        <v>483</v>
      </c>
      <c r="D1238" t="s">
        <v>46</v>
      </c>
      <c r="E1238">
        <v>35</v>
      </c>
      <c r="F1238" t="s">
        <v>108</v>
      </c>
      <c r="G1238" t="s">
        <v>212</v>
      </c>
      <c r="H1238">
        <v>97956</v>
      </c>
      <c r="I1238" s="1" t="d">
        <v>2009-12-02</v>
      </c>
      <c r="J1238" t="s">
        <v>569</v>
      </c>
      <c r="K1238" s="17" t="s">
        <v>34</v>
      </c>
      <c r="L1238">
        <v>3</v>
      </c>
    </row>
    <row r="1239" spans="1:12" x14ac:dyDescent="0.25">
      <c r="A1239" t="s">
        <v>3442</v>
      </c>
      <c r="B1239" t="s">
        <v>3443</v>
      </c>
      <c r="C1239" t="s">
        <v>3444</v>
      </c>
      <c r="D1239" t="s">
        <v>9527</v>
      </c>
      <c r="E1239">
        <v>44</v>
      </c>
      <c r="F1239" t="s">
        <v>186</v>
      </c>
      <c r="G1239" t="s">
        <v>88</v>
      </c>
      <c r="H1239" s="2">
        <v>94369</v>
      </c>
      <c r="I1239" s="1" t="d">
        <v>2019-10-01</v>
      </c>
      <c r="J1239" t="s">
        <v>3445</v>
      </c>
      <c r="K1239" s="17" t="s">
        <v>184</v>
      </c>
      <c r="L1239">
        <v>5</v>
      </c>
    </row>
    <row r="1240" spans="1:12" x14ac:dyDescent="0.25">
      <c r="A1240" t="s">
        <v>3446</v>
      </c>
      <c r="B1240" t="s">
        <v>3447</v>
      </c>
      <c r="C1240" t="s">
        <v>3448</v>
      </c>
      <c r="D1240" t="s">
        <v>23</v>
      </c>
      <c r="E1240">
        <v>38</v>
      </c>
      <c r="F1240" t="s">
        <v>471</v>
      </c>
      <c r="G1240" t="s">
        <v>39</v>
      </c>
      <c r="H1240" t="s">
        <v>3449</v>
      </c>
      <c r="I1240" s="1" t="d">
        <v>2008-04-30</v>
      </c>
      <c r="J1240" t="s">
        <v>3450</v>
      </c>
      <c r="K1240" s="17" t="s">
        <v>370</v>
      </c>
      <c r="L1240">
        <v>3</v>
      </c>
    </row>
    <row r="1241" spans="1:12" x14ac:dyDescent="0.25">
      <c r="A1241" t="s">
        <v>3451</v>
      </c>
      <c r="B1241" t="s">
        <v>1096</v>
      </c>
      <c r="C1241" t="s">
        <v>1442</v>
      </c>
      <c r="D1241" t="s">
        <v>46</v>
      </c>
      <c r="E1241">
        <v>43</v>
      </c>
      <c r="F1241" t="s">
        <v>200</v>
      </c>
      <c r="G1241" t="s">
        <v>170</v>
      </c>
      <c r="I1241" s="1" t="d">
        <v>2019-07-28</v>
      </c>
      <c r="J1241" t="s">
        <v>3452</v>
      </c>
      <c r="K1241" s="17" t="s">
        <v>50</v>
      </c>
      <c r="L1241">
        <v>3</v>
      </c>
    </row>
    <row r="1242" spans="1:12" x14ac:dyDescent="0.25">
      <c r="A1242" t="s">
        <v>3453</v>
      </c>
      <c r="B1242" t="s">
        <v>563</v>
      </c>
      <c r="C1242" t="s">
        <v>416</v>
      </c>
      <c r="D1242" t="s">
        <v>23</v>
      </c>
      <c r="E1242">
        <v>45</v>
      </c>
      <c r="F1242" t="s">
        <v>417</v>
      </c>
      <c r="G1242" t="s">
        <v>870</v>
      </c>
      <c r="H1242" t="s">
        <v>3454</v>
      </c>
      <c r="I1242" s="1" t="d">
        <v>2022-09-20</v>
      </c>
      <c r="J1242" t="s">
        <v>3455</v>
      </c>
      <c r="K1242" s="17" t="s">
        <v>90</v>
      </c>
      <c r="L1242">
        <v>3</v>
      </c>
    </row>
    <row r="1243" spans="1:12" x14ac:dyDescent="0.25">
      <c r="A1243" t="s">
        <v>3456</v>
      </c>
      <c r="B1243" t="s">
        <v>86</v>
      </c>
      <c r="C1243" t="s">
        <v>140</v>
      </c>
      <c r="D1243" t="s">
        <v>23</v>
      </c>
      <c r="E1243">
        <v>21</v>
      </c>
      <c r="F1243" t="s">
        <v>1785</v>
      </c>
      <c r="G1243" t="s">
        <v>1791</v>
      </c>
      <c r="I1243" s="1" t="d">
        <v>2006-12-17</v>
      </c>
      <c r="J1243" t="s">
        <v>3031</v>
      </c>
      <c r="K1243" s="17" t="s">
        <v>34</v>
      </c>
      <c r="L1243">
        <v>3</v>
      </c>
    </row>
    <row r="1244" spans="1:12" x14ac:dyDescent="0.25">
      <c r="A1244" t="s">
        <v>3457</v>
      </c>
      <c r="B1244" t="s">
        <v>66</v>
      </c>
      <c r="C1244" t="s">
        <v>898</v>
      </c>
      <c r="D1244" t="s">
        <v>23</v>
      </c>
      <c r="E1244">
        <v>37</v>
      </c>
      <c r="G1244" t="s">
        <v>614</v>
      </c>
      <c r="H1244" s="2">
        <v>74137</v>
      </c>
      <c r="I1244" s="1" t="d">
        <v>2012-03-14</v>
      </c>
      <c r="J1244" t="s">
        <v>1108</v>
      </c>
      <c r="K1244" s="17" t="s">
        <v>207</v>
      </c>
      <c r="L1244">
        <v>5</v>
      </c>
    </row>
    <row r="1245" spans="1:12" x14ac:dyDescent="0.25">
      <c r="A1245" t="s">
        <v>3458</v>
      </c>
      <c r="B1245" t="s">
        <v>652</v>
      </c>
      <c r="C1245" t="s">
        <v>1520</v>
      </c>
      <c r="D1245" t="s">
        <v>23</v>
      </c>
      <c r="E1245">
        <v>37</v>
      </c>
      <c r="G1245" t="s">
        <v>278</v>
      </c>
      <c r="H1245" t="s">
        <v>3459</v>
      </c>
      <c r="I1245" s="1" t="d">
        <v>2017-09-04</v>
      </c>
      <c r="J1245" t="s">
        <v>1822</v>
      </c>
      <c r="K1245" s="17" t="s">
        <v>149</v>
      </c>
      <c r="L1245">
        <v>4</v>
      </c>
    </row>
    <row r="1246" spans="1:12" x14ac:dyDescent="0.25">
      <c r="A1246" t="s">
        <v>3460</v>
      </c>
      <c r="B1246" t="s">
        <v>151</v>
      </c>
      <c r="C1246" t="s">
        <v>1517</v>
      </c>
      <c r="D1246" t="s">
        <v>46</v>
      </c>
      <c r="E1246">
        <v>42</v>
      </c>
      <c r="F1246" t="s">
        <v>81</v>
      </c>
      <c r="G1246" t="s">
        <v>69</v>
      </c>
      <c r="H1246">
        <v>59218</v>
      </c>
      <c r="I1246" s="1" t="d">
        <v>2009-09-25</v>
      </c>
      <c r="J1246" t="s">
        <v>3117</v>
      </c>
      <c r="K1246" s="17" t="s">
        <v>90</v>
      </c>
      <c r="L1246">
        <v>4</v>
      </c>
    </row>
    <row r="1247" spans="1:12" x14ac:dyDescent="0.25">
      <c r="A1247" t="s">
        <v>3461</v>
      </c>
      <c r="B1247" t="s">
        <v>36</v>
      </c>
      <c r="C1247" t="s">
        <v>181</v>
      </c>
      <c r="D1247" t="s">
        <v>9527</v>
      </c>
      <c r="E1247">
        <v>21</v>
      </c>
      <c r="F1247" t="s">
        <v>649</v>
      </c>
      <c r="G1247" t="s">
        <v>337</v>
      </c>
      <c r="H1247" t="s">
        <v>3462</v>
      </c>
      <c r="I1247" s="1" t="d">
        <v>2023-09-27</v>
      </c>
      <c r="J1247" t="s">
        <v>2049</v>
      </c>
      <c r="K1247" s="17" t="s">
        <v>50</v>
      </c>
      <c r="L1247">
        <v>3</v>
      </c>
    </row>
    <row r="1248" spans="1:12" x14ac:dyDescent="0.25">
      <c r="A1248" t="s">
        <v>3463</v>
      </c>
      <c r="B1248" t="s">
        <v>52</v>
      </c>
      <c r="C1248" t="s">
        <v>427</v>
      </c>
      <c r="D1248" t="s">
        <v>9527</v>
      </c>
      <c r="E1248">
        <v>33</v>
      </c>
      <c r="G1248" t="s">
        <v>16</v>
      </c>
      <c r="H1248" t="s">
        <v>3464</v>
      </c>
      <c r="I1248" s="1" t="d">
        <v>2011-03-22</v>
      </c>
      <c r="J1248" t="s">
        <v>1625</v>
      </c>
      <c r="K1248" s="17" t="s">
        <v>90</v>
      </c>
      <c r="L1248">
        <v>4</v>
      </c>
    </row>
    <row r="1249" spans="1:12" x14ac:dyDescent="0.25">
      <c r="A1249" t="s">
        <v>3465</v>
      </c>
      <c r="B1249" t="s">
        <v>702</v>
      </c>
      <c r="C1249" t="s">
        <v>336</v>
      </c>
      <c r="D1249" t="s">
        <v>9527</v>
      </c>
      <c r="E1249">
        <v>48</v>
      </c>
      <c r="F1249" t="s">
        <v>216</v>
      </c>
      <c r="G1249" t="s">
        <v>1329</v>
      </c>
      <c r="H1249" s="2">
        <v>51875</v>
      </c>
      <c r="I1249" s="1" t="d">
        <v>2012-09-07</v>
      </c>
      <c r="J1249" t="s">
        <v>1070</v>
      </c>
      <c r="K1249" s="17" t="s">
        <v>149</v>
      </c>
      <c r="L1249">
        <v>3</v>
      </c>
    </row>
    <row r="1250" spans="1:12" x14ac:dyDescent="0.25">
      <c r="A1250" t="s">
        <v>3466</v>
      </c>
      <c r="B1250" t="s">
        <v>1124</v>
      </c>
      <c r="C1250" t="s">
        <v>80</v>
      </c>
      <c r="D1250" t="s">
        <v>46</v>
      </c>
      <c r="E1250">
        <v>32</v>
      </c>
      <c r="F1250" t="s">
        <v>365</v>
      </c>
      <c r="G1250" t="s">
        <v>16</v>
      </c>
      <c r="H1250" t="s">
        <v>3467</v>
      </c>
      <c r="I1250" s="1" t="d">
        <v>2010-01-13</v>
      </c>
      <c r="J1250" t="s">
        <v>1651</v>
      </c>
      <c r="K1250" s="17" t="s">
        <v>50</v>
      </c>
      <c r="L1250">
        <v>3</v>
      </c>
    </row>
    <row r="1251" spans="1:12" x14ac:dyDescent="0.25">
      <c r="A1251" t="s">
        <v>3468</v>
      </c>
      <c r="B1251" t="s">
        <v>112</v>
      </c>
      <c r="C1251" t="s">
        <v>395</v>
      </c>
      <c r="D1251" t="s">
        <v>9527</v>
      </c>
      <c r="E1251">
        <v>40</v>
      </c>
      <c r="F1251" t="s">
        <v>54</v>
      </c>
      <c r="G1251" t="s">
        <v>82</v>
      </c>
      <c r="H1251" s="2">
        <v>55462</v>
      </c>
      <c r="I1251" s="1" t="d">
        <v>2024-01-25</v>
      </c>
      <c r="J1251" t="s">
        <v>431</v>
      </c>
      <c r="K1251" s="17" t="s">
        <v>118</v>
      </c>
      <c r="L1251">
        <v>5</v>
      </c>
    </row>
    <row r="1252" spans="1:12" x14ac:dyDescent="0.25">
      <c r="A1252" t="s">
        <v>2757</v>
      </c>
      <c r="B1252" t="s">
        <v>410</v>
      </c>
      <c r="C1252" t="s">
        <v>215</v>
      </c>
      <c r="D1252" t="s">
        <v>23</v>
      </c>
      <c r="E1252">
        <v>39</v>
      </c>
      <c r="G1252" t="s">
        <v>297</v>
      </c>
      <c r="H1252" s="2">
        <v>113601</v>
      </c>
      <c r="I1252" s="1" t="d">
        <v>2019-08-20</v>
      </c>
      <c r="J1252" t="s">
        <v>1424</v>
      </c>
      <c r="K1252" s="17" t="s">
        <v>100</v>
      </c>
      <c r="L1252">
        <v>4</v>
      </c>
    </row>
    <row r="1253" spans="1:12" x14ac:dyDescent="0.25">
      <c r="A1253" t="s">
        <v>3469</v>
      </c>
      <c r="B1253" t="s">
        <v>3470</v>
      </c>
      <c r="C1253" t="s">
        <v>474</v>
      </c>
      <c r="D1253" t="s">
        <v>9527</v>
      </c>
      <c r="E1253">
        <v>44</v>
      </c>
      <c r="F1253" t="s">
        <v>296</v>
      </c>
      <c r="G1253" t="s">
        <v>217</v>
      </c>
      <c r="H1253" t="s">
        <v>3471</v>
      </c>
      <c r="J1253" t="s">
        <v>3472</v>
      </c>
      <c r="K1253" s="17" t="s">
        <v>118</v>
      </c>
      <c r="L1253">
        <v>3</v>
      </c>
    </row>
    <row r="1254" spans="1:12" x14ac:dyDescent="0.25">
      <c r="A1254" t="s">
        <v>3473</v>
      </c>
      <c r="B1254" t="s">
        <v>29</v>
      </c>
      <c r="C1254" t="s">
        <v>660</v>
      </c>
      <c r="D1254" t="s">
        <v>46</v>
      </c>
      <c r="E1254">
        <v>42</v>
      </c>
      <c r="F1254" t="s">
        <v>114</v>
      </c>
      <c r="G1254" t="s">
        <v>16</v>
      </c>
      <c r="H1254" t="s">
        <v>3474</v>
      </c>
      <c r="I1254" s="1" t="d">
        <v>2005-01-02</v>
      </c>
      <c r="J1254" t="s">
        <v>2968</v>
      </c>
      <c r="K1254" s="17" t="s">
        <v>207</v>
      </c>
      <c r="L1254">
        <v>2</v>
      </c>
    </row>
    <row r="1255" spans="1:12" x14ac:dyDescent="0.25">
      <c r="A1255" t="s">
        <v>3475</v>
      </c>
      <c r="B1255" t="s">
        <v>3476</v>
      </c>
      <c r="C1255" t="s">
        <v>215</v>
      </c>
      <c r="D1255" t="s">
        <v>9527</v>
      </c>
      <c r="E1255">
        <v>48</v>
      </c>
      <c r="F1255" t="s">
        <v>230</v>
      </c>
      <c r="G1255" t="s">
        <v>177</v>
      </c>
      <c r="H1255" s="2">
        <v>48109</v>
      </c>
      <c r="I1255" s="1" t="d">
        <v>2022-10-08</v>
      </c>
      <c r="J1255" t="s">
        <v>3477</v>
      </c>
      <c r="K1255" s="17" t="s">
        <v>90</v>
      </c>
      <c r="L1255">
        <v>3</v>
      </c>
    </row>
    <row r="1256" spans="1:12" x14ac:dyDescent="0.25">
      <c r="A1256" t="s">
        <v>3478</v>
      </c>
      <c r="B1256" t="s">
        <v>2222</v>
      </c>
      <c r="C1256" t="s">
        <v>135</v>
      </c>
      <c r="D1256" t="s">
        <v>23</v>
      </c>
      <c r="E1256">
        <v>21</v>
      </c>
      <c r="F1256" t="s">
        <v>196</v>
      </c>
      <c r="G1256" t="s">
        <v>357</v>
      </c>
      <c r="H1256" t="s">
        <v>3479</v>
      </c>
      <c r="I1256" s="1" t="d">
        <v>2018-03-11</v>
      </c>
      <c r="J1256" t="s">
        <v>1245</v>
      </c>
      <c r="K1256" s="17" t="s">
        <v>184</v>
      </c>
      <c r="L1256">
        <v>5</v>
      </c>
    </row>
    <row r="1257" spans="1:12" x14ac:dyDescent="0.25">
      <c r="A1257" t="s">
        <v>3480</v>
      </c>
      <c r="B1257" t="s">
        <v>1644</v>
      </c>
      <c r="C1257" t="s">
        <v>988</v>
      </c>
      <c r="D1257" t="s">
        <v>9527</v>
      </c>
      <c r="E1257">
        <v>38</v>
      </c>
      <c r="F1257" t="s">
        <v>411</v>
      </c>
      <c r="G1257" t="s">
        <v>39</v>
      </c>
      <c r="H1257" t="s">
        <v>3481</v>
      </c>
      <c r="I1257" s="1" t="d">
        <v>2022-11-22</v>
      </c>
      <c r="J1257" t="s">
        <v>3482</v>
      </c>
      <c r="K1257" s="17" t="s">
        <v>118</v>
      </c>
      <c r="L1257">
        <v>3</v>
      </c>
    </row>
    <row r="1258" spans="1:12" x14ac:dyDescent="0.25">
      <c r="A1258" t="s">
        <v>3483</v>
      </c>
      <c r="B1258" t="s">
        <v>563</v>
      </c>
      <c r="C1258" t="s">
        <v>3368</v>
      </c>
      <c r="D1258" t="s">
        <v>46</v>
      </c>
      <c r="E1258">
        <v>53</v>
      </c>
      <c r="F1258" t="s">
        <v>350</v>
      </c>
      <c r="G1258" t="s">
        <v>205</v>
      </c>
      <c r="H1258">
        <v>56259</v>
      </c>
      <c r="I1258" s="1" t="d">
        <v>2018-05-11</v>
      </c>
      <c r="J1258" t="s">
        <v>3484</v>
      </c>
      <c r="K1258" s="17" t="s">
        <v>42</v>
      </c>
      <c r="L1258">
        <v>4</v>
      </c>
    </row>
    <row r="1259" spans="1:12" x14ac:dyDescent="0.25">
      <c r="A1259" t="s">
        <v>3485</v>
      </c>
      <c r="B1259" t="s">
        <v>3486</v>
      </c>
      <c r="C1259" t="s">
        <v>3487</v>
      </c>
      <c r="D1259" t="s">
        <v>46</v>
      </c>
      <c r="E1259">
        <v>37</v>
      </c>
      <c r="F1259" t="s">
        <v>153</v>
      </c>
      <c r="G1259" t="s">
        <v>55</v>
      </c>
      <c r="H1259" t="s">
        <v>3488</v>
      </c>
      <c r="I1259" s="1" t="d">
        <v>2006-09-01</v>
      </c>
      <c r="J1259" t="s">
        <v>1003</v>
      </c>
      <c r="K1259" s="17" t="s">
        <v>100</v>
      </c>
      <c r="L1259">
        <v>3</v>
      </c>
    </row>
    <row r="1260" spans="1:12" x14ac:dyDescent="0.25">
      <c r="A1260" t="s">
        <v>3489</v>
      </c>
      <c r="B1260" t="s">
        <v>841</v>
      </c>
      <c r="C1260" t="s">
        <v>53</v>
      </c>
      <c r="D1260" t="s">
        <v>9527</v>
      </c>
      <c r="E1260">
        <v>21</v>
      </c>
      <c r="F1260" t="s">
        <v>122</v>
      </c>
      <c r="G1260" t="s">
        <v>177</v>
      </c>
      <c r="H1260" t="s">
        <v>3490</v>
      </c>
      <c r="I1260" s="1" t="d">
        <v>2023-07-07</v>
      </c>
      <c r="J1260" t="s">
        <v>3491</v>
      </c>
      <c r="K1260" s="17" t="s">
        <v>207</v>
      </c>
      <c r="L1260">
        <v>3</v>
      </c>
    </row>
    <row r="1261" spans="1:12" x14ac:dyDescent="0.25">
      <c r="A1261" t="s">
        <v>3492</v>
      </c>
      <c r="B1261" t="s">
        <v>3127</v>
      </c>
      <c r="C1261" t="s">
        <v>286</v>
      </c>
      <c r="D1261" t="s">
        <v>46</v>
      </c>
      <c r="E1261">
        <v>31</v>
      </c>
      <c r="F1261" t="s">
        <v>15</v>
      </c>
      <c r="G1261" t="s">
        <v>351</v>
      </c>
      <c r="H1261" t="s">
        <v>3493</v>
      </c>
      <c r="I1261" s="1" t="d">
        <v>2024-12-14</v>
      </c>
      <c r="J1261" t="s">
        <v>3494</v>
      </c>
      <c r="K1261" s="17" t="s">
        <v>370</v>
      </c>
      <c r="L1261">
        <v>4</v>
      </c>
    </row>
    <row r="1262" spans="1:12" x14ac:dyDescent="0.25">
      <c r="A1262" t="s">
        <v>3495</v>
      </c>
      <c r="B1262" t="s">
        <v>993</v>
      </c>
      <c r="C1262" t="s">
        <v>2371</v>
      </c>
      <c r="D1262" t="s">
        <v>23</v>
      </c>
      <c r="E1262">
        <v>46</v>
      </c>
      <c r="F1262" t="s">
        <v>47</v>
      </c>
      <c r="G1262" t="s">
        <v>212</v>
      </c>
      <c r="H1262" s="2">
        <v>60280</v>
      </c>
      <c r="I1262" s="1" t="d">
        <v>2005-02-09</v>
      </c>
      <c r="J1262" t="s">
        <v>3496</v>
      </c>
      <c r="K1262" s="17" t="s">
        <v>184</v>
      </c>
      <c r="L1262">
        <v>4</v>
      </c>
    </row>
    <row r="1263" spans="1:12" x14ac:dyDescent="0.25">
      <c r="A1263" t="s">
        <v>3497</v>
      </c>
      <c r="B1263" t="s">
        <v>773</v>
      </c>
      <c r="C1263" t="s">
        <v>739</v>
      </c>
      <c r="D1263" t="s">
        <v>46</v>
      </c>
      <c r="E1263">
        <v>41</v>
      </c>
      <c r="F1263" t="s">
        <v>645</v>
      </c>
      <c r="G1263" t="s">
        <v>55</v>
      </c>
      <c r="H1263" t="s">
        <v>3498</v>
      </c>
      <c r="I1263" s="1" t="d">
        <v>2014-01-05</v>
      </c>
      <c r="J1263" t="s">
        <v>741</v>
      </c>
      <c r="K1263" s="17" t="s">
        <v>149</v>
      </c>
      <c r="L1263">
        <v>3</v>
      </c>
    </row>
    <row r="1264" spans="1:12" x14ac:dyDescent="0.25">
      <c r="A1264" t="s">
        <v>3499</v>
      </c>
      <c r="B1264" t="s">
        <v>2252</v>
      </c>
      <c r="C1264" t="s">
        <v>858</v>
      </c>
      <c r="D1264" t="s">
        <v>9527</v>
      </c>
      <c r="E1264">
        <v>43</v>
      </c>
      <c r="F1264" t="s">
        <v>918</v>
      </c>
      <c r="G1264" t="s">
        <v>170</v>
      </c>
      <c r="H1264" t="s">
        <v>3500</v>
      </c>
      <c r="I1264" s="1" t="d">
        <v>2015-03-30</v>
      </c>
      <c r="J1264" t="s">
        <v>1122</v>
      </c>
      <c r="K1264" s="17" t="s">
        <v>149</v>
      </c>
      <c r="L1264">
        <v>5</v>
      </c>
    </row>
    <row r="1265" spans="1:12" x14ac:dyDescent="0.25">
      <c r="A1265" t="s">
        <v>591</v>
      </c>
      <c r="B1265" t="s">
        <v>499</v>
      </c>
      <c r="C1265" t="s">
        <v>237</v>
      </c>
      <c r="D1265" t="s">
        <v>9527</v>
      </c>
      <c r="E1265">
        <v>40</v>
      </c>
      <c r="F1265" t="s">
        <v>422</v>
      </c>
      <c r="G1265" t="s">
        <v>39</v>
      </c>
      <c r="H1265">
        <v>73422</v>
      </c>
      <c r="I1265" s="1" t="d">
        <v>2018-07-20</v>
      </c>
      <c r="J1265" t="s">
        <v>592</v>
      </c>
      <c r="K1265" s="17" t="s">
        <v>34</v>
      </c>
      <c r="L1265">
        <v>5</v>
      </c>
    </row>
    <row r="1266" spans="1:12" x14ac:dyDescent="0.25">
      <c r="A1266" t="s">
        <v>3501</v>
      </c>
      <c r="B1266" t="s">
        <v>846</v>
      </c>
      <c r="C1266" t="s">
        <v>377</v>
      </c>
      <c r="D1266" t="s">
        <v>9527</v>
      </c>
      <c r="E1266">
        <v>31</v>
      </c>
      <c r="F1266" t="s">
        <v>216</v>
      </c>
      <c r="G1266" t="s">
        <v>16</v>
      </c>
      <c r="H1266" s="2">
        <v>89754</v>
      </c>
      <c r="I1266" s="1" t="d">
        <v>2011-07-22</v>
      </c>
      <c r="J1266" t="s">
        <v>3502</v>
      </c>
      <c r="K1266" s="17" t="s">
        <v>27</v>
      </c>
      <c r="L1266">
        <v>3</v>
      </c>
    </row>
    <row r="1267" spans="1:12" x14ac:dyDescent="0.25">
      <c r="A1267" t="s">
        <v>3503</v>
      </c>
      <c r="B1267" t="s">
        <v>3504</v>
      </c>
      <c r="C1267" t="s">
        <v>237</v>
      </c>
      <c r="D1267" t="s">
        <v>23</v>
      </c>
      <c r="E1267">
        <v>42</v>
      </c>
      <c r="F1267" t="s">
        <v>406</v>
      </c>
      <c r="G1267" t="s">
        <v>2759</v>
      </c>
      <c r="H1267" s="2">
        <v>35347</v>
      </c>
      <c r="I1267" s="1" t="d">
        <v>2009-12-02</v>
      </c>
      <c r="J1267" t="s">
        <v>3505</v>
      </c>
      <c r="K1267" s="17" t="s">
        <v>184</v>
      </c>
      <c r="L1267">
        <v>2</v>
      </c>
    </row>
    <row r="1268" spans="1:12" x14ac:dyDescent="0.25">
      <c r="A1268" t="s">
        <v>3506</v>
      </c>
      <c r="B1268" t="s">
        <v>52</v>
      </c>
      <c r="C1268" t="s">
        <v>1838</v>
      </c>
      <c r="D1268" t="s">
        <v>46</v>
      </c>
      <c r="E1268">
        <v>42</v>
      </c>
      <c r="F1268" t="s">
        <v>350</v>
      </c>
      <c r="G1268" t="s">
        <v>191</v>
      </c>
      <c r="H1268" s="2">
        <v>49663</v>
      </c>
      <c r="I1268" s="1" t="d">
        <v>2021-09-24</v>
      </c>
      <c r="J1268" t="s">
        <v>3507</v>
      </c>
      <c r="K1268" s="17" t="s">
        <v>19</v>
      </c>
      <c r="L1268">
        <v>4</v>
      </c>
    </row>
    <row r="1269" spans="1:12" x14ac:dyDescent="0.25">
      <c r="A1269" t="s">
        <v>3508</v>
      </c>
      <c r="B1269" t="s">
        <v>1374</v>
      </c>
      <c r="C1269" t="s">
        <v>3509</v>
      </c>
      <c r="D1269" t="s">
        <v>9527</v>
      </c>
      <c r="E1269">
        <v>21</v>
      </c>
      <c r="F1269" t="s">
        <v>399</v>
      </c>
      <c r="G1269" t="s">
        <v>337</v>
      </c>
      <c r="H1269" s="2">
        <v>46853</v>
      </c>
      <c r="I1269" s="1" t="d">
        <v>2022-07-05</v>
      </c>
      <c r="J1269" t="s">
        <v>2439</v>
      </c>
      <c r="K1269" s="17" t="s">
        <v>19</v>
      </c>
      <c r="L1269">
        <v>3</v>
      </c>
    </row>
    <row r="1270" spans="1:12" x14ac:dyDescent="0.25">
      <c r="A1270" t="s">
        <v>3510</v>
      </c>
      <c r="B1270" t="s">
        <v>79</v>
      </c>
      <c r="C1270" t="s">
        <v>898</v>
      </c>
      <c r="D1270" t="s">
        <v>46</v>
      </c>
      <c r="E1270">
        <v>36</v>
      </c>
      <c r="F1270" t="s">
        <v>1851</v>
      </c>
      <c r="G1270" t="s">
        <v>191</v>
      </c>
      <c r="H1270">
        <v>51127</v>
      </c>
      <c r="J1270" t="s">
        <v>2123</v>
      </c>
      <c r="K1270" s="17" t="s">
        <v>149</v>
      </c>
      <c r="L1270">
        <v>2</v>
      </c>
    </row>
    <row r="1271" spans="1:12" x14ac:dyDescent="0.25">
      <c r="A1271" t="s">
        <v>2294</v>
      </c>
      <c r="B1271" t="s">
        <v>2222</v>
      </c>
      <c r="C1271" t="s">
        <v>988</v>
      </c>
      <c r="D1271" t="s">
        <v>9527</v>
      </c>
      <c r="E1271">
        <v>41</v>
      </c>
      <c r="F1271" t="s">
        <v>2065</v>
      </c>
      <c r="G1271" t="s">
        <v>69</v>
      </c>
      <c r="H1271" s="2">
        <v>102031</v>
      </c>
      <c r="I1271" s="1" t="d">
        <v>2022-07-25</v>
      </c>
      <c r="J1271" t="s">
        <v>2296</v>
      </c>
      <c r="K1271" s="17" t="s">
        <v>149</v>
      </c>
      <c r="L1271">
        <v>4</v>
      </c>
    </row>
    <row r="1272" spans="1:12" x14ac:dyDescent="0.25">
      <c r="A1272" t="s">
        <v>3511</v>
      </c>
      <c r="B1272" t="s">
        <v>3512</v>
      </c>
      <c r="C1272" t="s">
        <v>483</v>
      </c>
      <c r="D1272" t="s">
        <v>46</v>
      </c>
      <c r="E1272">
        <v>38</v>
      </c>
      <c r="F1272" t="s">
        <v>356</v>
      </c>
      <c r="G1272" t="s">
        <v>55</v>
      </c>
      <c r="H1272" s="2">
        <v>106541</v>
      </c>
      <c r="I1272" s="1" t="d">
        <v>2017-08-18</v>
      </c>
      <c r="J1272" t="s">
        <v>486</v>
      </c>
      <c r="K1272" s="17" t="s">
        <v>19</v>
      </c>
      <c r="L1272">
        <v>3</v>
      </c>
    </row>
    <row r="1273" spans="1:12" x14ac:dyDescent="0.25">
      <c r="A1273" t="s">
        <v>3513</v>
      </c>
      <c r="B1273" t="s">
        <v>833</v>
      </c>
      <c r="C1273" t="s">
        <v>210</v>
      </c>
      <c r="D1273" t="s">
        <v>23</v>
      </c>
      <c r="E1273">
        <v>38</v>
      </c>
      <c r="F1273" t="s">
        <v>94</v>
      </c>
      <c r="G1273" t="s">
        <v>39</v>
      </c>
      <c r="I1273" s="1" t="d">
        <v>2016-07-01</v>
      </c>
      <c r="J1273" t="s">
        <v>2498</v>
      </c>
      <c r="K1273" s="17" t="s">
        <v>207</v>
      </c>
      <c r="L1273">
        <v>3</v>
      </c>
    </row>
    <row r="1274" spans="1:12" x14ac:dyDescent="0.25">
      <c r="A1274" t="s">
        <v>3514</v>
      </c>
      <c r="B1274" t="s">
        <v>3515</v>
      </c>
      <c r="C1274" t="s">
        <v>405</v>
      </c>
      <c r="D1274" t="s">
        <v>46</v>
      </c>
      <c r="E1274">
        <v>38</v>
      </c>
      <c r="F1274" t="s">
        <v>190</v>
      </c>
      <c r="G1274" t="s">
        <v>912</v>
      </c>
      <c r="H1274" t="s">
        <v>3516</v>
      </c>
      <c r="J1274" t="s">
        <v>3517</v>
      </c>
      <c r="K1274" s="17" t="s">
        <v>19</v>
      </c>
      <c r="L1274">
        <v>5</v>
      </c>
    </row>
    <row r="1275" spans="1:12" x14ac:dyDescent="0.25">
      <c r="A1275" t="s">
        <v>3518</v>
      </c>
      <c r="B1275" t="s">
        <v>66</v>
      </c>
      <c r="C1275" t="s">
        <v>225</v>
      </c>
      <c r="D1275" t="s">
        <v>23</v>
      </c>
      <c r="E1275">
        <v>41</v>
      </c>
      <c r="F1275" t="s">
        <v>978</v>
      </c>
      <c r="G1275" t="s">
        <v>69</v>
      </c>
      <c r="H1275">
        <v>95930</v>
      </c>
      <c r="I1275" s="1" t="d">
        <v>2007-04-18</v>
      </c>
      <c r="J1275" t="s">
        <v>1521</v>
      </c>
      <c r="K1275" s="17" t="s">
        <v>184</v>
      </c>
      <c r="L1275">
        <v>3</v>
      </c>
    </row>
    <row r="1276" spans="1:12" x14ac:dyDescent="0.25">
      <c r="A1276" t="s">
        <v>3519</v>
      </c>
      <c r="B1276" t="s">
        <v>3520</v>
      </c>
      <c r="C1276" t="s">
        <v>1052</v>
      </c>
      <c r="D1276" t="s">
        <v>9527</v>
      </c>
      <c r="E1276">
        <v>41</v>
      </c>
      <c r="F1276" t="s">
        <v>399</v>
      </c>
      <c r="G1276" t="s">
        <v>1133</v>
      </c>
      <c r="I1276" s="1" t="d">
        <v>2012-10-19</v>
      </c>
      <c r="J1276" t="s">
        <v>2422</v>
      </c>
      <c r="K1276" s="17" t="s">
        <v>42</v>
      </c>
      <c r="L1276">
        <v>2</v>
      </c>
    </row>
    <row r="1277" spans="1:12" x14ac:dyDescent="0.25">
      <c r="A1277" t="s">
        <v>3521</v>
      </c>
      <c r="B1277" t="s">
        <v>2252</v>
      </c>
      <c r="C1277" t="s">
        <v>45</v>
      </c>
      <c r="D1277" t="s">
        <v>9527</v>
      </c>
      <c r="E1277">
        <v>23</v>
      </c>
      <c r="F1277" t="s">
        <v>532</v>
      </c>
      <c r="G1277" t="s">
        <v>526</v>
      </c>
      <c r="H1277">
        <v>63693</v>
      </c>
      <c r="I1277" s="1" t="d">
        <v>2008-02-06</v>
      </c>
      <c r="J1277" t="s">
        <v>369</v>
      </c>
      <c r="K1277" s="17" t="s">
        <v>19</v>
      </c>
      <c r="L1277">
        <v>3</v>
      </c>
    </row>
    <row r="1278" spans="1:12" x14ac:dyDescent="0.25">
      <c r="A1278" t="s">
        <v>3522</v>
      </c>
      <c r="B1278" t="s">
        <v>130</v>
      </c>
      <c r="C1278" t="s">
        <v>696</v>
      </c>
      <c r="D1278" t="s">
        <v>23</v>
      </c>
      <c r="E1278">
        <v>45</v>
      </c>
      <c r="F1278" t="s">
        <v>122</v>
      </c>
      <c r="G1278" t="s">
        <v>526</v>
      </c>
      <c r="H1278" s="2">
        <v>54243</v>
      </c>
      <c r="I1278" s="1" t="d">
        <v>2020-10-19</v>
      </c>
      <c r="J1278" t="s">
        <v>2815</v>
      </c>
      <c r="K1278" s="17" t="s">
        <v>149</v>
      </c>
      <c r="L1278">
        <v>3</v>
      </c>
    </row>
    <row r="1279" spans="1:12" x14ac:dyDescent="0.25">
      <c r="A1279" t="s">
        <v>3523</v>
      </c>
      <c r="B1279" t="s">
        <v>1181</v>
      </c>
      <c r="C1279" t="s">
        <v>3524</v>
      </c>
      <c r="D1279" t="s">
        <v>23</v>
      </c>
      <c r="E1279">
        <v>35</v>
      </c>
      <c r="F1279" t="s">
        <v>576</v>
      </c>
      <c r="G1279" t="s">
        <v>205</v>
      </c>
      <c r="H1279">
        <v>110392</v>
      </c>
      <c r="I1279" s="1" t="d">
        <v>2008-11-24</v>
      </c>
      <c r="J1279" t="s">
        <v>3525</v>
      </c>
      <c r="K1279" s="17" t="s">
        <v>58</v>
      </c>
      <c r="L1279">
        <v>4</v>
      </c>
    </row>
    <row r="1280" spans="1:12" x14ac:dyDescent="0.25">
      <c r="A1280" t="s">
        <v>3526</v>
      </c>
      <c r="B1280" t="s">
        <v>931</v>
      </c>
      <c r="C1280" t="s">
        <v>336</v>
      </c>
      <c r="D1280" t="s">
        <v>46</v>
      </c>
      <c r="E1280">
        <v>46</v>
      </c>
      <c r="F1280" t="s">
        <v>68</v>
      </c>
      <c r="G1280" t="s">
        <v>16</v>
      </c>
      <c r="H1280" t="s">
        <v>3527</v>
      </c>
      <c r="I1280" s="1" t="d">
        <v>2006-02-14</v>
      </c>
      <c r="J1280" t="s">
        <v>2340</v>
      </c>
      <c r="K1280" s="17" t="s">
        <v>207</v>
      </c>
      <c r="L1280">
        <v>3</v>
      </c>
    </row>
    <row r="1281" spans="1:12" x14ac:dyDescent="0.25">
      <c r="A1281" t="s">
        <v>3528</v>
      </c>
      <c r="B1281" t="s">
        <v>999</v>
      </c>
      <c r="C1281" t="s">
        <v>237</v>
      </c>
      <c r="D1281" t="s">
        <v>46</v>
      </c>
      <c r="E1281">
        <v>42</v>
      </c>
      <c r="F1281" t="s">
        <v>238</v>
      </c>
      <c r="G1281" t="s">
        <v>504</v>
      </c>
      <c r="H1281" t="s">
        <v>3529</v>
      </c>
      <c r="I1281" s="1" t="d">
        <v>2012-09-17</v>
      </c>
      <c r="J1281" t="s">
        <v>3530</v>
      </c>
      <c r="K1281" s="17" t="s">
        <v>71</v>
      </c>
      <c r="L1281">
        <v>3</v>
      </c>
    </row>
    <row r="1282" spans="1:12" x14ac:dyDescent="0.25">
      <c r="A1282" t="s">
        <v>3531</v>
      </c>
      <c r="B1282" t="s">
        <v>936</v>
      </c>
      <c r="C1282" t="s">
        <v>3532</v>
      </c>
      <c r="D1282" t="s">
        <v>23</v>
      </c>
      <c r="E1282">
        <v>55</v>
      </c>
      <c r="F1282" t="s">
        <v>2904</v>
      </c>
      <c r="G1282" t="s">
        <v>82</v>
      </c>
      <c r="H1282" t="s">
        <v>3533</v>
      </c>
      <c r="I1282" s="1" t="d">
        <v>2017-05-17</v>
      </c>
      <c r="J1282" t="s">
        <v>235</v>
      </c>
      <c r="K1282" s="17" t="s">
        <v>42</v>
      </c>
      <c r="L1282">
        <v>4</v>
      </c>
    </row>
    <row r="1283" spans="1:12" x14ac:dyDescent="0.25">
      <c r="A1283" t="s">
        <v>3534</v>
      </c>
      <c r="B1283" t="s">
        <v>3535</v>
      </c>
      <c r="C1283" t="s">
        <v>516</v>
      </c>
      <c r="D1283" t="s">
        <v>46</v>
      </c>
      <c r="E1283">
        <v>31</v>
      </c>
      <c r="F1283" t="s">
        <v>186</v>
      </c>
      <c r="G1283" t="s">
        <v>903</v>
      </c>
      <c r="H1283" s="2">
        <v>81690</v>
      </c>
      <c r="I1283" s="1" t="d">
        <v>2016-02-09</v>
      </c>
      <c r="J1283" t="s">
        <v>3536</v>
      </c>
      <c r="K1283" s="17" t="s">
        <v>34</v>
      </c>
      <c r="L1283">
        <v>4</v>
      </c>
    </row>
    <row r="1284" spans="1:12" x14ac:dyDescent="0.25">
      <c r="A1284" t="s">
        <v>3537</v>
      </c>
      <c r="B1284" t="s">
        <v>1374</v>
      </c>
      <c r="C1284" t="s">
        <v>665</v>
      </c>
      <c r="D1284" t="s">
        <v>46</v>
      </c>
      <c r="E1284">
        <v>51</v>
      </c>
      <c r="G1284" t="s">
        <v>191</v>
      </c>
      <c r="H1284" t="s">
        <v>3538</v>
      </c>
      <c r="I1284" s="1" t="d">
        <v>2012-07-25</v>
      </c>
      <c r="J1284" t="s">
        <v>3539</v>
      </c>
      <c r="K1284" s="17" t="s">
        <v>100</v>
      </c>
      <c r="L1284">
        <v>1</v>
      </c>
    </row>
    <row r="1285" spans="1:12" x14ac:dyDescent="0.25">
      <c r="A1285" t="s">
        <v>3540</v>
      </c>
      <c r="B1285" t="s">
        <v>594</v>
      </c>
      <c r="C1285" t="s">
        <v>681</v>
      </c>
      <c r="D1285" t="s">
        <v>46</v>
      </c>
      <c r="E1285">
        <v>47</v>
      </c>
      <c r="G1285" t="s">
        <v>3541</v>
      </c>
      <c r="H1285">
        <v>174347</v>
      </c>
      <c r="I1285" s="1" t="d">
        <v>2005-07-24</v>
      </c>
      <c r="J1285" t="s">
        <v>3542</v>
      </c>
      <c r="K1285" s="17" t="s">
        <v>184</v>
      </c>
      <c r="L1285">
        <v>4</v>
      </c>
    </row>
    <row r="1286" spans="1:12" x14ac:dyDescent="0.25">
      <c r="A1286" t="s">
        <v>3543</v>
      </c>
      <c r="B1286" t="s">
        <v>1086</v>
      </c>
      <c r="C1286" t="s">
        <v>1901</v>
      </c>
      <c r="D1286" t="s">
        <v>9527</v>
      </c>
      <c r="E1286">
        <v>46</v>
      </c>
      <c r="F1286" t="s">
        <v>146</v>
      </c>
      <c r="G1286" t="s">
        <v>48</v>
      </c>
      <c r="H1286" t="s">
        <v>3544</v>
      </c>
      <c r="I1286" s="1" t="d">
        <v>2006-06-02</v>
      </c>
      <c r="J1286" t="s">
        <v>1318</v>
      </c>
      <c r="K1286" s="17" t="s">
        <v>100</v>
      </c>
      <c r="L1286">
        <v>4</v>
      </c>
    </row>
    <row r="1287" spans="1:12" x14ac:dyDescent="0.25">
      <c r="A1287" t="s">
        <v>3545</v>
      </c>
      <c r="B1287" t="s">
        <v>1181</v>
      </c>
      <c r="C1287" t="s">
        <v>121</v>
      </c>
      <c r="D1287" t="s">
        <v>46</v>
      </c>
      <c r="E1287">
        <v>44</v>
      </c>
      <c r="F1287" t="s">
        <v>238</v>
      </c>
      <c r="G1287" t="s">
        <v>69</v>
      </c>
      <c r="H1287" s="2">
        <v>-62379</v>
      </c>
      <c r="I1287" s="1" t="d">
        <v>2017-11-22</v>
      </c>
      <c r="J1287" t="s">
        <v>3546</v>
      </c>
      <c r="K1287" s="17" t="s">
        <v>149</v>
      </c>
      <c r="L1287">
        <v>2</v>
      </c>
    </row>
    <row r="1288" spans="1:12" x14ac:dyDescent="0.25">
      <c r="A1288" t="s">
        <v>3547</v>
      </c>
      <c r="B1288" t="s">
        <v>224</v>
      </c>
      <c r="C1288" t="s">
        <v>215</v>
      </c>
      <c r="D1288" t="s">
        <v>23</v>
      </c>
      <c r="E1288">
        <v>52</v>
      </c>
      <c r="F1288" t="s">
        <v>411</v>
      </c>
      <c r="G1288" t="s">
        <v>278</v>
      </c>
      <c r="H1288" t="s">
        <v>3548</v>
      </c>
      <c r="I1288" s="1" t="d">
        <v>2009-02-21</v>
      </c>
      <c r="J1288" t="s">
        <v>3338</v>
      </c>
      <c r="K1288" s="17" t="s">
        <v>42</v>
      </c>
      <c r="L1288">
        <v>4</v>
      </c>
    </row>
    <row r="1289" spans="1:12" x14ac:dyDescent="0.25">
      <c r="A1289" t="s">
        <v>3549</v>
      </c>
      <c r="B1289" t="s">
        <v>833</v>
      </c>
      <c r="C1289" t="s">
        <v>2075</v>
      </c>
      <c r="D1289" t="s">
        <v>46</v>
      </c>
      <c r="E1289">
        <v>24</v>
      </c>
      <c r="F1289" t="s">
        <v>576</v>
      </c>
      <c r="G1289" t="s">
        <v>69</v>
      </c>
      <c r="H1289" s="2">
        <v>105333</v>
      </c>
      <c r="I1289" s="1" t="d">
        <v>2020-01-25</v>
      </c>
      <c r="J1289" t="s">
        <v>298</v>
      </c>
      <c r="K1289" s="17" t="s">
        <v>19</v>
      </c>
      <c r="L1289">
        <v>3</v>
      </c>
    </row>
    <row r="1290" spans="1:12" x14ac:dyDescent="0.25">
      <c r="A1290" t="s">
        <v>3550</v>
      </c>
      <c r="B1290" t="s">
        <v>162</v>
      </c>
      <c r="C1290" t="s">
        <v>3551</v>
      </c>
      <c r="D1290" t="s">
        <v>9527</v>
      </c>
      <c r="E1290">
        <v>43</v>
      </c>
      <c r="F1290" t="s">
        <v>47</v>
      </c>
      <c r="G1290" t="s">
        <v>191</v>
      </c>
      <c r="H1290">
        <v>43508</v>
      </c>
      <c r="I1290" s="1" t="d">
        <v>2024-12-04</v>
      </c>
      <c r="J1290" t="s">
        <v>3552</v>
      </c>
      <c r="K1290" s="17" t="s">
        <v>184</v>
      </c>
      <c r="L1290">
        <v>4</v>
      </c>
    </row>
    <row r="1291" spans="1:12" x14ac:dyDescent="0.25">
      <c r="A1291" t="s">
        <v>3553</v>
      </c>
      <c r="B1291" t="s">
        <v>718</v>
      </c>
      <c r="C1291" t="s">
        <v>3554</v>
      </c>
      <c r="D1291" t="s">
        <v>23</v>
      </c>
      <c r="E1291">
        <v>39</v>
      </c>
      <c r="F1291" t="s">
        <v>649</v>
      </c>
      <c r="G1291" t="s">
        <v>387</v>
      </c>
      <c r="H1291" t="s">
        <v>3555</v>
      </c>
      <c r="J1291" t="s">
        <v>3556</v>
      </c>
      <c r="K1291" s="17" t="s">
        <v>118</v>
      </c>
      <c r="L1291">
        <v>3</v>
      </c>
    </row>
    <row r="1292" spans="1:12" x14ac:dyDescent="0.25">
      <c r="A1292" t="s">
        <v>3557</v>
      </c>
      <c r="B1292" t="s">
        <v>786</v>
      </c>
      <c r="C1292" t="s">
        <v>286</v>
      </c>
      <c r="D1292" t="s">
        <v>23</v>
      </c>
      <c r="E1292">
        <v>39</v>
      </c>
      <c r="F1292" t="s">
        <v>126</v>
      </c>
      <c r="G1292" t="s">
        <v>48</v>
      </c>
      <c r="H1292" t="s">
        <v>3558</v>
      </c>
      <c r="I1292" s="1" t="d">
        <v>2018-04-10</v>
      </c>
      <c r="J1292" t="s">
        <v>446</v>
      </c>
      <c r="K1292" s="17" t="s">
        <v>90</v>
      </c>
      <c r="L1292">
        <v>2</v>
      </c>
    </row>
    <row r="1293" spans="1:12" x14ac:dyDescent="0.25">
      <c r="A1293" t="s">
        <v>3559</v>
      </c>
      <c r="B1293" t="s">
        <v>221</v>
      </c>
      <c r="C1293" t="s">
        <v>2895</v>
      </c>
      <c r="D1293" t="s">
        <v>46</v>
      </c>
      <c r="E1293">
        <v>53</v>
      </c>
      <c r="F1293" t="s">
        <v>186</v>
      </c>
      <c r="G1293" t="s">
        <v>191</v>
      </c>
      <c r="H1293" t="s">
        <v>3560</v>
      </c>
      <c r="I1293" s="1" t="d">
        <v>2009-01-19</v>
      </c>
      <c r="J1293" t="s">
        <v>3229</v>
      </c>
      <c r="K1293" s="17" t="s">
        <v>149</v>
      </c>
      <c r="L1293">
        <v>3</v>
      </c>
    </row>
    <row r="1294" spans="1:12" x14ac:dyDescent="0.25">
      <c r="A1294" t="s">
        <v>3561</v>
      </c>
      <c r="B1294" t="s">
        <v>3562</v>
      </c>
      <c r="C1294" t="s">
        <v>252</v>
      </c>
      <c r="D1294" t="s">
        <v>9527</v>
      </c>
      <c r="E1294">
        <v>44</v>
      </c>
      <c r="G1294" t="s">
        <v>39</v>
      </c>
      <c r="H1294">
        <v>56440</v>
      </c>
      <c r="I1294" s="1" t="d">
        <v>2013-08-25</v>
      </c>
      <c r="J1294" t="s">
        <v>619</v>
      </c>
      <c r="K1294" s="17" t="s">
        <v>149</v>
      </c>
      <c r="L1294">
        <v>4</v>
      </c>
    </row>
    <row r="1295" spans="1:12" x14ac:dyDescent="0.25">
      <c r="A1295" t="s">
        <v>3563</v>
      </c>
      <c r="B1295" t="s">
        <v>709</v>
      </c>
      <c r="C1295" t="s">
        <v>858</v>
      </c>
      <c r="D1295" t="s">
        <v>46</v>
      </c>
      <c r="E1295">
        <v>35</v>
      </c>
      <c r="F1295" t="s">
        <v>75</v>
      </c>
      <c r="G1295" t="s">
        <v>212</v>
      </c>
      <c r="H1295" t="s">
        <v>3564</v>
      </c>
      <c r="I1295" s="1" t="d">
        <v>2007-04-14</v>
      </c>
      <c r="J1295" t="s">
        <v>3565</v>
      </c>
      <c r="K1295" s="17" t="s">
        <v>50</v>
      </c>
      <c r="L1295">
        <v>3</v>
      </c>
    </row>
    <row r="1296" spans="1:12" x14ac:dyDescent="0.25">
      <c r="A1296" t="s">
        <v>3566</v>
      </c>
      <c r="B1296" t="s">
        <v>695</v>
      </c>
      <c r="C1296" t="s">
        <v>516</v>
      </c>
      <c r="D1296" t="s">
        <v>46</v>
      </c>
      <c r="E1296">
        <v>24</v>
      </c>
      <c r="F1296" t="s">
        <v>666</v>
      </c>
      <c r="G1296" t="s">
        <v>212</v>
      </c>
      <c r="H1296" s="2">
        <v>71688</v>
      </c>
      <c r="I1296" s="1" t="d">
        <v>2024-04-28</v>
      </c>
      <c r="J1296" t="s">
        <v>3567</v>
      </c>
      <c r="K1296" s="17" t="s">
        <v>50</v>
      </c>
      <c r="L1296">
        <v>3</v>
      </c>
    </row>
    <row r="1297" spans="1:12" x14ac:dyDescent="0.25">
      <c r="A1297" t="s">
        <v>3568</v>
      </c>
      <c r="B1297" t="s">
        <v>3569</v>
      </c>
      <c r="C1297" t="s">
        <v>1384</v>
      </c>
      <c r="D1297" t="s">
        <v>9527</v>
      </c>
      <c r="E1297">
        <v>36</v>
      </c>
      <c r="F1297" t="s">
        <v>245</v>
      </c>
      <c r="G1297" t="s">
        <v>278</v>
      </c>
      <c r="I1297" s="1" t="d">
        <v>2023-08-12</v>
      </c>
      <c r="J1297" t="s">
        <v>3570</v>
      </c>
      <c r="K1297" s="17" t="s">
        <v>184</v>
      </c>
      <c r="L1297">
        <v>5</v>
      </c>
    </row>
    <row r="1298" spans="1:12" x14ac:dyDescent="0.25">
      <c r="A1298" t="s">
        <v>3571</v>
      </c>
      <c r="B1298" t="s">
        <v>993</v>
      </c>
      <c r="C1298" t="s">
        <v>318</v>
      </c>
      <c r="D1298" t="s">
        <v>9527</v>
      </c>
      <c r="E1298">
        <v>32</v>
      </c>
      <c r="F1298" t="s">
        <v>1532</v>
      </c>
      <c r="G1298" t="s">
        <v>912</v>
      </c>
      <c r="H1298" s="2">
        <v>47037</v>
      </c>
      <c r="I1298" s="1" t="d">
        <v>2005-11-20</v>
      </c>
      <c r="J1298" t="s">
        <v>3572</v>
      </c>
      <c r="K1298" s="17" t="s">
        <v>149</v>
      </c>
      <c r="L1298">
        <v>2</v>
      </c>
    </row>
    <row r="1299" spans="1:12" x14ac:dyDescent="0.25">
      <c r="A1299" t="s">
        <v>3573</v>
      </c>
      <c r="B1299" t="s">
        <v>3574</v>
      </c>
      <c r="C1299" t="s">
        <v>1364</v>
      </c>
      <c r="D1299" t="s">
        <v>23</v>
      </c>
      <c r="E1299">
        <v>34</v>
      </c>
      <c r="F1299" t="s">
        <v>532</v>
      </c>
      <c r="G1299" t="s">
        <v>115</v>
      </c>
      <c r="H1299" t="s">
        <v>3575</v>
      </c>
      <c r="I1299" s="1" t="d">
        <v>2014-07-27</v>
      </c>
      <c r="J1299" t="s">
        <v>3576</v>
      </c>
      <c r="K1299" s="17" t="s">
        <v>50</v>
      </c>
      <c r="L1299">
        <v>4</v>
      </c>
    </row>
    <row r="1300" spans="1:12" x14ac:dyDescent="0.25">
      <c r="A1300" t="s">
        <v>3577</v>
      </c>
      <c r="B1300" t="s">
        <v>3578</v>
      </c>
      <c r="C1300" t="s">
        <v>665</v>
      </c>
      <c r="D1300" t="s">
        <v>23</v>
      </c>
      <c r="E1300">
        <v>28</v>
      </c>
      <c r="F1300" t="s">
        <v>68</v>
      </c>
      <c r="G1300" t="s">
        <v>115</v>
      </c>
      <c r="H1300">
        <v>86270</v>
      </c>
      <c r="I1300" s="1" t="d">
        <v>2022-12-27</v>
      </c>
      <c r="J1300" t="s">
        <v>2113</v>
      </c>
      <c r="K1300" s="17" t="s">
        <v>50</v>
      </c>
      <c r="L1300">
        <v>3</v>
      </c>
    </row>
    <row r="1301" spans="1:12" x14ac:dyDescent="0.25">
      <c r="A1301" t="s">
        <v>3579</v>
      </c>
      <c r="B1301" t="s">
        <v>1784</v>
      </c>
      <c r="C1301" t="s">
        <v>3580</v>
      </c>
      <c r="D1301" t="s">
        <v>9527</v>
      </c>
      <c r="E1301">
        <v>39</v>
      </c>
      <c r="F1301" t="s">
        <v>589</v>
      </c>
      <c r="G1301" t="s">
        <v>16</v>
      </c>
      <c r="H1301" t="s">
        <v>3581</v>
      </c>
      <c r="I1301" s="1" t="d">
        <v>2022-02-28</v>
      </c>
      <c r="J1301" t="s">
        <v>3582</v>
      </c>
      <c r="K1301" s="17" t="s">
        <v>50</v>
      </c>
      <c r="L1301">
        <v>3</v>
      </c>
    </row>
    <row r="1302" spans="1:12" x14ac:dyDescent="0.25">
      <c r="A1302" t="s">
        <v>1916</v>
      </c>
      <c r="B1302" t="s">
        <v>2603</v>
      </c>
      <c r="C1302" t="s">
        <v>1859</v>
      </c>
      <c r="D1302" t="s">
        <v>9527</v>
      </c>
      <c r="E1302">
        <v>25</v>
      </c>
      <c r="F1302" t="s">
        <v>2065</v>
      </c>
      <c r="G1302" t="s">
        <v>182</v>
      </c>
      <c r="H1302" t="s">
        <v>3583</v>
      </c>
      <c r="I1302" s="1" t="d">
        <v>2024-11-17</v>
      </c>
      <c r="J1302" t="s">
        <v>475</v>
      </c>
      <c r="K1302" s="17" t="s">
        <v>100</v>
      </c>
      <c r="L1302">
        <v>2</v>
      </c>
    </row>
    <row r="1303" spans="1:12" x14ac:dyDescent="0.25">
      <c r="A1303" t="s">
        <v>3584</v>
      </c>
      <c r="B1303" t="s">
        <v>355</v>
      </c>
      <c r="C1303" t="s">
        <v>1608</v>
      </c>
      <c r="D1303" t="s">
        <v>9527</v>
      </c>
      <c r="E1303">
        <v>45</v>
      </c>
      <c r="F1303" t="s">
        <v>15</v>
      </c>
      <c r="G1303" t="s">
        <v>32</v>
      </c>
      <c r="H1303" t="s">
        <v>3585</v>
      </c>
      <c r="I1303" s="1" t="d">
        <v>2011-10-18</v>
      </c>
      <c r="J1303" t="s">
        <v>1609</v>
      </c>
      <c r="K1303" s="17" t="s">
        <v>207</v>
      </c>
      <c r="L1303">
        <v>2</v>
      </c>
    </row>
    <row r="1304" spans="1:12" x14ac:dyDescent="0.25">
      <c r="A1304" t="s">
        <v>3586</v>
      </c>
      <c r="B1304" t="s">
        <v>3587</v>
      </c>
      <c r="C1304" t="s">
        <v>1306</v>
      </c>
      <c r="D1304" t="s">
        <v>46</v>
      </c>
      <c r="E1304">
        <v>36</v>
      </c>
      <c r="F1304" t="s">
        <v>216</v>
      </c>
      <c r="G1304" t="s">
        <v>25</v>
      </c>
      <c r="H1304" t="s">
        <v>3588</v>
      </c>
      <c r="I1304" s="1" t="d">
        <v>2023-03-07</v>
      </c>
      <c r="J1304" t="s">
        <v>3589</v>
      </c>
      <c r="K1304" s="17" t="s">
        <v>50</v>
      </c>
      <c r="L1304">
        <v>3</v>
      </c>
    </row>
    <row r="1305" spans="1:12" x14ac:dyDescent="0.25">
      <c r="A1305" t="s">
        <v>3590</v>
      </c>
      <c r="B1305" t="s">
        <v>21</v>
      </c>
      <c r="C1305" t="s">
        <v>747</v>
      </c>
      <c r="D1305" t="s">
        <v>9527</v>
      </c>
      <c r="E1305">
        <v>21</v>
      </c>
      <c r="F1305" t="s">
        <v>350</v>
      </c>
      <c r="G1305" t="s">
        <v>387</v>
      </c>
      <c r="H1305" t="s">
        <v>3591</v>
      </c>
      <c r="I1305" s="1" t="d">
        <v>2023-03-10</v>
      </c>
      <c r="J1305" t="s">
        <v>1089</v>
      </c>
      <c r="K1305" s="17" t="s">
        <v>100</v>
      </c>
      <c r="L1305">
        <v>4</v>
      </c>
    </row>
    <row r="1306" spans="1:12" x14ac:dyDescent="0.25">
      <c r="A1306" t="s">
        <v>3592</v>
      </c>
      <c r="B1306" t="s">
        <v>1086</v>
      </c>
      <c r="C1306" t="s">
        <v>847</v>
      </c>
      <c r="D1306" t="s">
        <v>23</v>
      </c>
      <c r="E1306">
        <v>34</v>
      </c>
      <c r="F1306" t="s">
        <v>3593</v>
      </c>
      <c r="G1306" t="s">
        <v>39</v>
      </c>
      <c r="H1306" t="s">
        <v>3594</v>
      </c>
      <c r="I1306" s="1" t="d">
        <v>2022-11-05</v>
      </c>
      <c r="J1306" t="s">
        <v>3595</v>
      </c>
      <c r="K1306" s="17" t="s">
        <v>19</v>
      </c>
      <c r="L1306">
        <v>5</v>
      </c>
    </row>
    <row r="1307" spans="1:12" x14ac:dyDescent="0.25">
      <c r="A1307" t="s">
        <v>3596</v>
      </c>
      <c r="B1307" t="s">
        <v>130</v>
      </c>
      <c r="C1307" t="s">
        <v>2295</v>
      </c>
      <c r="D1307" t="s">
        <v>9527</v>
      </c>
      <c r="E1307">
        <v>34</v>
      </c>
      <c r="G1307" t="s">
        <v>357</v>
      </c>
      <c r="I1307" s="1" t="d">
        <v>2006-01-20</v>
      </c>
      <c r="J1307" t="s">
        <v>3597</v>
      </c>
      <c r="K1307" s="17" t="s">
        <v>118</v>
      </c>
      <c r="L1307">
        <v>3</v>
      </c>
    </row>
    <row r="1308" spans="1:12" x14ac:dyDescent="0.25">
      <c r="A1308" t="s">
        <v>3598</v>
      </c>
      <c r="B1308" t="s">
        <v>2856</v>
      </c>
      <c r="C1308" t="s">
        <v>36</v>
      </c>
      <c r="D1308" t="s">
        <v>9527</v>
      </c>
      <c r="E1308">
        <v>41</v>
      </c>
      <c r="F1308" t="s">
        <v>1571</v>
      </c>
      <c r="G1308" t="s">
        <v>191</v>
      </c>
      <c r="H1308" t="s">
        <v>3599</v>
      </c>
      <c r="I1308" s="1" t="d">
        <v>2015-07-25</v>
      </c>
      <c r="J1308" t="s">
        <v>3600</v>
      </c>
      <c r="K1308" s="17" t="s">
        <v>118</v>
      </c>
      <c r="L1308">
        <v>4</v>
      </c>
    </row>
    <row r="1309" spans="1:12" x14ac:dyDescent="0.25">
      <c r="A1309" t="s">
        <v>3601</v>
      </c>
      <c r="B1309" t="s">
        <v>120</v>
      </c>
      <c r="C1309" t="s">
        <v>1248</v>
      </c>
      <c r="D1309" t="s">
        <v>46</v>
      </c>
      <c r="E1309">
        <v>48</v>
      </c>
      <c r="F1309" t="s">
        <v>559</v>
      </c>
      <c r="G1309" t="s">
        <v>88</v>
      </c>
      <c r="H1309" t="s">
        <v>3602</v>
      </c>
      <c r="I1309" s="1" t="d">
        <v>2019-10-15</v>
      </c>
      <c r="J1309" t="s">
        <v>3603</v>
      </c>
      <c r="K1309" s="17" t="s">
        <v>34</v>
      </c>
      <c r="L1309">
        <v>3</v>
      </c>
    </row>
    <row r="1310" spans="1:12" x14ac:dyDescent="0.25">
      <c r="A1310" t="s">
        <v>3604</v>
      </c>
      <c r="B1310" t="s">
        <v>3605</v>
      </c>
      <c r="C1310" t="s">
        <v>37</v>
      </c>
      <c r="D1310" t="s">
        <v>23</v>
      </c>
      <c r="E1310">
        <v>36</v>
      </c>
      <c r="F1310" t="s">
        <v>1295</v>
      </c>
      <c r="G1310" t="s">
        <v>115</v>
      </c>
      <c r="H1310" t="s">
        <v>3606</v>
      </c>
      <c r="I1310" s="1" t="d">
        <v>2006-10-08</v>
      </c>
      <c r="J1310" t="s">
        <v>3607</v>
      </c>
      <c r="K1310" s="17" t="s">
        <v>50</v>
      </c>
      <c r="L1310">
        <v>4</v>
      </c>
    </row>
    <row r="1311" spans="1:12" x14ac:dyDescent="0.25">
      <c r="A1311" t="s">
        <v>3608</v>
      </c>
      <c r="B1311" t="s">
        <v>3609</v>
      </c>
      <c r="C1311" t="s">
        <v>244</v>
      </c>
      <c r="D1311" t="s">
        <v>23</v>
      </c>
      <c r="E1311">
        <v>23</v>
      </c>
      <c r="F1311" t="s">
        <v>238</v>
      </c>
      <c r="G1311" t="s">
        <v>141</v>
      </c>
      <c r="I1311" s="1" t="d">
        <v>2019-07-10</v>
      </c>
      <c r="J1311" t="s">
        <v>3610</v>
      </c>
      <c r="K1311" s="17" t="s">
        <v>34</v>
      </c>
      <c r="L1311">
        <v>4</v>
      </c>
    </row>
    <row r="1312" spans="1:12" x14ac:dyDescent="0.25">
      <c r="A1312" t="s">
        <v>3611</v>
      </c>
      <c r="B1312" t="s">
        <v>520</v>
      </c>
      <c r="C1312" t="s">
        <v>710</v>
      </c>
      <c r="D1312" t="s">
        <v>23</v>
      </c>
      <c r="E1312">
        <v>31</v>
      </c>
      <c r="F1312" t="s">
        <v>978</v>
      </c>
      <c r="G1312" t="s">
        <v>1121</v>
      </c>
      <c r="H1312" t="s">
        <v>3612</v>
      </c>
      <c r="I1312" s="1" t="d">
        <v>2022-07-03</v>
      </c>
      <c r="J1312" t="s">
        <v>3613</v>
      </c>
      <c r="K1312" s="17" t="s">
        <v>71</v>
      </c>
      <c r="L1312">
        <v>4</v>
      </c>
    </row>
    <row r="1313" spans="1:12" x14ac:dyDescent="0.25">
      <c r="A1313" t="s">
        <v>3614</v>
      </c>
      <c r="B1313" t="s">
        <v>3422</v>
      </c>
      <c r="C1313" t="s">
        <v>665</v>
      </c>
      <c r="D1313" t="s">
        <v>9527</v>
      </c>
      <c r="E1313">
        <v>51</v>
      </c>
      <c r="F1313" t="s">
        <v>196</v>
      </c>
      <c r="G1313" t="s">
        <v>39</v>
      </c>
      <c r="H1313">
        <v>46008</v>
      </c>
      <c r="I1313" s="1" t="d">
        <v>2007-03-14</v>
      </c>
      <c r="J1313" t="s">
        <v>831</v>
      </c>
      <c r="K1313" s="17" t="s">
        <v>58</v>
      </c>
      <c r="L1313">
        <v>4</v>
      </c>
    </row>
    <row r="1314" spans="1:12" x14ac:dyDescent="0.25">
      <c r="A1314" t="s">
        <v>3615</v>
      </c>
      <c r="B1314" t="s">
        <v>3135</v>
      </c>
      <c r="C1314" t="s">
        <v>624</v>
      </c>
      <c r="D1314" t="s">
        <v>23</v>
      </c>
      <c r="E1314">
        <v>28</v>
      </c>
      <c r="F1314" t="s">
        <v>918</v>
      </c>
      <c r="G1314" t="s">
        <v>88</v>
      </c>
      <c r="H1314" s="2">
        <v>93643</v>
      </c>
      <c r="I1314" s="1" t="d">
        <v>2024-11-13</v>
      </c>
      <c r="J1314" t="s">
        <v>1501</v>
      </c>
      <c r="K1314" s="17" t="s">
        <v>207</v>
      </c>
      <c r="L1314">
        <v>3</v>
      </c>
    </row>
    <row r="1315" spans="1:12" x14ac:dyDescent="0.25">
      <c r="A1315" t="s">
        <v>3616</v>
      </c>
      <c r="B1315" t="s">
        <v>507</v>
      </c>
      <c r="C1315" t="s">
        <v>1657</v>
      </c>
      <c r="D1315" t="s">
        <v>23</v>
      </c>
      <c r="E1315">
        <v>42</v>
      </c>
      <c r="F1315" t="s">
        <v>3617</v>
      </c>
      <c r="G1315" t="s">
        <v>69</v>
      </c>
      <c r="H1315">
        <v>68568</v>
      </c>
      <c r="I1315" s="1" t="d">
        <v>2011-01-14</v>
      </c>
      <c r="J1315" t="s">
        <v>3618</v>
      </c>
      <c r="K1315" s="17" t="s">
        <v>184</v>
      </c>
      <c r="L1315">
        <v>5</v>
      </c>
    </row>
    <row r="1316" spans="1:12" x14ac:dyDescent="0.25">
      <c r="A1316" t="s">
        <v>3619</v>
      </c>
      <c r="B1316" t="s">
        <v>2272</v>
      </c>
      <c r="C1316" t="s">
        <v>2755</v>
      </c>
      <c r="D1316" t="s">
        <v>23</v>
      </c>
      <c r="E1316">
        <v>50</v>
      </c>
      <c r="F1316" t="s">
        <v>146</v>
      </c>
      <c r="G1316" t="s">
        <v>115</v>
      </c>
      <c r="H1316" t="s">
        <v>3620</v>
      </c>
      <c r="I1316" s="1" t="d">
        <v>2005-11-06</v>
      </c>
      <c r="J1316" t="s">
        <v>3621</v>
      </c>
      <c r="K1316" s="17" t="s">
        <v>71</v>
      </c>
      <c r="L1316">
        <v>3</v>
      </c>
    </row>
    <row r="1317" spans="1:12" x14ac:dyDescent="0.25">
      <c r="A1317" t="s">
        <v>3622</v>
      </c>
      <c r="B1317" t="s">
        <v>670</v>
      </c>
      <c r="C1317" t="s">
        <v>152</v>
      </c>
      <c r="D1317" t="s">
        <v>23</v>
      </c>
      <c r="E1317">
        <v>38</v>
      </c>
      <c r="G1317" t="s">
        <v>115</v>
      </c>
      <c r="H1317" t="s">
        <v>3623</v>
      </c>
      <c r="I1317" s="1" t="d">
        <v>2018-11-12</v>
      </c>
      <c r="J1317" t="s">
        <v>3624</v>
      </c>
      <c r="K1317" s="17" t="s">
        <v>27</v>
      </c>
      <c r="L1317">
        <v>3</v>
      </c>
    </row>
    <row r="1318" spans="1:12" x14ac:dyDescent="0.25">
      <c r="A1318" t="s">
        <v>3625</v>
      </c>
      <c r="B1318" t="s">
        <v>833</v>
      </c>
      <c r="C1318" t="s">
        <v>204</v>
      </c>
      <c r="D1318" t="s">
        <v>46</v>
      </c>
      <c r="E1318">
        <v>37</v>
      </c>
      <c r="F1318" t="s">
        <v>122</v>
      </c>
      <c r="G1318" t="s">
        <v>170</v>
      </c>
      <c r="H1318" t="s">
        <v>3626</v>
      </c>
      <c r="I1318" s="1" t="d">
        <v>2010-05-21</v>
      </c>
      <c r="J1318" t="s">
        <v>2470</v>
      </c>
      <c r="K1318" s="17" t="s">
        <v>118</v>
      </c>
      <c r="L1318">
        <v>3</v>
      </c>
    </row>
    <row r="1319" spans="1:12" x14ac:dyDescent="0.25">
      <c r="A1319" t="s">
        <v>3627</v>
      </c>
      <c r="B1319" t="s">
        <v>1738</v>
      </c>
      <c r="C1319" t="s">
        <v>152</v>
      </c>
      <c r="D1319" t="s">
        <v>23</v>
      </c>
      <c r="E1319">
        <v>62</v>
      </c>
      <c r="F1319" t="s">
        <v>153</v>
      </c>
      <c r="G1319" t="s">
        <v>182</v>
      </c>
      <c r="I1319" s="1" t="d">
        <v>2011-07-26</v>
      </c>
      <c r="J1319" t="s">
        <v>2649</v>
      </c>
      <c r="K1319" s="17" t="s">
        <v>71</v>
      </c>
      <c r="L1319">
        <v>3</v>
      </c>
    </row>
    <row r="1320" spans="1:12" x14ac:dyDescent="0.25">
      <c r="A1320" t="s">
        <v>2846</v>
      </c>
      <c r="B1320" t="s">
        <v>2847</v>
      </c>
      <c r="C1320" t="s">
        <v>2023</v>
      </c>
      <c r="D1320" t="s">
        <v>23</v>
      </c>
      <c r="E1320">
        <v>41</v>
      </c>
      <c r="F1320" t="s">
        <v>399</v>
      </c>
      <c r="G1320" t="s">
        <v>217</v>
      </c>
      <c r="H1320" t="s">
        <v>2848</v>
      </c>
      <c r="I1320" s="1" t="d">
        <v>2013-04-14</v>
      </c>
      <c r="J1320" t="s">
        <v>2849</v>
      </c>
      <c r="K1320" s="17" t="s">
        <v>100</v>
      </c>
      <c r="L1320">
        <v>4</v>
      </c>
    </row>
    <row r="1321" spans="1:12" x14ac:dyDescent="0.25">
      <c r="A1321" t="s">
        <v>3628</v>
      </c>
      <c r="B1321" t="s">
        <v>92</v>
      </c>
      <c r="C1321" t="s">
        <v>618</v>
      </c>
      <c r="D1321" t="s">
        <v>46</v>
      </c>
      <c r="E1321">
        <v>43</v>
      </c>
      <c r="G1321" t="s">
        <v>16</v>
      </c>
      <c r="H1321">
        <v>111092</v>
      </c>
      <c r="I1321" s="1" t="d">
        <v>2022-05-30</v>
      </c>
      <c r="J1321" t="s">
        <v>611</v>
      </c>
      <c r="K1321" s="17" t="s">
        <v>58</v>
      </c>
      <c r="L1321">
        <v>4</v>
      </c>
    </row>
    <row r="1322" spans="1:12" x14ac:dyDescent="0.25">
      <c r="A1322" t="s">
        <v>3629</v>
      </c>
      <c r="B1322" t="s">
        <v>174</v>
      </c>
      <c r="C1322" t="s">
        <v>1146</v>
      </c>
      <c r="D1322" t="s">
        <v>9527</v>
      </c>
      <c r="E1322">
        <v>58</v>
      </c>
      <c r="F1322" t="s">
        <v>399</v>
      </c>
      <c r="G1322" t="s">
        <v>407</v>
      </c>
      <c r="I1322" s="1" t="d">
        <v>2019-05-30</v>
      </c>
      <c r="J1322" t="s">
        <v>475</v>
      </c>
      <c r="K1322" s="17" t="s">
        <v>370</v>
      </c>
      <c r="L1322">
        <v>3</v>
      </c>
    </row>
    <row r="1323" spans="1:12" x14ac:dyDescent="0.25">
      <c r="A1323" t="s">
        <v>3630</v>
      </c>
      <c r="B1323" t="s">
        <v>833</v>
      </c>
      <c r="C1323" t="s">
        <v>175</v>
      </c>
      <c r="D1323" t="s">
        <v>23</v>
      </c>
      <c r="E1323">
        <v>48</v>
      </c>
      <c r="F1323" t="s">
        <v>559</v>
      </c>
      <c r="G1323" t="s">
        <v>48</v>
      </c>
      <c r="I1323" s="1" t="d">
        <v>2013-09-26</v>
      </c>
      <c r="J1323" t="s">
        <v>2145</v>
      </c>
      <c r="K1323" s="17" t="s">
        <v>50</v>
      </c>
      <c r="L1323">
        <v>5</v>
      </c>
    </row>
    <row r="1324" spans="1:12" x14ac:dyDescent="0.25">
      <c r="A1324" t="s">
        <v>3631</v>
      </c>
      <c r="B1324" t="s">
        <v>194</v>
      </c>
      <c r="C1324" t="s">
        <v>318</v>
      </c>
      <c r="D1324" t="s">
        <v>9527</v>
      </c>
      <c r="E1324">
        <v>26</v>
      </c>
      <c r="F1324" t="s">
        <v>54</v>
      </c>
      <c r="G1324" t="s">
        <v>16</v>
      </c>
      <c r="I1324" s="1" t="d">
        <v>2005-05-15</v>
      </c>
      <c r="J1324" t="s">
        <v>1585</v>
      </c>
      <c r="K1324" s="17" t="s">
        <v>100</v>
      </c>
      <c r="L1324">
        <v>3</v>
      </c>
    </row>
    <row r="1325" spans="1:12" x14ac:dyDescent="0.25">
      <c r="A1325" t="s">
        <v>3632</v>
      </c>
      <c r="B1325" t="s">
        <v>3201</v>
      </c>
      <c r="C1325" t="s">
        <v>1039</v>
      </c>
      <c r="D1325" t="s">
        <v>9527</v>
      </c>
      <c r="E1325">
        <v>37</v>
      </c>
      <c r="F1325" t="s">
        <v>859</v>
      </c>
      <c r="G1325" t="s">
        <v>870</v>
      </c>
      <c r="H1325">
        <v>118211</v>
      </c>
      <c r="J1325" t="s">
        <v>1375</v>
      </c>
      <c r="K1325" s="17" t="s">
        <v>19</v>
      </c>
      <c r="L1325">
        <v>4</v>
      </c>
    </row>
    <row r="1326" spans="1:12" x14ac:dyDescent="0.25">
      <c r="A1326" t="s">
        <v>3633</v>
      </c>
      <c r="B1326" t="s">
        <v>507</v>
      </c>
      <c r="C1326" t="s">
        <v>145</v>
      </c>
      <c r="D1326" t="s">
        <v>9527</v>
      </c>
      <c r="E1326">
        <v>29</v>
      </c>
      <c r="G1326" t="s">
        <v>39</v>
      </c>
      <c r="H1326">
        <v>73013</v>
      </c>
      <c r="I1326" s="1" t="d">
        <v>2022-10-05</v>
      </c>
      <c r="J1326" t="s">
        <v>3634</v>
      </c>
      <c r="K1326" s="17" t="s">
        <v>19</v>
      </c>
      <c r="L1326">
        <v>3</v>
      </c>
    </row>
    <row r="1327" spans="1:12" x14ac:dyDescent="0.25">
      <c r="A1327" t="s">
        <v>3635</v>
      </c>
      <c r="B1327" t="s">
        <v>1512</v>
      </c>
      <c r="C1327" t="s">
        <v>970</v>
      </c>
      <c r="D1327" t="s">
        <v>23</v>
      </c>
      <c r="E1327">
        <v>34</v>
      </c>
      <c r="F1327" t="s">
        <v>238</v>
      </c>
      <c r="G1327" t="s">
        <v>177</v>
      </c>
      <c r="H1327" t="s">
        <v>3636</v>
      </c>
      <c r="I1327" s="1" t="d">
        <v>2024-10-12</v>
      </c>
      <c r="J1327" t="s">
        <v>3637</v>
      </c>
      <c r="K1327" s="17" t="s">
        <v>118</v>
      </c>
      <c r="L1327">
        <v>3</v>
      </c>
    </row>
    <row r="1328" spans="1:12" x14ac:dyDescent="0.25">
      <c r="A1328" t="s">
        <v>3638</v>
      </c>
      <c r="B1328" t="s">
        <v>1512</v>
      </c>
      <c r="C1328" t="s">
        <v>268</v>
      </c>
      <c r="D1328" t="s">
        <v>23</v>
      </c>
      <c r="E1328">
        <v>46</v>
      </c>
      <c r="F1328" t="s">
        <v>216</v>
      </c>
      <c r="G1328" t="s">
        <v>177</v>
      </c>
      <c r="H1328">
        <v>-50660</v>
      </c>
      <c r="I1328" s="1" t="d">
        <v>2022-06-11</v>
      </c>
      <c r="J1328" t="s">
        <v>3147</v>
      </c>
      <c r="K1328" s="17" t="s">
        <v>184</v>
      </c>
      <c r="L1328">
        <v>3</v>
      </c>
    </row>
    <row r="1329" spans="1:12" x14ac:dyDescent="0.25">
      <c r="A1329" t="s">
        <v>3639</v>
      </c>
      <c r="B1329" t="s">
        <v>1842</v>
      </c>
      <c r="C1329" t="s">
        <v>699</v>
      </c>
      <c r="D1329" t="s">
        <v>46</v>
      </c>
      <c r="E1329">
        <v>40</v>
      </c>
      <c r="F1329" t="s">
        <v>576</v>
      </c>
      <c r="G1329" t="s">
        <v>159</v>
      </c>
      <c r="H1329" t="s">
        <v>3640</v>
      </c>
      <c r="I1329" s="1" t="d">
        <v>2024-01-03</v>
      </c>
      <c r="J1329" t="s">
        <v>3641</v>
      </c>
      <c r="K1329" s="17" t="s">
        <v>207</v>
      </c>
      <c r="L1329">
        <v>3</v>
      </c>
    </row>
    <row r="1330" spans="1:12" x14ac:dyDescent="0.25">
      <c r="A1330" t="s">
        <v>3642</v>
      </c>
      <c r="B1330" t="s">
        <v>335</v>
      </c>
      <c r="C1330" t="s">
        <v>3643</v>
      </c>
      <c r="D1330" t="s">
        <v>46</v>
      </c>
      <c r="E1330">
        <v>34</v>
      </c>
      <c r="G1330" t="s">
        <v>191</v>
      </c>
      <c r="H1330" t="s">
        <v>3644</v>
      </c>
      <c r="I1330" s="1" t="d">
        <v>2015-03-24</v>
      </c>
      <c r="J1330" t="s">
        <v>2173</v>
      </c>
      <c r="K1330" s="17" t="s">
        <v>27</v>
      </c>
      <c r="L1330">
        <v>3</v>
      </c>
    </row>
    <row r="1331" spans="1:12" x14ac:dyDescent="0.25">
      <c r="A1331" t="s">
        <v>3645</v>
      </c>
      <c r="B1331" t="s">
        <v>13</v>
      </c>
      <c r="C1331" t="s">
        <v>1644</v>
      </c>
      <c r="D1331" t="s">
        <v>23</v>
      </c>
      <c r="E1331">
        <v>27</v>
      </c>
      <c r="F1331" t="s">
        <v>406</v>
      </c>
      <c r="G1331" t="s">
        <v>170</v>
      </c>
      <c r="H1331" t="s">
        <v>3646</v>
      </c>
      <c r="I1331" s="1" t="d">
        <v>2019-05-11</v>
      </c>
      <c r="J1331" t="s">
        <v>3647</v>
      </c>
      <c r="K1331" s="17" t="s">
        <v>90</v>
      </c>
      <c r="L1331">
        <v>4</v>
      </c>
    </row>
    <row r="1332" spans="1:12" x14ac:dyDescent="0.25">
      <c r="A1332" t="s">
        <v>3648</v>
      </c>
      <c r="B1332" t="s">
        <v>410</v>
      </c>
      <c r="C1332" t="s">
        <v>747</v>
      </c>
      <c r="D1332" t="s">
        <v>23</v>
      </c>
      <c r="E1332">
        <v>29</v>
      </c>
      <c r="F1332" t="s">
        <v>411</v>
      </c>
      <c r="G1332" t="s">
        <v>16</v>
      </c>
      <c r="H1332" t="s">
        <v>3649</v>
      </c>
      <c r="I1332" s="1" t="d">
        <v>2014-01-27</v>
      </c>
      <c r="J1332" t="s">
        <v>271</v>
      </c>
      <c r="K1332" s="17" t="s">
        <v>90</v>
      </c>
      <c r="L1332">
        <v>3</v>
      </c>
    </row>
    <row r="1333" spans="1:12" x14ac:dyDescent="0.25">
      <c r="A1333" t="s">
        <v>3650</v>
      </c>
      <c r="B1333" t="s">
        <v>29</v>
      </c>
      <c r="C1333" t="s">
        <v>195</v>
      </c>
      <c r="D1333" t="s">
        <v>23</v>
      </c>
      <c r="E1333">
        <v>38</v>
      </c>
      <c r="G1333" t="s">
        <v>1866</v>
      </c>
      <c r="H1333">
        <v>77953</v>
      </c>
      <c r="J1333" t="s">
        <v>489</v>
      </c>
      <c r="K1333" s="17" t="s">
        <v>27</v>
      </c>
      <c r="L1333">
        <v>2</v>
      </c>
    </row>
    <row r="1334" spans="1:12" x14ac:dyDescent="0.25">
      <c r="A1334" t="s">
        <v>3651</v>
      </c>
      <c r="B1334" t="s">
        <v>3652</v>
      </c>
      <c r="C1334" t="s">
        <v>3653</v>
      </c>
      <c r="D1334" t="s">
        <v>23</v>
      </c>
      <c r="E1334">
        <v>36</v>
      </c>
      <c r="F1334" t="s">
        <v>2998</v>
      </c>
      <c r="G1334" t="s">
        <v>82</v>
      </c>
      <c r="H1334" t="s">
        <v>3654</v>
      </c>
      <c r="I1334" s="1" t="d">
        <v>2009-02-16</v>
      </c>
      <c r="J1334" t="s">
        <v>3655</v>
      </c>
      <c r="K1334" s="17" t="s">
        <v>42</v>
      </c>
      <c r="L1334">
        <v>4</v>
      </c>
    </row>
    <row r="1335" spans="1:12" x14ac:dyDescent="0.25">
      <c r="A1335" t="s">
        <v>3656</v>
      </c>
      <c r="B1335" t="s">
        <v>1689</v>
      </c>
      <c r="C1335" t="s">
        <v>121</v>
      </c>
      <c r="D1335" t="s">
        <v>46</v>
      </c>
      <c r="E1335">
        <v>28</v>
      </c>
      <c r="F1335" t="s">
        <v>350</v>
      </c>
      <c r="G1335" t="s">
        <v>170</v>
      </c>
      <c r="H1335" t="s">
        <v>3657</v>
      </c>
      <c r="I1335" s="1" t="d">
        <v>2010-12-17</v>
      </c>
      <c r="J1335" t="s">
        <v>3658</v>
      </c>
      <c r="K1335" s="17" t="s">
        <v>184</v>
      </c>
      <c r="L1335">
        <v>3</v>
      </c>
    </row>
    <row r="1336" spans="1:12" x14ac:dyDescent="0.25">
      <c r="A1336" t="s">
        <v>3659</v>
      </c>
      <c r="B1336" t="s">
        <v>1350</v>
      </c>
      <c r="C1336" t="s">
        <v>145</v>
      </c>
      <c r="D1336" t="s">
        <v>23</v>
      </c>
      <c r="E1336">
        <v>35</v>
      </c>
      <c r="F1336" t="s">
        <v>1120</v>
      </c>
      <c r="G1336" t="s">
        <v>191</v>
      </c>
      <c r="H1336" t="s">
        <v>3660</v>
      </c>
      <c r="I1336" s="1" t="d">
        <v>2019-01-01</v>
      </c>
      <c r="J1336" t="s">
        <v>3661</v>
      </c>
      <c r="K1336" s="17" t="s">
        <v>370</v>
      </c>
      <c r="L1336">
        <v>4</v>
      </c>
    </row>
    <row r="1337" spans="1:12" x14ac:dyDescent="0.25">
      <c r="A1337" t="s">
        <v>3662</v>
      </c>
      <c r="B1337" t="s">
        <v>410</v>
      </c>
      <c r="C1337" t="s">
        <v>291</v>
      </c>
      <c r="D1337" t="s">
        <v>23</v>
      </c>
      <c r="E1337">
        <v>30</v>
      </c>
      <c r="F1337" t="s">
        <v>68</v>
      </c>
      <c r="G1337" t="s">
        <v>39</v>
      </c>
      <c r="I1337" s="1" t="d">
        <v>2016-11-07</v>
      </c>
      <c r="J1337" t="s">
        <v>2422</v>
      </c>
      <c r="K1337" s="17" t="s">
        <v>19</v>
      </c>
      <c r="L1337">
        <v>2</v>
      </c>
    </row>
    <row r="1338" spans="1:12" x14ac:dyDescent="0.25">
      <c r="A1338" t="s">
        <v>3663</v>
      </c>
      <c r="B1338" t="s">
        <v>44</v>
      </c>
      <c r="C1338" t="s">
        <v>790</v>
      </c>
      <c r="D1338" t="s">
        <v>23</v>
      </c>
      <c r="E1338">
        <v>54</v>
      </c>
      <c r="F1338" t="s">
        <v>68</v>
      </c>
      <c r="G1338" t="s">
        <v>39</v>
      </c>
      <c r="H1338" t="s">
        <v>3664</v>
      </c>
      <c r="I1338" s="1" t="d">
        <v>2015-10-26</v>
      </c>
      <c r="J1338" t="s">
        <v>3191</v>
      </c>
      <c r="K1338" s="17" t="s">
        <v>50</v>
      </c>
      <c r="L1338">
        <v>4</v>
      </c>
    </row>
    <row r="1339" spans="1:12" x14ac:dyDescent="0.25">
      <c r="A1339" t="s">
        <v>3665</v>
      </c>
      <c r="B1339" t="s">
        <v>1888</v>
      </c>
      <c r="C1339" t="s">
        <v>521</v>
      </c>
      <c r="D1339" t="s">
        <v>9527</v>
      </c>
      <c r="E1339">
        <v>42</v>
      </c>
      <c r="F1339" t="s">
        <v>258</v>
      </c>
      <c r="G1339" t="s">
        <v>48</v>
      </c>
      <c r="H1339" t="s">
        <v>3666</v>
      </c>
      <c r="J1339" t="s">
        <v>3667</v>
      </c>
      <c r="K1339" s="17" t="s">
        <v>118</v>
      </c>
      <c r="L1339">
        <v>3</v>
      </c>
    </row>
    <row r="1340" spans="1:12" x14ac:dyDescent="0.25">
      <c r="A1340" t="s">
        <v>3668</v>
      </c>
      <c r="B1340" t="s">
        <v>120</v>
      </c>
      <c r="C1340" t="s">
        <v>869</v>
      </c>
      <c r="D1340" t="s">
        <v>23</v>
      </c>
      <c r="E1340">
        <v>41</v>
      </c>
      <c r="G1340" t="s">
        <v>996</v>
      </c>
      <c r="H1340" s="2">
        <v>85685</v>
      </c>
      <c r="I1340" s="1" t="d">
        <v>2007-08-19</v>
      </c>
      <c r="J1340" t="s">
        <v>1549</v>
      </c>
      <c r="K1340" s="17" t="s">
        <v>42</v>
      </c>
      <c r="L1340">
        <v>4</v>
      </c>
    </row>
    <row r="1341" spans="1:12" x14ac:dyDescent="0.25">
      <c r="A1341" t="s">
        <v>3669</v>
      </c>
      <c r="B1341" t="s">
        <v>44</v>
      </c>
      <c r="C1341" t="s">
        <v>405</v>
      </c>
      <c r="D1341" t="s">
        <v>23</v>
      </c>
      <c r="E1341">
        <v>21</v>
      </c>
      <c r="F1341" t="s">
        <v>122</v>
      </c>
      <c r="G1341" t="s">
        <v>217</v>
      </c>
      <c r="I1341" s="1" t="d">
        <v>2016-11-17</v>
      </c>
      <c r="J1341" t="s">
        <v>3670</v>
      </c>
      <c r="K1341" s="17" t="s">
        <v>184</v>
      </c>
      <c r="L1341">
        <v>4</v>
      </c>
    </row>
    <row r="1342" spans="1:12" x14ac:dyDescent="0.25">
      <c r="A1342" t="s">
        <v>3671</v>
      </c>
      <c r="B1342" t="s">
        <v>410</v>
      </c>
      <c r="C1342" t="s">
        <v>474</v>
      </c>
      <c r="D1342" t="s">
        <v>46</v>
      </c>
      <c r="E1342">
        <v>45</v>
      </c>
      <c r="F1342" t="s">
        <v>81</v>
      </c>
      <c r="G1342" t="s">
        <v>217</v>
      </c>
      <c r="H1342" t="s">
        <v>3672</v>
      </c>
      <c r="I1342" s="1" t="d">
        <v>2020-10-10</v>
      </c>
      <c r="J1342" t="s">
        <v>1736</v>
      </c>
      <c r="K1342" s="17" t="s">
        <v>370</v>
      </c>
      <c r="L1342">
        <v>2</v>
      </c>
    </row>
    <row r="1343" spans="1:12" x14ac:dyDescent="0.25">
      <c r="A1343" t="s">
        <v>3673</v>
      </c>
      <c r="B1343" t="s">
        <v>394</v>
      </c>
      <c r="C1343" t="s">
        <v>988</v>
      </c>
      <c r="D1343" t="s">
        <v>23</v>
      </c>
      <c r="E1343">
        <v>30</v>
      </c>
      <c r="F1343" t="s">
        <v>31</v>
      </c>
      <c r="G1343" t="s">
        <v>177</v>
      </c>
      <c r="H1343" t="s">
        <v>3674</v>
      </c>
      <c r="I1343" s="1" t="d">
        <v>2006-12-27</v>
      </c>
      <c r="J1343" t="s">
        <v>3675</v>
      </c>
      <c r="K1343" s="17" t="s">
        <v>27</v>
      </c>
      <c r="L1343">
        <v>4</v>
      </c>
    </row>
    <row r="1344" spans="1:12" x14ac:dyDescent="0.25">
      <c r="A1344" t="s">
        <v>3676</v>
      </c>
      <c r="B1344" t="s">
        <v>311</v>
      </c>
      <c r="C1344" t="s">
        <v>1794</v>
      </c>
      <c r="D1344" t="s">
        <v>46</v>
      </c>
      <c r="E1344">
        <v>53</v>
      </c>
      <c r="F1344" t="s">
        <v>296</v>
      </c>
      <c r="G1344" t="s">
        <v>82</v>
      </c>
      <c r="H1344" s="2">
        <v>74222</v>
      </c>
      <c r="I1344" s="1" t="d">
        <v>2012-04-30</v>
      </c>
      <c r="J1344" t="s">
        <v>3677</v>
      </c>
      <c r="K1344" s="17" t="s">
        <v>149</v>
      </c>
      <c r="L1344">
        <v>4</v>
      </c>
    </row>
    <row r="1345" spans="1:12" x14ac:dyDescent="0.25">
      <c r="A1345" t="s">
        <v>3678</v>
      </c>
      <c r="B1345" t="s">
        <v>139</v>
      </c>
      <c r="C1345" t="s">
        <v>552</v>
      </c>
      <c r="D1345" t="s">
        <v>23</v>
      </c>
      <c r="E1345">
        <v>41</v>
      </c>
      <c r="F1345" t="s">
        <v>264</v>
      </c>
      <c r="G1345" t="s">
        <v>1866</v>
      </c>
      <c r="H1345">
        <v>99238</v>
      </c>
      <c r="I1345" s="1" t="d">
        <v>2006-06-09</v>
      </c>
      <c r="J1345" t="s">
        <v>3589</v>
      </c>
      <c r="K1345" s="17" t="s">
        <v>118</v>
      </c>
      <c r="L1345">
        <v>3</v>
      </c>
    </row>
    <row r="1346" spans="1:12" x14ac:dyDescent="0.25">
      <c r="A1346" t="s">
        <v>3679</v>
      </c>
      <c r="B1346" t="s">
        <v>773</v>
      </c>
      <c r="C1346" t="s">
        <v>168</v>
      </c>
      <c r="D1346" t="s">
        <v>9527</v>
      </c>
      <c r="E1346">
        <v>21</v>
      </c>
      <c r="F1346" t="s">
        <v>24</v>
      </c>
      <c r="G1346" t="s">
        <v>170</v>
      </c>
      <c r="H1346" t="s">
        <v>3680</v>
      </c>
      <c r="I1346" s="1" t="d">
        <v>2017-05-18</v>
      </c>
      <c r="J1346" t="s">
        <v>3325</v>
      </c>
      <c r="K1346" s="17" t="s">
        <v>19</v>
      </c>
      <c r="L1346">
        <v>4</v>
      </c>
    </row>
    <row r="1347" spans="1:12" x14ac:dyDescent="0.25">
      <c r="A1347" t="s">
        <v>3681</v>
      </c>
      <c r="B1347" t="s">
        <v>1399</v>
      </c>
      <c r="C1347" t="s">
        <v>1030</v>
      </c>
      <c r="D1347" t="s">
        <v>9527</v>
      </c>
      <c r="E1347">
        <v>45</v>
      </c>
      <c r="F1347" t="s">
        <v>365</v>
      </c>
      <c r="G1347" t="s">
        <v>297</v>
      </c>
      <c r="H1347" s="2">
        <v>82890</v>
      </c>
      <c r="I1347" s="1" t="d">
        <v>2007-12-16</v>
      </c>
      <c r="J1347" t="s">
        <v>3682</v>
      </c>
      <c r="K1347" s="17" t="s">
        <v>184</v>
      </c>
      <c r="L1347">
        <v>4</v>
      </c>
    </row>
    <row r="1348" spans="1:12" x14ac:dyDescent="0.25">
      <c r="A1348" t="s">
        <v>3683</v>
      </c>
      <c r="B1348" t="s">
        <v>364</v>
      </c>
      <c r="C1348" t="s">
        <v>1326</v>
      </c>
      <c r="D1348" t="s">
        <v>9527</v>
      </c>
      <c r="E1348">
        <v>50</v>
      </c>
      <c r="F1348" t="s">
        <v>238</v>
      </c>
      <c r="G1348" t="s">
        <v>357</v>
      </c>
      <c r="H1348" t="s">
        <v>3684</v>
      </c>
      <c r="I1348" s="1" t="d">
        <v>2022-01-29</v>
      </c>
      <c r="J1348" t="s">
        <v>70</v>
      </c>
      <c r="K1348" s="17" t="s">
        <v>184</v>
      </c>
      <c r="L1348">
        <v>3</v>
      </c>
    </row>
    <row r="1349" spans="1:12" x14ac:dyDescent="0.25">
      <c r="A1349" t="s">
        <v>3685</v>
      </c>
      <c r="B1349" t="s">
        <v>914</v>
      </c>
      <c r="C1349" t="s">
        <v>74</v>
      </c>
      <c r="D1349" t="s">
        <v>9527</v>
      </c>
      <c r="E1349">
        <v>36</v>
      </c>
      <c r="F1349" t="s">
        <v>645</v>
      </c>
      <c r="G1349" t="s">
        <v>82</v>
      </c>
      <c r="I1349" s="1" t="d">
        <v>2014-06-27</v>
      </c>
      <c r="J1349" t="s">
        <v>3686</v>
      </c>
      <c r="K1349" s="17" t="s">
        <v>50</v>
      </c>
      <c r="L1349">
        <v>3</v>
      </c>
    </row>
    <row r="1350" spans="1:12" x14ac:dyDescent="0.25">
      <c r="A1350" t="s">
        <v>3687</v>
      </c>
      <c r="B1350" t="s">
        <v>281</v>
      </c>
      <c r="C1350" t="s">
        <v>140</v>
      </c>
      <c r="D1350" t="s">
        <v>9527</v>
      </c>
      <c r="E1350">
        <v>30</v>
      </c>
      <c r="F1350" t="s">
        <v>238</v>
      </c>
      <c r="G1350" t="s">
        <v>283</v>
      </c>
      <c r="H1350">
        <v>125423</v>
      </c>
      <c r="I1350" s="1" t="d">
        <v>2017-12-29</v>
      </c>
      <c r="J1350" t="s">
        <v>1102</v>
      </c>
      <c r="K1350" s="17" t="s">
        <v>50</v>
      </c>
      <c r="L1350">
        <v>3</v>
      </c>
    </row>
    <row r="1351" spans="1:12" x14ac:dyDescent="0.25">
      <c r="A1351" t="s">
        <v>3688</v>
      </c>
      <c r="B1351" t="s">
        <v>841</v>
      </c>
      <c r="C1351" t="s">
        <v>535</v>
      </c>
      <c r="D1351" t="s">
        <v>46</v>
      </c>
      <c r="E1351">
        <v>46</v>
      </c>
      <c r="F1351" t="s">
        <v>350</v>
      </c>
      <c r="G1351" t="s">
        <v>170</v>
      </c>
      <c r="H1351" t="s">
        <v>3689</v>
      </c>
      <c r="I1351" s="1" t="d">
        <v>2008-04-30</v>
      </c>
      <c r="J1351" t="s">
        <v>316</v>
      </c>
      <c r="K1351" s="17" t="s">
        <v>90</v>
      </c>
      <c r="L1351">
        <v>1</v>
      </c>
    </row>
    <row r="1352" spans="1:12" x14ac:dyDescent="0.25">
      <c r="A1352" t="s">
        <v>2109</v>
      </c>
      <c r="B1352" t="s">
        <v>563</v>
      </c>
      <c r="C1352" t="s">
        <v>851</v>
      </c>
      <c r="D1352" t="s">
        <v>23</v>
      </c>
      <c r="E1352">
        <v>34</v>
      </c>
      <c r="F1352" t="s">
        <v>104</v>
      </c>
      <c r="G1352" t="s">
        <v>115</v>
      </c>
      <c r="H1352" t="s">
        <v>3690</v>
      </c>
      <c r="I1352" s="1" t="d">
        <v>2007-11-22</v>
      </c>
      <c r="J1352" t="s">
        <v>2110</v>
      </c>
      <c r="K1352" s="17" t="s">
        <v>90</v>
      </c>
      <c r="L1352">
        <v>3</v>
      </c>
    </row>
    <row r="1353" spans="1:12" x14ac:dyDescent="0.25">
      <c r="A1353" t="s">
        <v>3691</v>
      </c>
      <c r="B1353" t="s">
        <v>355</v>
      </c>
      <c r="C1353" t="s">
        <v>525</v>
      </c>
      <c r="D1353" t="s">
        <v>46</v>
      </c>
      <c r="E1353">
        <v>49</v>
      </c>
      <c r="G1353" t="s">
        <v>351</v>
      </c>
      <c r="H1353">
        <v>55748</v>
      </c>
      <c r="I1353" s="1" t="d">
        <v>2005-06-01</v>
      </c>
      <c r="J1353" t="s">
        <v>3692</v>
      </c>
      <c r="K1353" s="17" t="s">
        <v>100</v>
      </c>
      <c r="L1353">
        <v>4</v>
      </c>
    </row>
    <row r="1354" spans="1:12" x14ac:dyDescent="0.25">
      <c r="A1354" t="s">
        <v>3693</v>
      </c>
      <c r="B1354" t="s">
        <v>2856</v>
      </c>
      <c r="C1354" t="s">
        <v>3694</v>
      </c>
      <c r="D1354" t="s">
        <v>9527</v>
      </c>
      <c r="E1354">
        <v>38</v>
      </c>
      <c r="G1354" t="s">
        <v>337</v>
      </c>
      <c r="J1354" t="s">
        <v>510</v>
      </c>
      <c r="K1354" s="17" t="s">
        <v>184</v>
      </c>
      <c r="L1354">
        <v>3</v>
      </c>
    </row>
    <row r="1355" spans="1:12" x14ac:dyDescent="0.25">
      <c r="A1355" t="s">
        <v>3695</v>
      </c>
      <c r="B1355" t="s">
        <v>404</v>
      </c>
      <c r="C1355" t="s">
        <v>181</v>
      </c>
      <c r="D1355" t="s">
        <v>46</v>
      </c>
      <c r="E1355">
        <v>26</v>
      </c>
      <c r="F1355" t="s">
        <v>2065</v>
      </c>
      <c r="G1355" t="s">
        <v>115</v>
      </c>
      <c r="H1355">
        <v>100930</v>
      </c>
      <c r="I1355" s="1" t="d">
        <v>2014-03-06</v>
      </c>
      <c r="J1355" t="s">
        <v>2646</v>
      </c>
      <c r="K1355" s="17" t="s">
        <v>50</v>
      </c>
      <c r="L1355">
        <v>1</v>
      </c>
    </row>
    <row r="1356" spans="1:12" x14ac:dyDescent="0.25">
      <c r="A1356" t="s">
        <v>3696</v>
      </c>
      <c r="B1356" t="s">
        <v>670</v>
      </c>
      <c r="C1356" t="s">
        <v>386</v>
      </c>
      <c r="D1356" t="s">
        <v>9527</v>
      </c>
      <c r="E1356">
        <v>52</v>
      </c>
      <c r="G1356" t="s">
        <v>912</v>
      </c>
      <c r="I1356" s="1" t="d">
        <v>2009-12-26</v>
      </c>
      <c r="J1356" t="s">
        <v>3697</v>
      </c>
      <c r="K1356" s="17" t="s">
        <v>370</v>
      </c>
      <c r="L1356">
        <v>3</v>
      </c>
    </row>
    <row r="1357" spans="1:12" x14ac:dyDescent="0.25">
      <c r="A1357" t="s">
        <v>3698</v>
      </c>
      <c r="B1357" t="s">
        <v>1845</v>
      </c>
      <c r="C1357" t="s">
        <v>30</v>
      </c>
      <c r="D1357" t="s">
        <v>23</v>
      </c>
      <c r="E1357">
        <v>40</v>
      </c>
      <c r="F1357" t="s">
        <v>264</v>
      </c>
      <c r="G1357" t="s">
        <v>278</v>
      </c>
      <c r="I1357" s="1" t="d">
        <v>2017-10-25</v>
      </c>
      <c r="J1357" t="s">
        <v>1897</v>
      </c>
      <c r="K1357" s="17" t="s">
        <v>370</v>
      </c>
      <c r="L1357">
        <v>3</v>
      </c>
    </row>
    <row r="1358" spans="1:12" x14ac:dyDescent="0.25">
      <c r="A1358" t="s">
        <v>3699</v>
      </c>
      <c r="B1358" t="s">
        <v>340</v>
      </c>
      <c r="C1358" t="s">
        <v>847</v>
      </c>
      <c r="D1358" t="s">
        <v>23</v>
      </c>
      <c r="E1358">
        <v>48</v>
      </c>
      <c r="F1358" t="s">
        <v>350</v>
      </c>
      <c r="G1358" t="s">
        <v>55</v>
      </c>
      <c r="H1358" t="s">
        <v>3700</v>
      </c>
      <c r="I1358" s="1" t="d">
        <v>2011-04-19</v>
      </c>
      <c r="J1358" t="s">
        <v>1076</v>
      </c>
      <c r="K1358" s="17" t="s">
        <v>71</v>
      </c>
      <c r="L1358">
        <v>5</v>
      </c>
    </row>
    <row r="1359" spans="1:12" x14ac:dyDescent="0.25">
      <c r="A1359" t="s">
        <v>3701</v>
      </c>
      <c r="B1359" t="s">
        <v>520</v>
      </c>
      <c r="C1359" t="s">
        <v>3702</v>
      </c>
      <c r="D1359" t="s">
        <v>9527</v>
      </c>
      <c r="E1359">
        <v>32</v>
      </c>
      <c r="F1359" t="s">
        <v>373</v>
      </c>
      <c r="G1359" t="s">
        <v>39</v>
      </c>
      <c r="H1359">
        <v>93831</v>
      </c>
      <c r="I1359" s="1" t="d">
        <v>2022-11-15</v>
      </c>
      <c r="J1359" t="s">
        <v>1144</v>
      </c>
      <c r="K1359" s="17" t="s">
        <v>118</v>
      </c>
      <c r="L1359">
        <v>5</v>
      </c>
    </row>
    <row r="1360" spans="1:12" x14ac:dyDescent="0.25">
      <c r="A1360" t="s">
        <v>3703</v>
      </c>
      <c r="B1360" t="s">
        <v>21</v>
      </c>
      <c r="C1360" t="s">
        <v>1377</v>
      </c>
      <c r="D1360" t="s">
        <v>46</v>
      </c>
      <c r="E1360">
        <v>49</v>
      </c>
      <c r="G1360" t="s">
        <v>115</v>
      </c>
      <c r="H1360">
        <v>109052</v>
      </c>
      <c r="I1360" s="1" t="d">
        <v>2006-01-20</v>
      </c>
      <c r="J1360" t="s">
        <v>1489</v>
      </c>
      <c r="K1360" s="17" t="s">
        <v>370</v>
      </c>
      <c r="L1360">
        <v>5</v>
      </c>
    </row>
    <row r="1361" spans="1:12" x14ac:dyDescent="0.25">
      <c r="A1361" t="s">
        <v>3704</v>
      </c>
      <c r="B1361" t="s">
        <v>470</v>
      </c>
      <c r="C1361" t="s">
        <v>61</v>
      </c>
      <c r="D1361" t="s">
        <v>9527</v>
      </c>
      <c r="E1361">
        <v>49</v>
      </c>
      <c r="G1361" t="s">
        <v>283</v>
      </c>
      <c r="H1361" s="2">
        <v>167942</v>
      </c>
      <c r="J1361" t="s">
        <v>3705</v>
      </c>
      <c r="K1361" s="17" t="s">
        <v>207</v>
      </c>
      <c r="L1361">
        <v>4</v>
      </c>
    </row>
    <row r="1362" spans="1:12" x14ac:dyDescent="0.25">
      <c r="A1362" t="s">
        <v>3706</v>
      </c>
      <c r="B1362" t="s">
        <v>1181</v>
      </c>
      <c r="C1362" t="s">
        <v>1030</v>
      </c>
      <c r="D1362" t="s">
        <v>23</v>
      </c>
      <c r="E1362">
        <v>37</v>
      </c>
      <c r="F1362" t="s">
        <v>196</v>
      </c>
      <c r="G1362" t="s">
        <v>278</v>
      </c>
      <c r="H1362" s="2">
        <v>69713</v>
      </c>
      <c r="I1362" s="1" t="d">
        <v>2005-01-04</v>
      </c>
      <c r="J1362" t="s">
        <v>1118</v>
      </c>
      <c r="K1362" s="17" t="s">
        <v>118</v>
      </c>
      <c r="L1362">
        <v>3</v>
      </c>
    </row>
    <row r="1363" spans="1:12" x14ac:dyDescent="0.25">
      <c r="A1363" t="s">
        <v>3057</v>
      </c>
      <c r="B1363" t="s">
        <v>3058</v>
      </c>
      <c r="C1363" t="s">
        <v>631</v>
      </c>
      <c r="D1363" t="s">
        <v>9527</v>
      </c>
      <c r="E1363">
        <v>39</v>
      </c>
      <c r="G1363" t="s">
        <v>69</v>
      </c>
      <c r="H1363" s="2">
        <v>69312</v>
      </c>
      <c r="I1363" s="1" t="d">
        <v>2005-01-18</v>
      </c>
      <c r="J1363" t="s">
        <v>3059</v>
      </c>
      <c r="K1363" s="17" t="s">
        <v>58</v>
      </c>
      <c r="L1363">
        <v>1</v>
      </c>
    </row>
    <row r="1364" spans="1:12" x14ac:dyDescent="0.25">
      <c r="A1364" t="s">
        <v>3707</v>
      </c>
      <c r="B1364" t="s">
        <v>786</v>
      </c>
      <c r="C1364" t="s">
        <v>1039</v>
      </c>
      <c r="D1364" t="s">
        <v>23</v>
      </c>
      <c r="E1364">
        <v>39</v>
      </c>
      <c r="F1364" t="s">
        <v>406</v>
      </c>
      <c r="G1364" t="s">
        <v>69</v>
      </c>
      <c r="H1364" t="s">
        <v>3708</v>
      </c>
      <c r="I1364" s="1" t="d">
        <v>2016-05-23</v>
      </c>
      <c r="J1364" t="s">
        <v>3709</v>
      </c>
      <c r="K1364" s="17" t="s">
        <v>90</v>
      </c>
      <c r="L1364">
        <v>3</v>
      </c>
    </row>
    <row r="1365" spans="1:12" x14ac:dyDescent="0.25">
      <c r="A1365" t="s">
        <v>3710</v>
      </c>
      <c r="B1365" t="s">
        <v>1301</v>
      </c>
      <c r="C1365" t="s">
        <v>22</v>
      </c>
      <c r="D1365" t="s">
        <v>46</v>
      </c>
      <c r="E1365">
        <v>32</v>
      </c>
      <c r="F1365" t="s">
        <v>2937</v>
      </c>
      <c r="G1365" t="s">
        <v>182</v>
      </c>
      <c r="I1365" s="1" t="d">
        <v>2011-05-17</v>
      </c>
      <c r="J1365" t="s">
        <v>3052</v>
      </c>
      <c r="K1365" s="17" t="s">
        <v>100</v>
      </c>
      <c r="L1365">
        <v>5</v>
      </c>
    </row>
    <row r="1366" spans="1:12" x14ac:dyDescent="0.25">
      <c r="A1366" t="s">
        <v>3711</v>
      </c>
      <c r="B1366" t="s">
        <v>833</v>
      </c>
      <c r="C1366" t="s">
        <v>416</v>
      </c>
      <c r="D1366" t="s">
        <v>46</v>
      </c>
      <c r="E1366">
        <v>21</v>
      </c>
      <c r="F1366" t="s">
        <v>373</v>
      </c>
      <c r="G1366" t="s">
        <v>16</v>
      </c>
      <c r="H1366" s="2">
        <v>133161</v>
      </c>
      <c r="I1366" s="1" t="d">
        <v>2020-04-08</v>
      </c>
      <c r="J1366" t="s">
        <v>3712</v>
      </c>
      <c r="K1366" s="17" t="s">
        <v>118</v>
      </c>
      <c r="L1366">
        <v>3</v>
      </c>
    </row>
    <row r="1367" spans="1:12" x14ac:dyDescent="0.25">
      <c r="A1367" t="s">
        <v>3713</v>
      </c>
      <c r="B1367" t="s">
        <v>167</v>
      </c>
      <c r="C1367" t="s">
        <v>699</v>
      </c>
      <c r="D1367" t="s">
        <v>46</v>
      </c>
      <c r="E1367">
        <v>31</v>
      </c>
      <c r="F1367" t="s">
        <v>3280</v>
      </c>
      <c r="G1367" t="s">
        <v>147</v>
      </c>
      <c r="H1367" t="s">
        <v>3714</v>
      </c>
      <c r="I1367" s="1" t="d">
        <v>2012-09-17</v>
      </c>
      <c r="J1367" t="s">
        <v>1410</v>
      </c>
      <c r="K1367" s="17" t="s">
        <v>42</v>
      </c>
      <c r="L1367">
        <v>5</v>
      </c>
    </row>
    <row r="1368" spans="1:12" x14ac:dyDescent="0.25">
      <c r="A1368" t="s">
        <v>3715</v>
      </c>
      <c r="B1368" t="s">
        <v>906</v>
      </c>
      <c r="C1368" t="s">
        <v>291</v>
      </c>
      <c r="D1368" t="s">
        <v>46</v>
      </c>
      <c r="E1368">
        <v>35</v>
      </c>
      <c r="F1368" t="s">
        <v>649</v>
      </c>
      <c r="G1368" t="s">
        <v>3716</v>
      </c>
      <c r="H1368">
        <v>98325</v>
      </c>
      <c r="I1368" s="1" t="d">
        <v>2015-05-20</v>
      </c>
      <c r="J1368" t="s">
        <v>2073</v>
      </c>
      <c r="K1368" s="17" t="s">
        <v>71</v>
      </c>
      <c r="L1368">
        <v>3</v>
      </c>
    </row>
    <row r="1369" spans="1:12" x14ac:dyDescent="0.25">
      <c r="A1369" t="s">
        <v>3717</v>
      </c>
      <c r="B1369" t="s">
        <v>709</v>
      </c>
      <c r="C1369" t="s">
        <v>751</v>
      </c>
      <c r="D1369" t="s">
        <v>46</v>
      </c>
      <c r="E1369">
        <v>35</v>
      </c>
      <c r="F1369" t="s">
        <v>406</v>
      </c>
      <c r="G1369" t="s">
        <v>39</v>
      </c>
      <c r="I1369" s="1" t="d">
        <v>2009-01-02</v>
      </c>
      <c r="J1369" t="s">
        <v>713</v>
      </c>
      <c r="K1369" s="17" t="s">
        <v>184</v>
      </c>
      <c r="L1369">
        <v>4</v>
      </c>
    </row>
    <row r="1370" spans="1:12" x14ac:dyDescent="0.25">
      <c r="A1370" t="s">
        <v>3718</v>
      </c>
      <c r="B1370" t="s">
        <v>3719</v>
      </c>
      <c r="C1370" t="s">
        <v>1030</v>
      </c>
      <c r="D1370" t="s">
        <v>9527</v>
      </c>
      <c r="E1370">
        <v>46</v>
      </c>
      <c r="G1370" t="s">
        <v>131</v>
      </c>
      <c r="H1370" s="2">
        <v>74764</v>
      </c>
      <c r="I1370" s="1" t="d">
        <v>2018-03-19</v>
      </c>
      <c r="J1370" t="s">
        <v>347</v>
      </c>
      <c r="K1370" s="17" t="s">
        <v>42</v>
      </c>
      <c r="L1370">
        <v>4</v>
      </c>
    </row>
    <row r="1371" spans="1:12" x14ac:dyDescent="0.25">
      <c r="A1371" t="s">
        <v>3720</v>
      </c>
      <c r="B1371" t="s">
        <v>144</v>
      </c>
      <c r="C1371" t="s">
        <v>121</v>
      </c>
      <c r="D1371" t="s">
        <v>9527</v>
      </c>
      <c r="E1371">
        <v>40</v>
      </c>
      <c r="F1371" t="s">
        <v>406</v>
      </c>
      <c r="G1371" t="s">
        <v>39</v>
      </c>
      <c r="H1371">
        <v>41771</v>
      </c>
      <c r="I1371" s="1" t="d">
        <v>2007-10-04</v>
      </c>
      <c r="J1371" t="s">
        <v>2009</v>
      </c>
      <c r="K1371" s="17" t="s">
        <v>370</v>
      </c>
      <c r="L1371">
        <v>4</v>
      </c>
    </row>
    <row r="1372" spans="1:12" x14ac:dyDescent="0.25">
      <c r="A1372" t="s">
        <v>3721</v>
      </c>
      <c r="B1372" t="s">
        <v>507</v>
      </c>
      <c r="C1372" t="s">
        <v>739</v>
      </c>
      <c r="D1372" t="s">
        <v>9527</v>
      </c>
      <c r="E1372">
        <v>37</v>
      </c>
      <c r="F1372" t="s">
        <v>122</v>
      </c>
      <c r="G1372" t="s">
        <v>164</v>
      </c>
      <c r="H1372" s="2">
        <v>65072</v>
      </c>
      <c r="I1372" s="1" t="d">
        <v>2008-01-04</v>
      </c>
      <c r="J1372" t="s">
        <v>3722</v>
      </c>
      <c r="K1372" s="17" t="s">
        <v>207</v>
      </c>
      <c r="L1372">
        <v>3</v>
      </c>
    </row>
    <row r="1373" spans="1:12" x14ac:dyDescent="0.25">
      <c r="A1373" t="s">
        <v>3723</v>
      </c>
      <c r="B1373" t="s">
        <v>355</v>
      </c>
      <c r="C1373" t="s">
        <v>474</v>
      </c>
      <c r="D1373" t="s">
        <v>46</v>
      </c>
      <c r="E1373">
        <v>35</v>
      </c>
      <c r="F1373" t="s">
        <v>68</v>
      </c>
      <c r="G1373" t="s">
        <v>95</v>
      </c>
      <c r="H1373">
        <v>89425</v>
      </c>
      <c r="I1373" s="1" t="d">
        <v>2022-06-03</v>
      </c>
      <c r="J1373" t="s">
        <v>3724</v>
      </c>
      <c r="K1373" s="17" t="s">
        <v>42</v>
      </c>
      <c r="L1373">
        <v>5</v>
      </c>
    </row>
    <row r="1374" spans="1:12" x14ac:dyDescent="0.25">
      <c r="A1374" t="s">
        <v>3725</v>
      </c>
      <c r="B1374" t="s">
        <v>702</v>
      </c>
      <c r="C1374" t="s">
        <v>152</v>
      </c>
      <c r="D1374" t="s">
        <v>9527</v>
      </c>
      <c r="E1374">
        <v>30</v>
      </c>
      <c r="F1374" t="s">
        <v>576</v>
      </c>
      <c r="G1374" t="s">
        <v>69</v>
      </c>
      <c r="H1374" t="s">
        <v>3726</v>
      </c>
      <c r="I1374" s="1" t="d">
        <v>2017-12-30</v>
      </c>
      <c r="J1374" t="s">
        <v>3000</v>
      </c>
      <c r="K1374" s="17" t="s">
        <v>42</v>
      </c>
      <c r="L1374">
        <v>5</v>
      </c>
    </row>
    <row r="1375" spans="1:12" x14ac:dyDescent="0.25">
      <c r="A1375" t="s">
        <v>3727</v>
      </c>
      <c r="B1375" t="s">
        <v>394</v>
      </c>
      <c r="C1375" t="s">
        <v>2242</v>
      </c>
      <c r="D1375" t="s">
        <v>9527</v>
      </c>
      <c r="E1375">
        <v>37</v>
      </c>
      <c r="F1375" t="s">
        <v>296</v>
      </c>
      <c r="G1375" t="s">
        <v>337</v>
      </c>
      <c r="H1375">
        <v>75985</v>
      </c>
      <c r="I1375" s="1" t="d">
        <v>2005-09-14</v>
      </c>
      <c r="J1375" t="s">
        <v>3728</v>
      </c>
      <c r="K1375" s="17" t="s">
        <v>118</v>
      </c>
      <c r="L1375">
        <v>3</v>
      </c>
    </row>
    <row r="1376" spans="1:12" x14ac:dyDescent="0.25">
      <c r="A1376" t="s">
        <v>3729</v>
      </c>
      <c r="B1376" t="s">
        <v>862</v>
      </c>
      <c r="C1376" t="s">
        <v>830</v>
      </c>
      <c r="D1376" t="s">
        <v>9527</v>
      </c>
      <c r="E1376">
        <v>24</v>
      </c>
      <c r="F1376" t="s">
        <v>200</v>
      </c>
      <c r="G1376" t="s">
        <v>3277</v>
      </c>
      <c r="I1376" s="1" t="d">
        <v>2009-08-08</v>
      </c>
      <c r="J1376" t="s">
        <v>2164</v>
      </c>
      <c r="K1376" s="17" t="s">
        <v>184</v>
      </c>
      <c r="L1376">
        <v>4</v>
      </c>
    </row>
    <row r="1377" spans="1:12" x14ac:dyDescent="0.25">
      <c r="A1377" t="s">
        <v>3399</v>
      </c>
      <c r="B1377" t="s">
        <v>841</v>
      </c>
      <c r="C1377" t="s">
        <v>67</v>
      </c>
      <c r="D1377" t="s">
        <v>9527</v>
      </c>
      <c r="E1377">
        <v>26</v>
      </c>
      <c r="F1377" t="s">
        <v>62</v>
      </c>
      <c r="G1377" t="s">
        <v>3730</v>
      </c>
      <c r="H1377" s="2">
        <v>70119</v>
      </c>
      <c r="J1377" t="s">
        <v>1327</v>
      </c>
      <c r="K1377" s="17" t="s">
        <v>71</v>
      </c>
      <c r="L1377">
        <v>3</v>
      </c>
    </row>
    <row r="1378" spans="1:12" x14ac:dyDescent="0.25">
      <c r="A1378" t="s">
        <v>3731</v>
      </c>
      <c r="B1378" t="s">
        <v>21</v>
      </c>
      <c r="C1378" t="s">
        <v>386</v>
      </c>
      <c r="D1378" t="s">
        <v>46</v>
      </c>
      <c r="E1378">
        <v>41</v>
      </c>
      <c r="F1378" t="s">
        <v>2065</v>
      </c>
      <c r="G1378" t="s">
        <v>115</v>
      </c>
      <c r="H1378" s="2">
        <v>98255</v>
      </c>
      <c r="I1378" s="1" t="d">
        <v>2019-06-12</v>
      </c>
      <c r="J1378" t="s">
        <v>3732</v>
      </c>
      <c r="K1378" s="17" t="s">
        <v>149</v>
      </c>
      <c r="L1378">
        <v>4</v>
      </c>
    </row>
    <row r="1379" spans="1:12" x14ac:dyDescent="0.25">
      <c r="A1379" t="s">
        <v>3733</v>
      </c>
      <c r="B1379" t="s">
        <v>594</v>
      </c>
      <c r="C1379" t="s">
        <v>827</v>
      </c>
      <c r="D1379" t="s">
        <v>46</v>
      </c>
      <c r="E1379">
        <v>56</v>
      </c>
      <c r="F1379" t="s">
        <v>186</v>
      </c>
      <c r="G1379" t="s">
        <v>182</v>
      </c>
      <c r="H1379">
        <v>134789</v>
      </c>
      <c r="J1379" t="s">
        <v>3542</v>
      </c>
      <c r="K1379" s="17" t="s">
        <v>207</v>
      </c>
      <c r="L1379">
        <v>2</v>
      </c>
    </row>
    <row r="1380" spans="1:12" x14ac:dyDescent="0.25">
      <c r="A1380" t="s">
        <v>3734</v>
      </c>
      <c r="B1380" t="s">
        <v>323</v>
      </c>
      <c r="C1380" t="s">
        <v>1182</v>
      </c>
      <c r="D1380" t="s">
        <v>23</v>
      </c>
      <c r="E1380">
        <v>49</v>
      </c>
      <c r="F1380" t="s">
        <v>373</v>
      </c>
      <c r="G1380" t="s">
        <v>170</v>
      </c>
      <c r="H1380" t="s">
        <v>3735</v>
      </c>
      <c r="I1380" s="1" t="d">
        <v>2008-10-03</v>
      </c>
      <c r="J1380" t="s">
        <v>3736</v>
      </c>
      <c r="K1380" s="17" t="s">
        <v>207</v>
      </c>
      <c r="L1380">
        <v>5</v>
      </c>
    </row>
    <row r="1381" spans="1:12" x14ac:dyDescent="0.25">
      <c r="A1381" t="s">
        <v>3737</v>
      </c>
      <c r="B1381" t="s">
        <v>44</v>
      </c>
      <c r="C1381" t="s">
        <v>107</v>
      </c>
      <c r="D1381" t="s">
        <v>23</v>
      </c>
      <c r="E1381">
        <v>32</v>
      </c>
      <c r="F1381" t="s">
        <v>253</v>
      </c>
      <c r="G1381" t="s">
        <v>109</v>
      </c>
      <c r="I1381" s="1" t="d">
        <v>2008-09-05</v>
      </c>
      <c r="J1381" t="s">
        <v>3738</v>
      </c>
      <c r="K1381" s="17" t="s">
        <v>42</v>
      </c>
      <c r="L1381">
        <v>3</v>
      </c>
    </row>
    <row r="1382" spans="1:12" x14ac:dyDescent="0.25">
      <c r="A1382" t="s">
        <v>3739</v>
      </c>
      <c r="B1382" t="s">
        <v>262</v>
      </c>
      <c r="C1382" t="s">
        <v>805</v>
      </c>
      <c r="D1382" t="s">
        <v>9527</v>
      </c>
      <c r="E1382">
        <v>46</v>
      </c>
      <c r="F1382" t="s">
        <v>176</v>
      </c>
      <c r="G1382" t="s">
        <v>1121</v>
      </c>
      <c r="H1382" t="s">
        <v>3740</v>
      </c>
      <c r="I1382" s="1" t="d">
        <v>2009-09-23</v>
      </c>
      <c r="J1382" t="s">
        <v>1333</v>
      </c>
      <c r="K1382" s="17" t="s">
        <v>370</v>
      </c>
      <c r="L1382">
        <v>5</v>
      </c>
    </row>
    <row r="1383" spans="1:12" x14ac:dyDescent="0.25">
      <c r="A1383" t="s">
        <v>3741</v>
      </c>
      <c r="B1383" t="s">
        <v>1301</v>
      </c>
      <c r="C1383" t="s">
        <v>766</v>
      </c>
      <c r="D1383" t="s">
        <v>9527</v>
      </c>
      <c r="E1383">
        <v>21</v>
      </c>
      <c r="F1383" t="s">
        <v>47</v>
      </c>
      <c r="G1383" t="s">
        <v>177</v>
      </c>
      <c r="H1383" s="2">
        <v>45487</v>
      </c>
      <c r="I1383" s="1" t="d">
        <v>2018-07-15</v>
      </c>
      <c r="J1383" t="s">
        <v>1926</v>
      </c>
      <c r="K1383" s="17" t="s">
        <v>58</v>
      </c>
      <c r="L1383">
        <v>4</v>
      </c>
    </row>
    <row r="1384" spans="1:12" x14ac:dyDescent="0.25">
      <c r="A1384" t="s">
        <v>3742</v>
      </c>
      <c r="B1384" t="s">
        <v>3743</v>
      </c>
      <c r="C1384" t="s">
        <v>427</v>
      </c>
      <c r="D1384" t="s">
        <v>23</v>
      </c>
      <c r="E1384">
        <v>34</v>
      </c>
      <c r="F1384" t="s">
        <v>24</v>
      </c>
      <c r="G1384" t="s">
        <v>212</v>
      </c>
      <c r="H1384" t="s">
        <v>3744</v>
      </c>
      <c r="I1384" s="1" t="d">
        <v>2008-05-10</v>
      </c>
      <c r="J1384" t="s">
        <v>3745</v>
      </c>
      <c r="K1384" s="17" t="s">
        <v>118</v>
      </c>
      <c r="L1384">
        <v>4</v>
      </c>
    </row>
    <row r="1385" spans="1:12" x14ac:dyDescent="0.25">
      <c r="A1385" t="s">
        <v>3746</v>
      </c>
      <c r="B1385" t="s">
        <v>945</v>
      </c>
      <c r="C1385" t="s">
        <v>30</v>
      </c>
      <c r="D1385" t="s">
        <v>46</v>
      </c>
      <c r="E1385">
        <v>45</v>
      </c>
      <c r="F1385" t="s">
        <v>417</v>
      </c>
      <c r="G1385" t="s">
        <v>115</v>
      </c>
      <c r="H1385">
        <v>55547</v>
      </c>
      <c r="I1385" s="1" t="d">
        <v>2009-01-04</v>
      </c>
      <c r="J1385" t="s">
        <v>3747</v>
      </c>
      <c r="K1385" s="17" t="s">
        <v>207</v>
      </c>
      <c r="L1385">
        <v>3</v>
      </c>
    </row>
    <row r="1386" spans="1:12" x14ac:dyDescent="0.25">
      <c r="A1386" t="s">
        <v>3748</v>
      </c>
      <c r="B1386" t="s">
        <v>199</v>
      </c>
      <c r="C1386" t="s">
        <v>135</v>
      </c>
      <c r="D1386" t="s">
        <v>46</v>
      </c>
      <c r="E1386">
        <v>49</v>
      </c>
      <c r="F1386" t="s">
        <v>24</v>
      </c>
      <c r="G1386" t="s">
        <v>3730</v>
      </c>
      <c r="H1386" s="2">
        <v>85039</v>
      </c>
      <c r="I1386" s="1" t="d">
        <v>2022-01-04</v>
      </c>
      <c r="J1386" t="s">
        <v>1245</v>
      </c>
      <c r="K1386" s="17" t="s">
        <v>118</v>
      </c>
      <c r="L1386">
        <v>3</v>
      </c>
    </row>
    <row r="1387" spans="1:12" x14ac:dyDescent="0.25">
      <c r="A1387" t="s">
        <v>3749</v>
      </c>
      <c r="B1387" t="s">
        <v>826</v>
      </c>
      <c r="C1387" t="s">
        <v>763</v>
      </c>
      <c r="D1387" t="s">
        <v>23</v>
      </c>
      <c r="E1387">
        <v>37</v>
      </c>
      <c r="F1387" t="s">
        <v>559</v>
      </c>
      <c r="G1387" t="s">
        <v>191</v>
      </c>
      <c r="H1387" s="2">
        <v>89251</v>
      </c>
      <c r="I1387" s="1" t="d">
        <v>2008-05-17</v>
      </c>
      <c r="J1387" t="s">
        <v>3750</v>
      </c>
      <c r="K1387" s="17" t="s">
        <v>27</v>
      </c>
      <c r="L1387">
        <v>4</v>
      </c>
    </row>
    <row r="1388" spans="1:12" x14ac:dyDescent="0.25">
      <c r="A1388" t="s">
        <v>3751</v>
      </c>
      <c r="B1388" t="s">
        <v>548</v>
      </c>
      <c r="C1388" t="s">
        <v>225</v>
      </c>
      <c r="D1388" t="s">
        <v>46</v>
      </c>
      <c r="E1388">
        <v>21</v>
      </c>
      <c r="F1388" t="s">
        <v>190</v>
      </c>
      <c r="G1388" t="s">
        <v>159</v>
      </c>
      <c r="H1388" s="2">
        <v>51421</v>
      </c>
      <c r="I1388" s="1" t="d">
        <v>2009-02-08</v>
      </c>
      <c r="J1388" t="s">
        <v>2332</v>
      </c>
      <c r="K1388" s="17" t="s">
        <v>19</v>
      </c>
      <c r="L1388">
        <v>3</v>
      </c>
    </row>
    <row r="1389" spans="1:12" x14ac:dyDescent="0.25">
      <c r="A1389" t="s">
        <v>3752</v>
      </c>
      <c r="B1389" t="s">
        <v>507</v>
      </c>
      <c r="C1389" t="s">
        <v>291</v>
      </c>
      <c r="D1389" t="s">
        <v>23</v>
      </c>
      <c r="E1389">
        <v>44</v>
      </c>
      <c r="F1389" t="s">
        <v>2065</v>
      </c>
      <c r="G1389" t="s">
        <v>69</v>
      </c>
      <c r="H1389" s="2">
        <v>100001</v>
      </c>
      <c r="J1389" t="s">
        <v>2254</v>
      </c>
      <c r="K1389" s="17" t="s">
        <v>50</v>
      </c>
      <c r="L1389">
        <v>3</v>
      </c>
    </row>
    <row r="1390" spans="1:12" x14ac:dyDescent="0.25">
      <c r="A1390" t="s">
        <v>3753</v>
      </c>
      <c r="B1390" t="s">
        <v>3754</v>
      </c>
      <c r="C1390" t="s">
        <v>988</v>
      </c>
      <c r="D1390" t="s">
        <v>9527</v>
      </c>
      <c r="E1390">
        <v>49</v>
      </c>
      <c r="F1390" t="s">
        <v>589</v>
      </c>
      <c r="G1390" t="s">
        <v>88</v>
      </c>
      <c r="H1390">
        <v>62132</v>
      </c>
      <c r="I1390" s="1" t="d">
        <v>2023-11-01</v>
      </c>
      <c r="J1390" t="s">
        <v>3755</v>
      </c>
      <c r="K1390" s="17" t="s">
        <v>90</v>
      </c>
      <c r="L1390">
        <v>4</v>
      </c>
    </row>
    <row r="1391" spans="1:12" x14ac:dyDescent="0.25">
      <c r="A1391" t="s">
        <v>3756</v>
      </c>
      <c r="B1391" t="s">
        <v>728</v>
      </c>
      <c r="C1391" t="s">
        <v>2079</v>
      </c>
      <c r="D1391" t="s">
        <v>46</v>
      </c>
      <c r="E1391">
        <v>46</v>
      </c>
      <c r="F1391" t="s">
        <v>1699</v>
      </c>
      <c r="G1391" t="s">
        <v>3197</v>
      </c>
      <c r="H1391" s="2">
        <v>54835</v>
      </c>
      <c r="I1391" s="1" t="d">
        <v>2012-09-01</v>
      </c>
      <c r="J1391" t="s">
        <v>1084</v>
      </c>
      <c r="K1391" s="17" t="s">
        <v>100</v>
      </c>
      <c r="L1391">
        <v>3</v>
      </c>
    </row>
    <row r="1392" spans="1:12" x14ac:dyDescent="0.25">
      <c r="A1392" t="s">
        <v>3757</v>
      </c>
      <c r="B1392" t="s">
        <v>125</v>
      </c>
      <c r="C1392" t="s">
        <v>766</v>
      </c>
      <c r="D1392" t="s">
        <v>23</v>
      </c>
      <c r="E1392">
        <v>55</v>
      </c>
      <c r="F1392" t="s">
        <v>522</v>
      </c>
      <c r="G1392" t="s">
        <v>115</v>
      </c>
      <c r="I1392" s="1" t="d">
        <v>2008-05-17</v>
      </c>
      <c r="J1392" t="s">
        <v>1264</v>
      </c>
      <c r="K1392" s="17" t="s">
        <v>71</v>
      </c>
      <c r="L1392">
        <v>5</v>
      </c>
    </row>
    <row r="1393" spans="1:12" x14ac:dyDescent="0.25">
      <c r="A1393" t="s">
        <v>3758</v>
      </c>
      <c r="B1393" t="s">
        <v>79</v>
      </c>
      <c r="C1393" t="s">
        <v>121</v>
      </c>
      <c r="D1393" t="s">
        <v>23</v>
      </c>
      <c r="E1393">
        <v>49</v>
      </c>
      <c r="F1393" t="s">
        <v>196</v>
      </c>
      <c r="G1393" t="s">
        <v>2888</v>
      </c>
      <c r="H1393" t="s">
        <v>3759</v>
      </c>
      <c r="I1393" s="1" t="d">
        <v>2020-11-22</v>
      </c>
      <c r="J1393" t="s">
        <v>3760</v>
      </c>
      <c r="K1393" s="17" t="s">
        <v>50</v>
      </c>
      <c r="L1393">
        <v>5</v>
      </c>
    </row>
    <row r="1394" spans="1:12" x14ac:dyDescent="0.25">
      <c r="A1394" t="s">
        <v>3761</v>
      </c>
      <c r="B1394" t="s">
        <v>862</v>
      </c>
      <c r="C1394" t="s">
        <v>457</v>
      </c>
      <c r="D1394" t="s">
        <v>9527</v>
      </c>
      <c r="E1394">
        <v>35</v>
      </c>
      <c r="F1394" t="s">
        <v>576</v>
      </c>
      <c r="G1394" t="s">
        <v>217</v>
      </c>
      <c r="H1394">
        <v>136222</v>
      </c>
      <c r="I1394" s="1" t="d">
        <v>2023-07-30</v>
      </c>
      <c r="J1394" t="s">
        <v>3762</v>
      </c>
      <c r="K1394" s="17" t="s">
        <v>27</v>
      </c>
      <c r="L1394">
        <v>3</v>
      </c>
    </row>
    <row r="1395" spans="1:12" x14ac:dyDescent="0.25">
      <c r="A1395" t="s">
        <v>3763</v>
      </c>
      <c r="B1395" t="s">
        <v>3764</v>
      </c>
      <c r="C1395" t="s">
        <v>3765</v>
      </c>
      <c r="D1395" t="s">
        <v>9527</v>
      </c>
      <c r="E1395">
        <v>67</v>
      </c>
      <c r="F1395" t="s">
        <v>422</v>
      </c>
      <c r="G1395" t="s">
        <v>82</v>
      </c>
      <c r="H1395" t="s">
        <v>3766</v>
      </c>
      <c r="I1395" s="1" t="d">
        <v>2022-02-16</v>
      </c>
      <c r="J1395" t="s">
        <v>3767</v>
      </c>
      <c r="K1395" s="17" t="s">
        <v>370</v>
      </c>
      <c r="L1395">
        <v>3</v>
      </c>
    </row>
    <row r="1396" spans="1:12" x14ac:dyDescent="0.25">
      <c r="A1396" t="s">
        <v>3768</v>
      </c>
      <c r="B1396" t="s">
        <v>228</v>
      </c>
      <c r="C1396" t="s">
        <v>624</v>
      </c>
      <c r="D1396" t="s">
        <v>9527</v>
      </c>
      <c r="E1396">
        <v>27</v>
      </c>
      <c r="F1396" t="s">
        <v>589</v>
      </c>
      <c r="G1396" t="s">
        <v>182</v>
      </c>
      <c r="H1396" s="2">
        <v>84173</v>
      </c>
      <c r="I1396" s="1" t="d">
        <v>2013-07-20</v>
      </c>
      <c r="J1396" t="s">
        <v>1633</v>
      </c>
      <c r="K1396" s="17" t="s">
        <v>19</v>
      </c>
      <c r="L1396">
        <v>2</v>
      </c>
    </row>
    <row r="1397" spans="1:12" x14ac:dyDescent="0.25">
      <c r="A1397" t="s">
        <v>3769</v>
      </c>
      <c r="B1397" t="s">
        <v>439</v>
      </c>
      <c r="C1397" t="s">
        <v>181</v>
      </c>
      <c r="D1397" t="s">
        <v>23</v>
      </c>
      <c r="E1397">
        <v>44</v>
      </c>
      <c r="F1397" t="s">
        <v>238</v>
      </c>
      <c r="G1397" t="s">
        <v>170</v>
      </c>
      <c r="H1397">
        <v>46769</v>
      </c>
      <c r="I1397" s="1" t="d">
        <v>2008-06-13</v>
      </c>
      <c r="J1397" t="s">
        <v>1941</v>
      </c>
      <c r="K1397" s="17" t="s">
        <v>207</v>
      </c>
      <c r="L1397">
        <v>2</v>
      </c>
    </row>
    <row r="1398" spans="1:12" x14ac:dyDescent="0.25">
      <c r="A1398" t="s">
        <v>3770</v>
      </c>
      <c r="B1398" t="s">
        <v>1382</v>
      </c>
      <c r="C1398" t="s">
        <v>516</v>
      </c>
      <c r="D1398" t="s">
        <v>9527</v>
      </c>
      <c r="E1398">
        <v>39</v>
      </c>
      <c r="F1398" t="s">
        <v>114</v>
      </c>
      <c r="G1398" t="s">
        <v>55</v>
      </c>
      <c r="H1398" t="s">
        <v>3771</v>
      </c>
      <c r="I1398" s="1" t="d">
        <v>2019-01-26</v>
      </c>
      <c r="J1398" t="s">
        <v>2671</v>
      </c>
      <c r="K1398" s="17" t="s">
        <v>58</v>
      </c>
      <c r="L1398">
        <v>3</v>
      </c>
    </row>
    <row r="1399" spans="1:12" x14ac:dyDescent="0.25">
      <c r="A1399" t="s">
        <v>3772</v>
      </c>
      <c r="B1399" t="s">
        <v>1561</v>
      </c>
      <c r="C1399" t="s">
        <v>858</v>
      </c>
      <c r="D1399" t="s">
        <v>23</v>
      </c>
      <c r="E1399">
        <v>33</v>
      </c>
      <c r="F1399" t="s">
        <v>406</v>
      </c>
      <c r="G1399" t="s">
        <v>159</v>
      </c>
      <c r="H1399" t="s">
        <v>3773</v>
      </c>
      <c r="I1399" s="1" t="d">
        <v>2010-05-14</v>
      </c>
      <c r="J1399" t="s">
        <v>128</v>
      </c>
      <c r="K1399" s="17" t="s">
        <v>27</v>
      </c>
      <c r="L1399">
        <v>3</v>
      </c>
    </row>
    <row r="1400" spans="1:12" x14ac:dyDescent="0.25">
      <c r="A1400" t="s">
        <v>3774</v>
      </c>
      <c r="B1400" t="s">
        <v>993</v>
      </c>
      <c r="C1400" t="s">
        <v>252</v>
      </c>
      <c r="D1400" t="s">
        <v>23</v>
      </c>
      <c r="E1400">
        <v>38</v>
      </c>
      <c r="F1400" t="s">
        <v>522</v>
      </c>
      <c r="G1400" t="s">
        <v>82</v>
      </c>
      <c r="H1400" s="2">
        <v>79903</v>
      </c>
      <c r="I1400" s="1" t="d">
        <v>2017-09-21</v>
      </c>
      <c r="J1400" t="s">
        <v>2902</v>
      </c>
      <c r="K1400" s="17" t="s">
        <v>370</v>
      </c>
      <c r="L1400">
        <v>3</v>
      </c>
    </row>
    <row r="1401" spans="1:12" x14ac:dyDescent="0.25">
      <c r="A1401" t="s">
        <v>3775</v>
      </c>
      <c r="B1401" t="s">
        <v>659</v>
      </c>
      <c r="C1401" t="s">
        <v>858</v>
      </c>
      <c r="D1401" t="s">
        <v>46</v>
      </c>
      <c r="E1401">
        <v>33</v>
      </c>
      <c r="F1401" t="s">
        <v>238</v>
      </c>
      <c r="G1401" t="s">
        <v>842</v>
      </c>
      <c r="H1401" t="s">
        <v>3776</v>
      </c>
      <c r="I1401" s="1" t="d">
        <v>2008-06-15</v>
      </c>
      <c r="J1401" t="s">
        <v>3777</v>
      </c>
      <c r="K1401" s="17" t="s">
        <v>100</v>
      </c>
      <c r="L1401">
        <v>3</v>
      </c>
    </row>
    <row r="1402" spans="1:12" x14ac:dyDescent="0.25">
      <c r="A1402" t="s">
        <v>3778</v>
      </c>
      <c r="B1402" t="s">
        <v>583</v>
      </c>
      <c r="C1402" t="s">
        <v>710</v>
      </c>
      <c r="D1402" t="s">
        <v>46</v>
      </c>
      <c r="E1402">
        <v>40</v>
      </c>
      <c r="F1402" t="s">
        <v>200</v>
      </c>
      <c r="G1402" t="s">
        <v>82</v>
      </c>
      <c r="H1402" t="s">
        <v>3779</v>
      </c>
      <c r="I1402" s="1" t="d">
        <v>2017-04-18</v>
      </c>
      <c r="J1402" t="s">
        <v>3595</v>
      </c>
      <c r="K1402" s="17" t="s">
        <v>149</v>
      </c>
      <c r="L1402">
        <v>4</v>
      </c>
    </row>
    <row r="1403" spans="1:12" x14ac:dyDescent="0.25">
      <c r="A1403" t="s">
        <v>3780</v>
      </c>
      <c r="B1403" t="s">
        <v>267</v>
      </c>
      <c r="C1403" t="s">
        <v>3781</v>
      </c>
      <c r="D1403" t="s">
        <v>46</v>
      </c>
      <c r="E1403">
        <v>42</v>
      </c>
      <c r="F1403" t="s">
        <v>2065</v>
      </c>
      <c r="G1403" t="s">
        <v>39</v>
      </c>
      <c r="H1403" s="2">
        <v>90691</v>
      </c>
      <c r="I1403" s="1" t="d">
        <v>2008-09-01</v>
      </c>
      <c r="J1403" t="s">
        <v>3782</v>
      </c>
      <c r="K1403" s="17" t="s">
        <v>100</v>
      </c>
      <c r="L1403">
        <v>4</v>
      </c>
    </row>
    <row r="1404" spans="1:12" x14ac:dyDescent="0.25">
      <c r="A1404" t="s">
        <v>3783</v>
      </c>
      <c r="B1404" t="s">
        <v>21</v>
      </c>
      <c r="C1404" t="s">
        <v>483</v>
      </c>
      <c r="D1404" t="s">
        <v>46</v>
      </c>
      <c r="E1404">
        <v>53</v>
      </c>
      <c r="F1404" t="s">
        <v>522</v>
      </c>
      <c r="G1404" t="s">
        <v>1556</v>
      </c>
      <c r="H1404">
        <v>114431</v>
      </c>
      <c r="I1404" s="1" t="d">
        <v>2023-09-16</v>
      </c>
      <c r="J1404" t="s">
        <v>1022</v>
      </c>
      <c r="K1404" s="17" t="s">
        <v>42</v>
      </c>
      <c r="L1404">
        <v>3</v>
      </c>
    </row>
    <row r="1405" spans="1:12" x14ac:dyDescent="0.25">
      <c r="A1405" t="s">
        <v>3784</v>
      </c>
      <c r="B1405" t="s">
        <v>3785</v>
      </c>
      <c r="C1405" t="s">
        <v>135</v>
      </c>
      <c r="D1405" t="s">
        <v>46</v>
      </c>
      <c r="E1405">
        <v>35</v>
      </c>
      <c r="F1405" t="s">
        <v>146</v>
      </c>
      <c r="G1405" t="s">
        <v>177</v>
      </c>
      <c r="H1405" t="s">
        <v>3786</v>
      </c>
      <c r="I1405" s="1" t="d">
        <v>2024-12-02</v>
      </c>
      <c r="J1405" t="s">
        <v>3787</v>
      </c>
      <c r="K1405" s="17" t="s">
        <v>42</v>
      </c>
      <c r="L1405">
        <v>3</v>
      </c>
    </row>
    <row r="1406" spans="1:12" x14ac:dyDescent="0.25">
      <c r="A1406" t="s">
        <v>3788</v>
      </c>
      <c r="B1406" t="s">
        <v>2197</v>
      </c>
      <c r="C1406" t="s">
        <v>145</v>
      </c>
      <c r="D1406" t="s">
        <v>23</v>
      </c>
      <c r="E1406">
        <v>21</v>
      </c>
      <c r="F1406" t="s">
        <v>68</v>
      </c>
      <c r="G1406" t="s">
        <v>39</v>
      </c>
      <c r="H1406" t="s">
        <v>3789</v>
      </c>
      <c r="I1406" s="1" t="d">
        <v>2015-12-15</v>
      </c>
      <c r="J1406" t="s">
        <v>690</v>
      </c>
      <c r="K1406" s="17" t="s">
        <v>149</v>
      </c>
      <c r="L1406">
        <v>3</v>
      </c>
    </row>
    <row r="1407" spans="1:12" x14ac:dyDescent="0.25">
      <c r="A1407" t="s">
        <v>3790</v>
      </c>
      <c r="B1407" t="s">
        <v>404</v>
      </c>
      <c r="C1407" t="s">
        <v>1901</v>
      </c>
      <c r="D1407" t="s">
        <v>23</v>
      </c>
      <c r="E1407">
        <v>37</v>
      </c>
      <c r="F1407" t="s">
        <v>971</v>
      </c>
      <c r="G1407" t="s">
        <v>1199</v>
      </c>
      <c r="H1407" t="s">
        <v>3791</v>
      </c>
      <c r="J1407" t="s">
        <v>3792</v>
      </c>
      <c r="K1407" s="17" t="s">
        <v>118</v>
      </c>
      <c r="L1407">
        <v>3</v>
      </c>
    </row>
    <row r="1408" spans="1:12" x14ac:dyDescent="0.25">
      <c r="A1408" t="s">
        <v>3793</v>
      </c>
      <c r="B1408" t="s">
        <v>664</v>
      </c>
      <c r="C1408" t="s">
        <v>552</v>
      </c>
      <c r="D1408" t="s">
        <v>9527</v>
      </c>
      <c r="E1408">
        <v>35</v>
      </c>
      <c r="F1408" t="s">
        <v>3794</v>
      </c>
      <c r="G1408" t="s">
        <v>69</v>
      </c>
      <c r="H1408" t="s">
        <v>3795</v>
      </c>
      <c r="I1408" s="1" t="d">
        <v>2015-03-25</v>
      </c>
      <c r="J1408" t="s">
        <v>1816</v>
      </c>
      <c r="K1408" s="17" t="s">
        <v>207</v>
      </c>
      <c r="L1408">
        <v>3</v>
      </c>
    </row>
    <row r="1409" spans="1:12" x14ac:dyDescent="0.25">
      <c r="A1409" t="s">
        <v>3796</v>
      </c>
      <c r="B1409" t="s">
        <v>812</v>
      </c>
      <c r="C1409" t="s">
        <v>1248</v>
      </c>
      <c r="D1409" t="s">
        <v>9527</v>
      </c>
      <c r="E1409">
        <v>36</v>
      </c>
      <c r="G1409" t="s">
        <v>283</v>
      </c>
      <c r="I1409" s="1" t="d">
        <v>2021-02-14</v>
      </c>
      <c r="J1409" t="s">
        <v>513</v>
      </c>
      <c r="K1409" s="17" t="s">
        <v>118</v>
      </c>
      <c r="L1409">
        <v>3</v>
      </c>
    </row>
    <row r="1410" spans="1:12" x14ac:dyDescent="0.25">
      <c r="A1410" t="s">
        <v>3797</v>
      </c>
      <c r="B1410" t="s">
        <v>583</v>
      </c>
      <c r="C1410" t="s">
        <v>1384</v>
      </c>
      <c r="D1410" t="s">
        <v>9527</v>
      </c>
      <c r="E1410">
        <v>38</v>
      </c>
      <c r="F1410" t="s">
        <v>350</v>
      </c>
      <c r="G1410" t="s">
        <v>3798</v>
      </c>
      <c r="H1410" s="2">
        <v>123445</v>
      </c>
      <c r="I1410" s="1" t="d">
        <v>2022-07-31</v>
      </c>
      <c r="J1410" t="s">
        <v>1091</v>
      </c>
      <c r="K1410" s="17" t="s">
        <v>71</v>
      </c>
      <c r="L1410">
        <v>3</v>
      </c>
    </row>
    <row r="1411" spans="1:12" x14ac:dyDescent="0.25">
      <c r="A1411" t="s">
        <v>3799</v>
      </c>
      <c r="B1411" t="s">
        <v>66</v>
      </c>
      <c r="C1411" t="s">
        <v>699</v>
      </c>
      <c r="D1411" t="s">
        <v>46</v>
      </c>
      <c r="E1411">
        <v>26</v>
      </c>
      <c r="F1411" t="s">
        <v>978</v>
      </c>
      <c r="G1411" t="s">
        <v>3800</v>
      </c>
      <c r="H1411" t="s">
        <v>3801</v>
      </c>
      <c r="I1411" s="1" t="d">
        <v>2007-04-01</v>
      </c>
      <c r="J1411" t="s">
        <v>3802</v>
      </c>
      <c r="K1411" s="17" t="s">
        <v>42</v>
      </c>
      <c r="L1411">
        <v>3</v>
      </c>
    </row>
    <row r="1412" spans="1:12" x14ac:dyDescent="0.25">
      <c r="A1412" t="s">
        <v>3803</v>
      </c>
      <c r="B1412" t="s">
        <v>3515</v>
      </c>
      <c r="C1412" t="s">
        <v>1770</v>
      </c>
      <c r="D1412" t="s">
        <v>23</v>
      </c>
      <c r="E1412">
        <v>65</v>
      </c>
      <c r="F1412" t="s">
        <v>576</v>
      </c>
      <c r="G1412" t="s">
        <v>357</v>
      </c>
      <c r="H1412">
        <v>155773</v>
      </c>
      <c r="I1412" s="1" t="d">
        <v>2008-05-23</v>
      </c>
      <c r="J1412" t="s">
        <v>201</v>
      </c>
      <c r="K1412" s="17" t="s">
        <v>58</v>
      </c>
      <c r="L1412">
        <v>3</v>
      </c>
    </row>
    <row r="1413" spans="1:12" x14ac:dyDescent="0.25">
      <c r="A1413" t="s">
        <v>3804</v>
      </c>
      <c r="B1413" t="s">
        <v>102</v>
      </c>
      <c r="C1413" t="s">
        <v>3805</v>
      </c>
      <c r="D1413" t="s">
        <v>9527</v>
      </c>
      <c r="E1413">
        <v>33</v>
      </c>
      <c r="F1413" t="s">
        <v>978</v>
      </c>
      <c r="G1413" t="s">
        <v>217</v>
      </c>
      <c r="H1413" t="s">
        <v>3806</v>
      </c>
      <c r="I1413" s="1" t="d">
        <v>2018-09-26</v>
      </c>
      <c r="J1413" t="s">
        <v>2990</v>
      </c>
      <c r="K1413" s="17" t="s">
        <v>90</v>
      </c>
      <c r="L1413">
        <v>3</v>
      </c>
    </row>
    <row r="1414" spans="1:12" x14ac:dyDescent="0.25">
      <c r="A1414" t="s">
        <v>3807</v>
      </c>
      <c r="B1414" t="s">
        <v>102</v>
      </c>
      <c r="C1414" t="s">
        <v>3808</v>
      </c>
      <c r="D1414" t="s">
        <v>23</v>
      </c>
      <c r="E1414">
        <v>37</v>
      </c>
      <c r="F1414" t="s">
        <v>47</v>
      </c>
      <c r="G1414" t="s">
        <v>191</v>
      </c>
      <c r="H1414" t="s">
        <v>3809</v>
      </c>
      <c r="I1414" s="1" t="d">
        <v>2021-08-12</v>
      </c>
      <c r="J1414" t="s">
        <v>3045</v>
      </c>
      <c r="K1414" s="17" t="s">
        <v>19</v>
      </c>
      <c r="L1414">
        <v>4</v>
      </c>
    </row>
    <row r="1415" spans="1:12" x14ac:dyDescent="0.25">
      <c r="A1415" t="s">
        <v>3810</v>
      </c>
      <c r="B1415" t="s">
        <v>275</v>
      </c>
      <c r="C1415" t="s">
        <v>291</v>
      </c>
      <c r="D1415" t="s">
        <v>9527</v>
      </c>
      <c r="E1415">
        <v>42</v>
      </c>
      <c r="F1415" t="s">
        <v>277</v>
      </c>
      <c r="G1415" t="s">
        <v>115</v>
      </c>
      <c r="I1415" s="1" t="d">
        <v>2019-12-01</v>
      </c>
      <c r="J1415" t="s">
        <v>3811</v>
      </c>
      <c r="K1415" s="17" t="s">
        <v>370</v>
      </c>
      <c r="L1415">
        <v>3</v>
      </c>
    </row>
    <row r="1416" spans="1:12" x14ac:dyDescent="0.25">
      <c r="A1416" t="s">
        <v>3812</v>
      </c>
      <c r="B1416" t="s">
        <v>874</v>
      </c>
      <c r="C1416" t="s">
        <v>624</v>
      </c>
      <c r="D1416" t="s">
        <v>9527</v>
      </c>
      <c r="E1416">
        <v>45</v>
      </c>
      <c r="F1416" t="s">
        <v>918</v>
      </c>
      <c r="G1416" t="s">
        <v>39</v>
      </c>
      <c r="H1416">
        <v>73678</v>
      </c>
      <c r="I1416" s="1" t="d">
        <v>2012-06-06</v>
      </c>
      <c r="J1416" t="s">
        <v>3128</v>
      </c>
      <c r="K1416" s="17" t="s">
        <v>50</v>
      </c>
      <c r="L1416">
        <v>2</v>
      </c>
    </row>
    <row r="1417" spans="1:12" x14ac:dyDescent="0.25">
      <c r="A1417" t="s">
        <v>3813</v>
      </c>
      <c r="B1417" t="s">
        <v>901</v>
      </c>
      <c r="C1417" t="s">
        <v>631</v>
      </c>
      <c r="D1417" t="s">
        <v>9527</v>
      </c>
      <c r="E1417">
        <v>33</v>
      </c>
      <c r="F1417" t="s">
        <v>269</v>
      </c>
      <c r="G1417" t="s">
        <v>526</v>
      </c>
      <c r="H1417">
        <v>43680</v>
      </c>
      <c r="I1417" s="1" t="d">
        <v>2016-01-15</v>
      </c>
      <c r="J1417" t="s">
        <v>3814</v>
      </c>
      <c r="K1417" s="17" t="s">
        <v>19</v>
      </c>
      <c r="L1417">
        <v>4</v>
      </c>
    </row>
    <row r="1418" spans="1:12" x14ac:dyDescent="0.25">
      <c r="A1418" t="s">
        <v>3815</v>
      </c>
      <c r="B1418" t="s">
        <v>1512</v>
      </c>
      <c r="C1418" t="s">
        <v>1337</v>
      </c>
      <c r="D1418" t="s">
        <v>23</v>
      </c>
      <c r="E1418">
        <v>27</v>
      </c>
      <c r="F1418" t="s">
        <v>406</v>
      </c>
      <c r="G1418" t="s">
        <v>109</v>
      </c>
      <c r="H1418" t="s">
        <v>3816</v>
      </c>
      <c r="I1418" s="1" t="d">
        <v>2007-09-23</v>
      </c>
      <c r="J1418" t="s">
        <v>940</v>
      </c>
      <c r="K1418" s="17" t="s">
        <v>149</v>
      </c>
      <c r="L1418">
        <v>3</v>
      </c>
    </row>
    <row r="1419" spans="1:12" x14ac:dyDescent="0.25">
      <c r="A1419" t="s">
        <v>3817</v>
      </c>
      <c r="B1419" t="s">
        <v>2222</v>
      </c>
      <c r="C1419" t="s">
        <v>2242</v>
      </c>
      <c r="D1419" t="s">
        <v>9527</v>
      </c>
      <c r="E1419">
        <v>38</v>
      </c>
      <c r="F1419" t="s">
        <v>146</v>
      </c>
      <c r="G1419" t="s">
        <v>55</v>
      </c>
      <c r="H1419" t="s">
        <v>3818</v>
      </c>
      <c r="I1419" s="1" t="d">
        <v>2005-09-15</v>
      </c>
      <c r="J1419" t="s">
        <v>608</v>
      </c>
      <c r="K1419" s="17" t="s">
        <v>58</v>
      </c>
      <c r="L1419">
        <v>3</v>
      </c>
    </row>
    <row r="1420" spans="1:12" x14ac:dyDescent="0.25">
      <c r="A1420" t="s">
        <v>3819</v>
      </c>
      <c r="B1420" t="s">
        <v>323</v>
      </c>
      <c r="C1420" t="s">
        <v>3820</v>
      </c>
      <c r="D1420" t="s">
        <v>9527</v>
      </c>
      <c r="E1420">
        <v>40</v>
      </c>
      <c r="F1420" t="s">
        <v>2604</v>
      </c>
      <c r="G1420" t="s">
        <v>16</v>
      </c>
      <c r="H1420" s="2">
        <v>111204</v>
      </c>
      <c r="I1420" s="1" t="d">
        <v>2014-11-12</v>
      </c>
      <c r="J1420" t="s">
        <v>3821</v>
      </c>
      <c r="K1420" s="17" t="s">
        <v>100</v>
      </c>
      <c r="L1420">
        <v>3</v>
      </c>
    </row>
    <row r="1421" spans="1:12" x14ac:dyDescent="0.25">
      <c r="A1421" t="s">
        <v>3822</v>
      </c>
      <c r="B1421" t="s">
        <v>1689</v>
      </c>
      <c r="C1421" t="s">
        <v>1377</v>
      </c>
      <c r="D1421" t="s">
        <v>9527</v>
      </c>
      <c r="E1421">
        <v>42</v>
      </c>
      <c r="F1421" t="s">
        <v>3823</v>
      </c>
      <c r="G1421" t="s">
        <v>283</v>
      </c>
      <c r="H1421" t="s">
        <v>3824</v>
      </c>
      <c r="I1421" s="1" t="d">
        <v>2008-03-04</v>
      </c>
      <c r="J1421" t="s">
        <v>3825</v>
      </c>
      <c r="K1421" s="17" t="s">
        <v>19</v>
      </c>
      <c r="L1421">
        <v>2</v>
      </c>
    </row>
    <row r="1422" spans="1:12" x14ac:dyDescent="0.25">
      <c r="A1422" t="s">
        <v>3826</v>
      </c>
      <c r="B1422" t="s">
        <v>323</v>
      </c>
      <c r="C1422" t="s">
        <v>1487</v>
      </c>
      <c r="D1422" t="s">
        <v>9527</v>
      </c>
      <c r="E1422">
        <v>36</v>
      </c>
      <c r="F1422" t="s">
        <v>104</v>
      </c>
      <c r="G1422" t="s">
        <v>191</v>
      </c>
      <c r="H1422" s="2">
        <v>58058</v>
      </c>
      <c r="I1422" s="1" t="d">
        <v>2006-12-25</v>
      </c>
      <c r="J1422" t="s">
        <v>3827</v>
      </c>
      <c r="K1422" s="17" t="s">
        <v>50</v>
      </c>
      <c r="L1422">
        <v>2</v>
      </c>
    </row>
    <row r="1423" spans="1:12" x14ac:dyDescent="0.25">
      <c r="A1423" t="s">
        <v>3828</v>
      </c>
      <c r="B1423" t="s">
        <v>499</v>
      </c>
      <c r="C1423" t="s">
        <v>377</v>
      </c>
      <c r="D1423" t="s">
        <v>46</v>
      </c>
      <c r="E1423">
        <v>48</v>
      </c>
      <c r="F1423" t="s">
        <v>3829</v>
      </c>
      <c r="G1423" t="s">
        <v>526</v>
      </c>
      <c r="I1423" s="1" t="d">
        <v>2015-02-22</v>
      </c>
      <c r="J1423" t="s">
        <v>3830</v>
      </c>
      <c r="K1423" s="17" t="s">
        <v>58</v>
      </c>
      <c r="L1423">
        <v>3</v>
      </c>
    </row>
    <row r="1424" spans="1:12" x14ac:dyDescent="0.25">
      <c r="A1424" t="s">
        <v>3831</v>
      </c>
      <c r="B1424" t="s">
        <v>3832</v>
      </c>
      <c r="C1424" t="s">
        <v>189</v>
      </c>
      <c r="D1424" t="s">
        <v>46</v>
      </c>
      <c r="E1424">
        <v>24</v>
      </c>
      <c r="F1424" t="s">
        <v>406</v>
      </c>
      <c r="G1424" t="s">
        <v>82</v>
      </c>
      <c r="H1424">
        <v>38714</v>
      </c>
      <c r="I1424" s="1" t="d">
        <v>2023-10-25</v>
      </c>
      <c r="J1424" t="s">
        <v>1380</v>
      </c>
      <c r="K1424" s="17" t="s">
        <v>90</v>
      </c>
      <c r="L1424">
        <v>3</v>
      </c>
    </row>
    <row r="1425" spans="1:12" x14ac:dyDescent="0.25">
      <c r="A1425" t="s">
        <v>3833</v>
      </c>
      <c r="B1425" t="s">
        <v>1002</v>
      </c>
      <c r="C1425" t="s">
        <v>457</v>
      </c>
      <c r="D1425" t="s">
        <v>9527</v>
      </c>
      <c r="E1425">
        <v>55</v>
      </c>
      <c r="F1425" t="s">
        <v>146</v>
      </c>
      <c r="G1425" t="s">
        <v>407</v>
      </c>
      <c r="H1425" t="s">
        <v>3834</v>
      </c>
      <c r="I1425" s="1" t="d">
        <v>2008-10-29</v>
      </c>
      <c r="J1425" t="s">
        <v>3835</v>
      </c>
      <c r="K1425" s="17" t="s">
        <v>58</v>
      </c>
      <c r="L1425">
        <v>4</v>
      </c>
    </row>
    <row r="1426" spans="1:12" x14ac:dyDescent="0.25">
      <c r="A1426" t="s">
        <v>3836</v>
      </c>
      <c r="B1426" t="s">
        <v>482</v>
      </c>
      <c r="C1426" t="s">
        <v>1146</v>
      </c>
      <c r="D1426" t="s">
        <v>9527</v>
      </c>
      <c r="E1426">
        <v>38</v>
      </c>
      <c r="F1426" t="s">
        <v>522</v>
      </c>
      <c r="G1426" t="s">
        <v>996</v>
      </c>
      <c r="H1426" s="2">
        <v>201959</v>
      </c>
      <c r="J1426" t="s">
        <v>3220</v>
      </c>
      <c r="K1426" s="17" t="s">
        <v>50</v>
      </c>
      <c r="L1426">
        <v>4</v>
      </c>
    </row>
    <row r="1427" spans="1:12" x14ac:dyDescent="0.25">
      <c r="A1427" t="s">
        <v>3837</v>
      </c>
      <c r="B1427" t="s">
        <v>769</v>
      </c>
      <c r="C1427" t="s">
        <v>1770</v>
      </c>
      <c r="D1427" t="s">
        <v>46</v>
      </c>
      <c r="E1427">
        <v>24</v>
      </c>
      <c r="F1427" t="s">
        <v>47</v>
      </c>
      <c r="G1427" t="s">
        <v>212</v>
      </c>
      <c r="H1427">
        <v>57812</v>
      </c>
      <c r="I1427" s="1" t="d">
        <v>2009-05-14</v>
      </c>
      <c r="J1427" t="s">
        <v>3838</v>
      </c>
      <c r="K1427" s="17" t="s">
        <v>370</v>
      </c>
      <c r="L1427">
        <v>2</v>
      </c>
    </row>
    <row r="1428" spans="1:12" x14ac:dyDescent="0.25">
      <c r="A1428" t="s">
        <v>3839</v>
      </c>
      <c r="B1428" t="s">
        <v>728</v>
      </c>
      <c r="C1428" t="s">
        <v>477</v>
      </c>
      <c r="D1428" t="s">
        <v>46</v>
      </c>
      <c r="E1428">
        <v>37</v>
      </c>
      <c r="F1428" t="s">
        <v>522</v>
      </c>
      <c r="G1428" t="s">
        <v>191</v>
      </c>
      <c r="H1428">
        <v>79223</v>
      </c>
      <c r="I1428" s="1" t="d">
        <v>2014-01-22</v>
      </c>
      <c r="J1428" t="s">
        <v>3840</v>
      </c>
      <c r="K1428" s="17" t="s">
        <v>149</v>
      </c>
      <c r="L1428">
        <v>4</v>
      </c>
    </row>
    <row r="1429" spans="1:12" x14ac:dyDescent="0.25">
      <c r="A1429" t="s">
        <v>3841</v>
      </c>
      <c r="B1429" t="s">
        <v>2272</v>
      </c>
      <c r="C1429" t="s">
        <v>158</v>
      </c>
      <c r="D1429" t="s">
        <v>9527</v>
      </c>
      <c r="E1429">
        <v>24</v>
      </c>
      <c r="F1429" t="s">
        <v>3280</v>
      </c>
      <c r="G1429" t="s">
        <v>3243</v>
      </c>
      <c r="I1429" s="1" t="d">
        <v>2021-01-25</v>
      </c>
      <c r="J1429" t="s">
        <v>3842</v>
      </c>
      <c r="K1429" s="17" t="s">
        <v>90</v>
      </c>
      <c r="L1429">
        <v>2</v>
      </c>
    </row>
    <row r="1430" spans="1:12" x14ac:dyDescent="0.25">
      <c r="A1430" t="s">
        <v>3843</v>
      </c>
      <c r="B1430" t="s">
        <v>1399</v>
      </c>
      <c r="C1430" t="s">
        <v>318</v>
      </c>
      <c r="D1430" t="s">
        <v>46</v>
      </c>
      <c r="E1430">
        <v>24</v>
      </c>
      <c r="F1430" t="s">
        <v>190</v>
      </c>
      <c r="G1430" t="s">
        <v>39</v>
      </c>
      <c r="H1430" s="2">
        <v>54757</v>
      </c>
      <c r="I1430" s="1" t="d">
        <v>2023-02-09</v>
      </c>
      <c r="J1430" t="s">
        <v>3844</v>
      </c>
      <c r="K1430" s="17" t="s">
        <v>27</v>
      </c>
      <c r="L1430">
        <v>5</v>
      </c>
    </row>
    <row r="1431" spans="1:12" x14ac:dyDescent="0.25">
      <c r="A1431" t="s">
        <v>3845</v>
      </c>
      <c r="B1431" t="s">
        <v>262</v>
      </c>
      <c r="C1431" t="s">
        <v>381</v>
      </c>
      <c r="D1431" t="s">
        <v>46</v>
      </c>
      <c r="E1431">
        <v>40</v>
      </c>
      <c r="F1431" t="s">
        <v>169</v>
      </c>
      <c r="G1431" t="s">
        <v>217</v>
      </c>
      <c r="H1431">
        <v>77261</v>
      </c>
      <c r="J1431" t="s">
        <v>2223</v>
      </c>
      <c r="K1431" s="17" t="s">
        <v>50</v>
      </c>
      <c r="L1431">
        <v>5</v>
      </c>
    </row>
    <row r="1432" spans="1:12" x14ac:dyDescent="0.25">
      <c r="A1432" t="s">
        <v>3846</v>
      </c>
      <c r="B1432" t="s">
        <v>1842</v>
      </c>
      <c r="C1432" t="s">
        <v>3487</v>
      </c>
      <c r="D1432" t="s">
        <v>9527</v>
      </c>
      <c r="E1432">
        <v>33</v>
      </c>
      <c r="F1432" t="s">
        <v>153</v>
      </c>
      <c r="G1432" t="s">
        <v>458</v>
      </c>
      <c r="H1432" t="s">
        <v>3847</v>
      </c>
      <c r="I1432" s="1" t="d">
        <v>2020-05-17</v>
      </c>
      <c r="J1432" t="s">
        <v>820</v>
      </c>
      <c r="K1432" s="17" t="s">
        <v>370</v>
      </c>
      <c r="L1432">
        <v>4</v>
      </c>
    </row>
    <row r="1433" spans="1:12" x14ac:dyDescent="0.25">
      <c r="A1433" t="s">
        <v>3848</v>
      </c>
      <c r="B1433" t="s">
        <v>251</v>
      </c>
      <c r="C1433" t="s">
        <v>3849</v>
      </c>
      <c r="D1433" t="s">
        <v>9527</v>
      </c>
      <c r="E1433">
        <v>23</v>
      </c>
      <c r="F1433" t="s">
        <v>146</v>
      </c>
      <c r="G1433" t="s">
        <v>69</v>
      </c>
      <c r="I1433" s="1" t="d">
        <v>2006-04-14</v>
      </c>
      <c r="J1433" t="s">
        <v>3850</v>
      </c>
      <c r="K1433" s="17" t="s">
        <v>34</v>
      </c>
      <c r="L1433">
        <v>3</v>
      </c>
    </row>
    <row r="1434" spans="1:12" x14ac:dyDescent="0.25">
      <c r="A1434" t="s">
        <v>3851</v>
      </c>
      <c r="B1434" t="s">
        <v>3852</v>
      </c>
      <c r="C1434" t="s">
        <v>93</v>
      </c>
      <c r="D1434" t="s">
        <v>9527</v>
      </c>
      <c r="E1434">
        <v>36</v>
      </c>
      <c r="F1434" t="s">
        <v>146</v>
      </c>
      <c r="G1434" t="s">
        <v>407</v>
      </c>
      <c r="I1434" s="1" t="d">
        <v>2011-01-16</v>
      </c>
      <c r="J1434" t="s">
        <v>3853</v>
      </c>
      <c r="K1434" s="17" t="s">
        <v>42</v>
      </c>
      <c r="L1434">
        <v>5</v>
      </c>
    </row>
    <row r="1435" spans="1:12" x14ac:dyDescent="0.25">
      <c r="A1435" t="s">
        <v>3854</v>
      </c>
      <c r="B1435" t="s">
        <v>294</v>
      </c>
      <c r="C1435" t="s">
        <v>827</v>
      </c>
      <c r="D1435" t="s">
        <v>46</v>
      </c>
      <c r="E1435">
        <v>39</v>
      </c>
      <c r="F1435" t="s">
        <v>450</v>
      </c>
      <c r="G1435" t="s">
        <v>48</v>
      </c>
      <c r="H1435">
        <v>62724</v>
      </c>
      <c r="I1435" s="1" t="d">
        <v>2010-08-27</v>
      </c>
      <c r="J1435" t="s">
        <v>3855</v>
      </c>
      <c r="K1435" s="17" t="s">
        <v>27</v>
      </c>
      <c r="L1435">
        <v>4</v>
      </c>
    </row>
    <row r="1436" spans="1:12" x14ac:dyDescent="0.25">
      <c r="A1436" t="s">
        <v>3856</v>
      </c>
      <c r="B1436" t="s">
        <v>507</v>
      </c>
      <c r="C1436" t="s">
        <v>291</v>
      </c>
      <c r="D1436" t="s">
        <v>9527</v>
      </c>
      <c r="E1436">
        <v>29</v>
      </c>
      <c r="F1436" t="s">
        <v>258</v>
      </c>
      <c r="G1436" t="s">
        <v>526</v>
      </c>
      <c r="H1436">
        <v>47488</v>
      </c>
      <c r="I1436" s="1" t="d">
        <v>2015-08-06</v>
      </c>
      <c r="J1436" t="s">
        <v>2254</v>
      </c>
      <c r="K1436" s="17" t="s">
        <v>19</v>
      </c>
      <c r="L1436">
        <v>4</v>
      </c>
    </row>
    <row r="1437" spans="1:12" x14ac:dyDescent="0.25">
      <c r="A1437" t="s">
        <v>3857</v>
      </c>
      <c r="B1437" t="s">
        <v>936</v>
      </c>
      <c r="C1437" t="s">
        <v>988</v>
      </c>
      <c r="D1437" t="s">
        <v>23</v>
      </c>
      <c r="E1437">
        <v>44</v>
      </c>
      <c r="F1437" t="s">
        <v>230</v>
      </c>
      <c r="G1437" t="s">
        <v>141</v>
      </c>
      <c r="H1437">
        <v>66028</v>
      </c>
      <c r="J1437" t="s">
        <v>3858</v>
      </c>
      <c r="K1437" s="17" t="s">
        <v>370</v>
      </c>
      <c r="L1437">
        <v>3</v>
      </c>
    </row>
    <row r="1438" spans="1:12" x14ac:dyDescent="0.25">
      <c r="A1438" t="s">
        <v>1714</v>
      </c>
      <c r="B1438" t="s">
        <v>1715</v>
      </c>
      <c r="C1438" t="s">
        <v>1146</v>
      </c>
      <c r="D1438" t="s">
        <v>9527</v>
      </c>
      <c r="E1438">
        <v>29</v>
      </c>
      <c r="F1438" t="s">
        <v>1716</v>
      </c>
      <c r="G1438" t="s">
        <v>115</v>
      </c>
      <c r="H1438">
        <v>100747</v>
      </c>
      <c r="I1438" s="1" t="d">
        <v>2014-02-22</v>
      </c>
      <c r="J1438" t="s">
        <v>1717</v>
      </c>
      <c r="K1438" s="17" t="s">
        <v>34</v>
      </c>
      <c r="L1438">
        <v>3</v>
      </c>
    </row>
    <row r="1439" spans="1:12" x14ac:dyDescent="0.25">
      <c r="A1439" t="s">
        <v>3859</v>
      </c>
      <c r="B1439" t="s">
        <v>594</v>
      </c>
      <c r="C1439" t="s">
        <v>1657</v>
      </c>
      <c r="D1439" t="s">
        <v>23</v>
      </c>
      <c r="E1439">
        <v>45</v>
      </c>
      <c r="F1439" t="s">
        <v>3860</v>
      </c>
      <c r="G1439" t="s">
        <v>82</v>
      </c>
      <c r="H1439">
        <v>62400</v>
      </c>
      <c r="I1439" s="1" t="d">
        <v>2018-06-29</v>
      </c>
      <c r="J1439" t="s">
        <v>3861</v>
      </c>
      <c r="K1439" s="17" t="s">
        <v>184</v>
      </c>
      <c r="L1439">
        <v>3</v>
      </c>
    </row>
    <row r="1440" spans="1:12" x14ac:dyDescent="0.25">
      <c r="A1440" t="s">
        <v>3862</v>
      </c>
      <c r="B1440" t="s">
        <v>139</v>
      </c>
      <c r="C1440" t="s">
        <v>1356</v>
      </c>
      <c r="D1440" t="s">
        <v>46</v>
      </c>
      <c r="E1440">
        <v>26</v>
      </c>
      <c r="F1440" t="s">
        <v>153</v>
      </c>
      <c r="G1440" t="s">
        <v>63</v>
      </c>
      <c r="I1440" s="1" t="d">
        <v>2005-05-25</v>
      </c>
      <c r="J1440" t="s">
        <v>1278</v>
      </c>
      <c r="K1440" s="17" t="s">
        <v>90</v>
      </c>
      <c r="L1440">
        <v>5</v>
      </c>
    </row>
    <row r="1441" spans="1:12" x14ac:dyDescent="0.25">
      <c r="A1441" t="s">
        <v>3863</v>
      </c>
      <c r="B1441" t="s">
        <v>833</v>
      </c>
      <c r="C1441" t="s">
        <v>516</v>
      </c>
      <c r="D1441" t="s">
        <v>23</v>
      </c>
      <c r="E1441">
        <v>24</v>
      </c>
      <c r="F1441" t="s">
        <v>3864</v>
      </c>
      <c r="G1441" t="s">
        <v>177</v>
      </c>
      <c r="H1441" s="2">
        <v>62714</v>
      </c>
      <c r="I1441" s="1" t="d">
        <v>2012-11-05</v>
      </c>
      <c r="J1441" t="s">
        <v>2671</v>
      </c>
      <c r="K1441" s="17" t="s">
        <v>71</v>
      </c>
      <c r="L1441">
        <v>2</v>
      </c>
    </row>
    <row r="1442" spans="1:12" x14ac:dyDescent="0.25">
      <c r="A1442" t="s">
        <v>3865</v>
      </c>
      <c r="B1442" t="s">
        <v>1997</v>
      </c>
      <c r="C1442" t="s">
        <v>665</v>
      </c>
      <c r="D1442" t="s">
        <v>9527</v>
      </c>
      <c r="E1442">
        <v>46</v>
      </c>
      <c r="F1442" t="s">
        <v>2904</v>
      </c>
      <c r="G1442" t="s">
        <v>177</v>
      </c>
      <c r="H1442" t="s">
        <v>3866</v>
      </c>
      <c r="I1442" s="1" t="d">
        <v>2006-03-11</v>
      </c>
      <c r="J1442" t="s">
        <v>2250</v>
      </c>
      <c r="K1442" s="17" t="s">
        <v>19</v>
      </c>
      <c r="L1442">
        <v>4</v>
      </c>
    </row>
    <row r="1443" spans="1:12" x14ac:dyDescent="0.25">
      <c r="A1443" t="s">
        <v>3867</v>
      </c>
      <c r="B1443" t="s">
        <v>3868</v>
      </c>
      <c r="C1443" t="s">
        <v>3242</v>
      </c>
      <c r="D1443" t="s">
        <v>9527</v>
      </c>
      <c r="E1443">
        <v>57</v>
      </c>
      <c r="F1443" t="s">
        <v>230</v>
      </c>
      <c r="G1443" t="s">
        <v>39</v>
      </c>
      <c r="I1443" s="1" t="d">
        <v>2021-08-01</v>
      </c>
      <c r="J1443" t="s">
        <v>1633</v>
      </c>
      <c r="K1443" s="17" t="s">
        <v>90</v>
      </c>
      <c r="L1443">
        <v>5</v>
      </c>
    </row>
    <row r="1444" spans="1:12" x14ac:dyDescent="0.25">
      <c r="A1444" t="s">
        <v>3869</v>
      </c>
      <c r="B1444" t="s">
        <v>1706</v>
      </c>
      <c r="C1444" t="s">
        <v>291</v>
      </c>
      <c r="D1444" t="s">
        <v>46</v>
      </c>
      <c r="E1444">
        <v>55</v>
      </c>
      <c r="G1444" t="s">
        <v>1645</v>
      </c>
      <c r="H1444" t="s">
        <v>3870</v>
      </c>
      <c r="I1444" s="1" t="d">
        <v>2021-12-12</v>
      </c>
      <c r="J1444" t="s">
        <v>3871</v>
      </c>
      <c r="K1444" s="17" t="s">
        <v>27</v>
      </c>
      <c r="L1444">
        <v>3</v>
      </c>
    </row>
    <row r="1445" spans="1:12" x14ac:dyDescent="0.25">
      <c r="A1445" t="s">
        <v>3872</v>
      </c>
      <c r="B1445" t="s">
        <v>37</v>
      </c>
      <c r="C1445" t="s">
        <v>377</v>
      </c>
      <c r="D1445" t="s">
        <v>46</v>
      </c>
      <c r="E1445">
        <v>47</v>
      </c>
      <c r="F1445" t="s">
        <v>406</v>
      </c>
      <c r="G1445" t="s">
        <v>177</v>
      </c>
      <c r="H1445" t="s">
        <v>3873</v>
      </c>
      <c r="I1445" s="1" t="d">
        <v>2008-05-24</v>
      </c>
      <c r="J1445" t="s">
        <v>2995</v>
      </c>
      <c r="K1445" s="17" t="s">
        <v>207</v>
      </c>
      <c r="L1445">
        <v>4</v>
      </c>
    </row>
    <row r="1446" spans="1:12" x14ac:dyDescent="0.25">
      <c r="A1446" t="s">
        <v>3874</v>
      </c>
      <c r="B1446" t="s">
        <v>709</v>
      </c>
      <c r="C1446" t="s">
        <v>181</v>
      </c>
      <c r="D1446" t="s">
        <v>46</v>
      </c>
      <c r="E1446">
        <v>33</v>
      </c>
      <c r="F1446" t="s">
        <v>238</v>
      </c>
      <c r="G1446" t="s">
        <v>39</v>
      </c>
      <c r="H1446">
        <v>58028</v>
      </c>
      <c r="I1446" s="1" t="d">
        <v>2008-03-03</v>
      </c>
      <c r="J1446" t="s">
        <v>3875</v>
      </c>
      <c r="K1446" s="17" t="s">
        <v>71</v>
      </c>
      <c r="L1446">
        <v>2</v>
      </c>
    </row>
    <row r="1447" spans="1:12" x14ac:dyDescent="0.25">
      <c r="A1447" t="s">
        <v>3876</v>
      </c>
      <c r="B1447" t="s">
        <v>157</v>
      </c>
      <c r="C1447" t="s">
        <v>684</v>
      </c>
      <c r="D1447" t="s">
        <v>46</v>
      </c>
      <c r="E1447">
        <v>41</v>
      </c>
      <c r="F1447" t="s">
        <v>3794</v>
      </c>
      <c r="G1447" t="s">
        <v>3277</v>
      </c>
      <c r="H1447" t="s">
        <v>3877</v>
      </c>
      <c r="I1447" s="1" t="d">
        <v>2006-09-25</v>
      </c>
      <c r="J1447" t="s">
        <v>1890</v>
      </c>
      <c r="K1447" s="17" t="s">
        <v>90</v>
      </c>
      <c r="L1447">
        <v>3</v>
      </c>
    </row>
    <row r="1448" spans="1:12" x14ac:dyDescent="0.25">
      <c r="A1448" t="s">
        <v>3878</v>
      </c>
      <c r="B1448" t="s">
        <v>3879</v>
      </c>
      <c r="C1448" t="s">
        <v>699</v>
      </c>
      <c r="D1448" t="s">
        <v>46</v>
      </c>
      <c r="E1448">
        <v>63</v>
      </c>
      <c r="F1448" t="s">
        <v>264</v>
      </c>
      <c r="G1448" t="s">
        <v>1329</v>
      </c>
      <c r="H1448">
        <v>77645</v>
      </c>
      <c r="I1448" s="1" t="d">
        <v>2007-10-06</v>
      </c>
      <c r="J1448" t="s">
        <v>3880</v>
      </c>
      <c r="K1448" s="17" t="s">
        <v>370</v>
      </c>
      <c r="L1448">
        <v>4</v>
      </c>
    </row>
    <row r="1449" spans="1:12" x14ac:dyDescent="0.25">
      <c r="A1449" t="s">
        <v>3881</v>
      </c>
      <c r="B1449" t="s">
        <v>3882</v>
      </c>
      <c r="C1449" t="s">
        <v>158</v>
      </c>
      <c r="D1449" t="s">
        <v>9527</v>
      </c>
      <c r="E1449">
        <v>38</v>
      </c>
      <c r="F1449" t="s">
        <v>24</v>
      </c>
      <c r="G1449" t="s">
        <v>357</v>
      </c>
      <c r="H1449">
        <v>112204</v>
      </c>
      <c r="I1449" s="1" t="d">
        <v>2006-01-20</v>
      </c>
      <c r="J1449" t="s">
        <v>2293</v>
      </c>
      <c r="K1449" s="17" t="s">
        <v>370</v>
      </c>
      <c r="L1449">
        <v>3</v>
      </c>
    </row>
    <row r="1450" spans="1:12" x14ac:dyDescent="0.25">
      <c r="A1450" t="s">
        <v>3883</v>
      </c>
      <c r="B1450" t="s">
        <v>906</v>
      </c>
      <c r="C1450" t="s">
        <v>2231</v>
      </c>
      <c r="D1450" t="s">
        <v>23</v>
      </c>
      <c r="E1450">
        <v>40</v>
      </c>
      <c r="F1450" t="s">
        <v>3101</v>
      </c>
      <c r="G1450" t="s">
        <v>82</v>
      </c>
      <c r="H1450" t="s">
        <v>3884</v>
      </c>
      <c r="I1450" s="1" t="d">
        <v>2011-11-09</v>
      </c>
      <c r="J1450" t="s">
        <v>3885</v>
      </c>
      <c r="K1450" s="17" t="s">
        <v>27</v>
      </c>
      <c r="L1450">
        <v>1</v>
      </c>
    </row>
    <row r="1451" spans="1:12" x14ac:dyDescent="0.25">
      <c r="A1451" t="s">
        <v>3886</v>
      </c>
      <c r="B1451" t="s">
        <v>221</v>
      </c>
      <c r="C1451" t="s">
        <v>1146</v>
      </c>
      <c r="D1451" t="s">
        <v>23</v>
      </c>
      <c r="E1451">
        <v>45</v>
      </c>
      <c r="F1451" t="s">
        <v>146</v>
      </c>
      <c r="G1451" t="s">
        <v>842</v>
      </c>
      <c r="H1451" s="2">
        <v>158752</v>
      </c>
      <c r="J1451" t="s">
        <v>1985</v>
      </c>
      <c r="K1451" s="17" t="s">
        <v>184</v>
      </c>
      <c r="L1451">
        <v>3</v>
      </c>
    </row>
    <row r="1452" spans="1:12" x14ac:dyDescent="0.25">
      <c r="A1452" t="s">
        <v>3887</v>
      </c>
      <c r="B1452" t="s">
        <v>833</v>
      </c>
      <c r="C1452" t="s">
        <v>295</v>
      </c>
      <c r="D1452" t="s">
        <v>46</v>
      </c>
      <c r="E1452">
        <v>35</v>
      </c>
      <c r="F1452" t="s">
        <v>153</v>
      </c>
      <c r="G1452" t="s">
        <v>842</v>
      </c>
      <c r="H1452" t="s">
        <v>3888</v>
      </c>
      <c r="I1452" s="1" t="d">
        <v>2011-05-13</v>
      </c>
      <c r="J1452" t="s">
        <v>298</v>
      </c>
      <c r="K1452" s="17" t="s">
        <v>90</v>
      </c>
      <c r="L1452">
        <v>3</v>
      </c>
    </row>
    <row r="1453" spans="1:12" x14ac:dyDescent="0.25">
      <c r="A1453" t="s">
        <v>3889</v>
      </c>
      <c r="B1453" t="s">
        <v>355</v>
      </c>
      <c r="C1453" t="s">
        <v>1442</v>
      </c>
      <c r="D1453" t="s">
        <v>46</v>
      </c>
      <c r="E1453">
        <v>37</v>
      </c>
      <c r="F1453" t="s">
        <v>190</v>
      </c>
      <c r="G1453" t="s">
        <v>1329</v>
      </c>
      <c r="H1453" s="2">
        <v>43492</v>
      </c>
      <c r="I1453" s="1" t="d">
        <v>2011-05-09</v>
      </c>
      <c r="J1453" t="s">
        <v>2105</v>
      </c>
      <c r="K1453" s="17" t="s">
        <v>149</v>
      </c>
      <c r="L1453">
        <v>4</v>
      </c>
    </row>
    <row r="1454" spans="1:12" x14ac:dyDescent="0.25">
      <c r="A1454" t="s">
        <v>3890</v>
      </c>
      <c r="B1454" t="s">
        <v>130</v>
      </c>
      <c r="C1454" t="s">
        <v>30</v>
      </c>
      <c r="D1454" t="s">
        <v>46</v>
      </c>
      <c r="E1454">
        <v>42</v>
      </c>
      <c r="F1454" t="s">
        <v>373</v>
      </c>
      <c r="G1454" t="s">
        <v>423</v>
      </c>
      <c r="H1454" t="s">
        <v>3891</v>
      </c>
      <c r="I1454" s="1" t="d">
        <v>2021-10-26</v>
      </c>
      <c r="J1454" t="s">
        <v>3505</v>
      </c>
      <c r="K1454" s="17" t="s">
        <v>58</v>
      </c>
      <c r="L1454">
        <v>4</v>
      </c>
    </row>
    <row r="1455" spans="1:12" x14ac:dyDescent="0.25">
      <c r="A1455" t="s">
        <v>3892</v>
      </c>
      <c r="B1455" t="s">
        <v>1403</v>
      </c>
      <c r="C1455" t="s">
        <v>3097</v>
      </c>
      <c r="D1455" t="s">
        <v>9527</v>
      </c>
      <c r="E1455">
        <v>52</v>
      </c>
      <c r="G1455" t="s">
        <v>82</v>
      </c>
      <c r="H1455" s="2">
        <v>91612</v>
      </c>
      <c r="I1455" s="1" t="d">
        <v>2016-10-03</v>
      </c>
      <c r="J1455" t="s">
        <v>3893</v>
      </c>
      <c r="K1455" s="17" t="s">
        <v>42</v>
      </c>
      <c r="L1455">
        <v>5</v>
      </c>
    </row>
    <row r="1456" spans="1:12" x14ac:dyDescent="0.25">
      <c r="A1456" t="s">
        <v>3894</v>
      </c>
      <c r="B1456" t="s">
        <v>936</v>
      </c>
      <c r="C1456" t="s">
        <v>1052</v>
      </c>
      <c r="D1456" t="s">
        <v>23</v>
      </c>
      <c r="E1456">
        <v>42</v>
      </c>
      <c r="G1456" t="s">
        <v>278</v>
      </c>
      <c r="I1456" s="1" t="d">
        <v>2014-04-05</v>
      </c>
      <c r="J1456" t="s">
        <v>3431</v>
      </c>
      <c r="K1456" s="17" t="s">
        <v>207</v>
      </c>
      <c r="L1456">
        <v>3</v>
      </c>
    </row>
    <row r="1457" spans="1:12" x14ac:dyDescent="0.25">
      <c r="A1457" t="s">
        <v>3895</v>
      </c>
      <c r="B1457" t="s">
        <v>482</v>
      </c>
      <c r="C1457" t="s">
        <v>1463</v>
      </c>
      <c r="D1457" t="s">
        <v>23</v>
      </c>
      <c r="E1457">
        <v>42</v>
      </c>
      <c r="F1457" t="s">
        <v>253</v>
      </c>
      <c r="G1457" t="s">
        <v>63</v>
      </c>
      <c r="H1457" t="s">
        <v>3896</v>
      </c>
      <c r="I1457" s="1" t="d">
        <v>2022-12-10</v>
      </c>
      <c r="J1457" t="s">
        <v>3897</v>
      </c>
      <c r="K1457" s="17" t="s">
        <v>118</v>
      </c>
      <c r="L1457">
        <v>3</v>
      </c>
    </row>
    <row r="1458" spans="1:12" x14ac:dyDescent="0.25">
      <c r="A1458" t="s">
        <v>3898</v>
      </c>
      <c r="B1458" t="s">
        <v>157</v>
      </c>
      <c r="C1458" t="s">
        <v>121</v>
      </c>
      <c r="D1458" t="s">
        <v>46</v>
      </c>
      <c r="E1458">
        <v>46</v>
      </c>
      <c r="F1458" t="s">
        <v>589</v>
      </c>
      <c r="G1458" t="s">
        <v>16</v>
      </c>
      <c r="H1458" t="s">
        <v>3899</v>
      </c>
      <c r="I1458" s="1" t="d">
        <v>2008-10-20</v>
      </c>
      <c r="J1458" t="s">
        <v>3900</v>
      </c>
      <c r="K1458" s="17" t="s">
        <v>90</v>
      </c>
      <c r="L1458">
        <v>3</v>
      </c>
    </row>
    <row r="1459" spans="1:12" x14ac:dyDescent="0.25">
      <c r="A1459" t="s">
        <v>3901</v>
      </c>
      <c r="B1459" t="s">
        <v>1241</v>
      </c>
      <c r="C1459" t="s">
        <v>1576</v>
      </c>
      <c r="D1459" t="s">
        <v>23</v>
      </c>
      <c r="E1459">
        <v>51</v>
      </c>
      <c r="F1459" t="s">
        <v>245</v>
      </c>
      <c r="G1459" t="s">
        <v>82</v>
      </c>
      <c r="H1459" t="s">
        <v>3902</v>
      </c>
      <c r="I1459" s="1" t="d">
        <v>2015-05-04</v>
      </c>
      <c r="J1459" t="s">
        <v>3762</v>
      </c>
      <c r="K1459" s="17" t="s">
        <v>370</v>
      </c>
      <c r="L1459">
        <v>3</v>
      </c>
    </row>
    <row r="1460" spans="1:12" x14ac:dyDescent="0.25">
      <c r="A1460" t="s">
        <v>3903</v>
      </c>
      <c r="B1460" t="s">
        <v>901</v>
      </c>
      <c r="C1460" t="s">
        <v>1055</v>
      </c>
      <c r="D1460" t="s">
        <v>46</v>
      </c>
      <c r="E1460">
        <v>31</v>
      </c>
      <c r="F1460" t="s">
        <v>559</v>
      </c>
      <c r="G1460" t="s">
        <v>82</v>
      </c>
      <c r="I1460" s="1" t="d">
        <v>2019-12-09</v>
      </c>
      <c r="J1460" t="s">
        <v>991</v>
      </c>
      <c r="K1460" s="17" t="s">
        <v>207</v>
      </c>
      <c r="L1460">
        <v>4</v>
      </c>
    </row>
    <row r="1461" spans="1:12" x14ac:dyDescent="0.25">
      <c r="A1461" t="s">
        <v>3904</v>
      </c>
      <c r="B1461" t="s">
        <v>311</v>
      </c>
      <c r="C1461" t="s">
        <v>237</v>
      </c>
      <c r="D1461" t="s">
        <v>46</v>
      </c>
      <c r="E1461">
        <v>35</v>
      </c>
      <c r="F1461" t="s">
        <v>859</v>
      </c>
      <c r="G1461" t="s">
        <v>127</v>
      </c>
      <c r="H1461" t="s">
        <v>3905</v>
      </c>
      <c r="I1461" s="1" t="d">
        <v>2011-11-09</v>
      </c>
      <c r="J1461" t="s">
        <v>3906</v>
      </c>
      <c r="K1461" s="17" t="s">
        <v>42</v>
      </c>
      <c r="L1461">
        <v>3</v>
      </c>
    </row>
    <row r="1462" spans="1:12" x14ac:dyDescent="0.25">
      <c r="A1462" t="s">
        <v>3907</v>
      </c>
      <c r="B1462" t="s">
        <v>1842</v>
      </c>
      <c r="C1462" t="s">
        <v>1146</v>
      </c>
      <c r="D1462" t="s">
        <v>23</v>
      </c>
      <c r="E1462">
        <v>21</v>
      </c>
      <c r="F1462" t="s">
        <v>576</v>
      </c>
      <c r="G1462" t="s">
        <v>82</v>
      </c>
      <c r="I1462" s="1" t="d">
        <v>2023-11-21</v>
      </c>
      <c r="J1462" t="s">
        <v>1928</v>
      </c>
      <c r="K1462" s="17" t="s">
        <v>27</v>
      </c>
      <c r="L1462">
        <v>3</v>
      </c>
    </row>
    <row r="1463" spans="1:12" x14ac:dyDescent="0.25">
      <c r="A1463" t="s">
        <v>3908</v>
      </c>
      <c r="B1463" t="s">
        <v>670</v>
      </c>
      <c r="C1463" t="s">
        <v>145</v>
      </c>
      <c r="D1463" t="s">
        <v>46</v>
      </c>
      <c r="E1463">
        <v>33</v>
      </c>
      <c r="F1463" t="s">
        <v>576</v>
      </c>
      <c r="G1463" t="s">
        <v>283</v>
      </c>
      <c r="H1463" t="s">
        <v>3909</v>
      </c>
      <c r="I1463" s="1" t="d">
        <v>2024-11-18</v>
      </c>
      <c r="J1463" t="s">
        <v>1439</v>
      </c>
      <c r="K1463" s="17" t="s">
        <v>71</v>
      </c>
      <c r="L1463">
        <v>3</v>
      </c>
    </row>
    <row r="1464" spans="1:12" x14ac:dyDescent="0.25">
      <c r="A1464" t="s">
        <v>3910</v>
      </c>
      <c r="B1464" t="s">
        <v>841</v>
      </c>
      <c r="C1464" t="s">
        <v>3075</v>
      </c>
      <c r="D1464" t="s">
        <v>23</v>
      </c>
      <c r="E1464">
        <v>36</v>
      </c>
      <c r="F1464" t="s">
        <v>666</v>
      </c>
      <c r="G1464" t="s">
        <v>1446</v>
      </c>
      <c r="H1464">
        <v>70026</v>
      </c>
      <c r="I1464" s="1" t="d">
        <v>2008-12-05</v>
      </c>
      <c r="J1464" t="s">
        <v>2766</v>
      </c>
      <c r="K1464" s="17" t="s">
        <v>42</v>
      </c>
      <c r="L1464">
        <v>5</v>
      </c>
    </row>
    <row r="1465" spans="1:12" x14ac:dyDescent="0.25">
      <c r="A1465" t="s">
        <v>3911</v>
      </c>
      <c r="B1465" t="s">
        <v>936</v>
      </c>
      <c r="C1465" t="s">
        <v>140</v>
      </c>
      <c r="D1465" t="s">
        <v>9527</v>
      </c>
      <c r="E1465">
        <v>31</v>
      </c>
      <c r="F1465" t="s">
        <v>253</v>
      </c>
      <c r="G1465" t="s">
        <v>82</v>
      </c>
      <c r="H1465" t="s">
        <v>3912</v>
      </c>
      <c r="I1465" s="1" t="d">
        <v>2024-05-01</v>
      </c>
      <c r="J1465" t="s">
        <v>1037</v>
      </c>
      <c r="K1465" s="17" t="s">
        <v>27</v>
      </c>
      <c r="L1465">
        <v>3</v>
      </c>
    </row>
    <row r="1466" spans="1:12" x14ac:dyDescent="0.25">
      <c r="A1466" t="s">
        <v>3913</v>
      </c>
      <c r="B1466" t="s">
        <v>3914</v>
      </c>
      <c r="C1466" t="s">
        <v>80</v>
      </c>
      <c r="D1466" t="s">
        <v>9527</v>
      </c>
      <c r="E1466">
        <v>40</v>
      </c>
      <c r="F1466" t="s">
        <v>373</v>
      </c>
      <c r="G1466" t="s">
        <v>170</v>
      </c>
      <c r="I1466" s="1" t="d">
        <v>2010-09-27</v>
      </c>
      <c r="J1466" t="s">
        <v>3915</v>
      </c>
      <c r="K1466" s="17" t="s">
        <v>118</v>
      </c>
      <c r="L1466">
        <v>3</v>
      </c>
    </row>
    <row r="1467" spans="1:12" x14ac:dyDescent="0.25">
      <c r="A1467" t="s">
        <v>3916</v>
      </c>
      <c r="B1467" t="s">
        <v>507</v>
      </c>
      <c r="C1467" t="s">
        <v>1010</v>
      </c>
      <c r="D1467" t="s">
        <v>46</v>
      </c>
      <c r="E1467">
        <v>26</v>
      </c>
      <c r="F1467" t="s">
        <v>2065</v>
      </c>
      <c r="G1467" t="s">
        <v>16</v>
      </c>
      <c r="H1467" t="s">
        <v>3917</v>
      </c>
      <c r="I1467" s="1" t="d">
        <v>2015-09-24</v>
      </c>
      <c r="J1467" t="s">
        <v>1776</v>
      </c>
      <c r="K1467" s="17" t="s">
        <v>149</v>
      </c>
      <c r="L1467">
        <v>4</v>
      </c>
    </row>
    <row r="1468" spans="1:12" x14ac:dyDescent="0.25">
      <c r="A1468" t="s">
        <v>3918</v>
      </c>
      <c r="B1468" t="s">
        <v>1784</v>
      </c>
      <c r="C1468" t="s">
        <v>2465</v>
      </c>
      <c r="D1468" t="s">
        <v>23</v>
      </c>
      <c r="E1468">
        <v>51</v>
      </c>
      <c r="F1468" t="s">
        <v>54</v>
      </c>
      <c r="G1468" t="s">
        <v>88</v>
      </c>
      <c r="H1468">
        <v>62898</v>
      </c>
      <c r="I1468" s="1" t="d">
        <v>2011-03-01</v>
      </c>
      <c r="J1468" t="s">
        <v>1041</v>
      </c>
      <c r="K1468" s="17" t="s">
        <v>27</v>
      </c>
      <c r="L1468">
        <v>4</v>
      </c>
    </row>
    <row r="1469" spans="1:12" x14ac:dyDescent="0.25">
      <c r="A1469" t="s">
        <v>3919</v>
      </c>
      <c r="B1469" t="s">
        <v>3127</v>
      </c>
      <c r="C1469" t="s">
        <v>121</v>
      </c>
      <c r="D1469" t="s">
        <v>46</v>
      </c>
      <c r="E1469">
        <v>34</v>
      </c>
      <c r="F1469" t="s">
        <v>169</v>
      </c>
      <c r="G1469" t="s">
        <v>351</v>
      </c>
      <c r="H1469">
        <v>52057</v>
      </c>
      <c r="I1469" s="1" t="d">
        <v>2006-12-30</v>
      </c>
      <c r="J1469" t="s">
        <v>1751</v>
      </c>
      <c r="K1469" s="17" t="s">
        <v>34</v>
      </c>
      <c r="L1469">
        <v>4</v>
      </c>
    </row>
    <row r="1470" spans="1:12" x14ac:dyDescent="0.25">
      <c r="A1470" t="s">
        <v>3920</v>
      </c>
      <c r="B1470" t="s">
        <v>112</v>
      </c>
      <c r="C1470" t="s">
        <v>660</v>
      </c>
      <c r="D1470" t="s">
        <v>46</v>
      </c>
      <c r="E1470">
        <v>36</v>
      </c>
      <c r="F1470" t="s">
        <v>1839</v>
      </c>
      <c r="G1470" t="s">
        <v>351</v>
      </c>
      <c r="H1470" s="2">
        <v>50007</v>
      </c>
      <c r="I1470" s="1" t="d">
        <v>2021-02-05</v>
      </c>
      <c r="J1470" t="s">
        <v>1931</v>
      </c>
      <c r="K1470" s="17" t="s">
        <v>370</v>
      </c>
      <c r="L1470">
        <v>4</v>
      </c>
    </row>
    <row r="1471" spans="1:12" x14ac:dyDescent="0.25">
      <c r="A1471" t="s">
        <v>3921</v>
      </c>
      <c r="B1471" t="s">
        <v>275</v>
      </c>
      <c r="C1471" t="s">
        <v>631</v>
      </c>
      <c r="D1471" t="s">
        <v>23</v>
      </c>
      <c r="E1471">
        <v>55</v>
      </c>
      <c r="F1471" t="s">
        <v>108</v>
      </c>
      <c r="G1471" t="s">
        <v>3253</v>
      </c>
      <c r="H1471" s="2">
        <v>150632</v>
      </c>
      <c r="I1471" s="1" t="d">
        <v>2016-11-30</v>
      </c>
      <c r="J1471" t="s">
        <v>3922</v>
      </c>
      <c r="K1471" s="17" t="s">
        <v>34</v>
      </c>
      <c r="L1471">
        <v>3</v>
      </c>
    </row>
    <row r="1472" spans="1:12" x14ac:dyDescent="0.25">
      <c r="A1472" t="s">
        <v>3923</v>
      </c>
      <c r="B1472" t="s">
        <v>448</v>
      </c>
      <c r="C1472" t="s">
        <v>521</v>
      </c>
      <c r="D1472" t="s">
        <v>23</v>
      </c>
      <c r="E1472">
        <v>29</v>
      </c>
      <c r="F1472" t="s">
        <v>350</v>
      </c>
      <c r="G1472" t="s">
        <v>131</v>
      </c>
      <c r="H1472" t="s">
        <v>3924</v>
      </c>
      <c r="I1472" s="1" t="d">
        <v>2006-02-09</v>
      </c>
      <c r="J1472" t="s">
        <v>3925</v>
      </c>
      <c r="K1472" s="17" t="s">
        <v>42</v>
      </c>
      <c r="L1472">
        <v>3</v>
      </c>
    </row>
    <row r="1473" spans="1:12" x14ac:dyDescent="0.25">
      <c r="A1473" t="s">
        <v>3489</v>
      </c>
      <c r="B1473" t="s">
        <v>841</v>
      </c>
      <c r="C1473" t="s">
        <v>53</v>
      </c>
      <c r="D1473" t="s">
        <v>9527</v>
      </c>
      <c r="E1473">
        <v>21</v>
      </c>
      <c r="F1473" t="s">
        <v>122</v>
      </c>
      <c r="G1473" t="s">
        <v>177</v>
      </c>
      <c r="H1473" t="s">
        <v>3490</v>
      </c>
      <c r="I1473" s="1" t="d">
        <v>2023-07-07</v>
      </c>
      <c r="J1473" t="s">
        <v>3491</v>
      </c>
      <c r="K1473" s="17" t="s">
        <v>207</v>
      </c>
      <c r="L1473">
        <v>3</v>
      </c>
    </row>
    <row r="1474" spans="1:12" x14ac:dyDescent="0.25">
      <c r="A1474" t="s">
        <v>3926</v>
      </c>
      <c r="B1474" t="s">
        <v>1316</v>
      </c>
      <c r="C1474" t="s">
        <v>3927</v>
      </c>
      <c r="D1474" t="s">
        <v>23</v>
      </c>
      <c r="E1474">
        <v>55</v>
      </c>
      <c r="F1474" t="s">
        <v>645</v>
      </c>
      <c r="G1474" t="s">
        <v>159</v>
      </c>
      <c r="H1474" t="s">
        <v>3928</v>
      </c>
      <c r="I1474" s="1" t="d">
        <v>2007-03-14</v>
      </c>
      <c r="J1474" t="s">
        <v>3929</v>
      </c>
      <c r="K1474" s="17" t="s">
        <v>90</v>
      </c>
      <c r="L1474">
        <v>3</v>
      </c>
    </row>
    <row r="1475" spans="1:12" x14ac:dyDescent="0.25">
      <c r="A1475" t="s">
        <v>3930</v>
      </c>
      <c r="B1475" t="s">
        <v>36</v>
      </c>
      <c r="C1475" t="s">
        <v>295</v>
      </c>
      <c r="D1475" t="s">
        <v>23</v>
      </c>
      <c r="E1475">
        <v>40</v>
      </c>
      <c r="G1475" t="s">
        <v>1277</v>
      </c>
      <c r="H1475">
        <v>35006</v>
      </c>
      <c r="I1475" s="1" t="d">
        <v>2024-04-30</v>
      </c>
      <c r="J1475" t="s">
        <v>505</v>
      </c>
      <c r="K1475" s="17" t="s">
        <v>34</v>
      </c>
      <c r="L1475">
        <v>4</v>
      </c>
    </row>
    <row r="1476" spans="1:12" x14ac:dyDescent="0.25">
      <c r="A1476" t="s">
        <v>3931</v>
      </c>
      <c r="B1476" t="s">
        <v>786</v>
      </c>
      <c r="C1476" t="s">
        <v>2300</v>
      </c>
      <c r="D1476" t="s">
        <v>46</v>
      </c>
      <c r="E1476">
        <v>37</v>
      </c>
      <c r="F1476" t="s">
        <v>319</v>
      </c>
      <c r="G1476" t="s">
        <v>16</v>
      </c>
      <c r="J1476" t="s">
        <v>3827</v>
      </c>
      <c r="K1476" s="17" t="s">
        <v>34</v>
      </c>
      <c r="L1476">
        <v>5</v>
      </c>
    </row>
    <row r="1477" spans="1:12" x14ac:dyDescent="0.25">
      <c r="A1477" t="s">
        <v>3932</v>
      </c>
      <c r="B1477" t="s">
        <v>44</v>
      </c>
      <c r="C1477" t="s">
        <v>847</v>
      </c>
      <c r="D1477" t="s">
        <v>23</v>
      </c>
      <c r="E1477">
        <v>30</v>
      </c>
      <c r="F1477" t="s">
        <v>406</v>
      </c>
      <c r="G1477" t="s">
        <v>217</v>
      </c>
      <c r="H1477" t="s">
        <v>3933</v>
      </c>
      <c r="I1477" s="1" t="d">
        <v>2010-09-21</v>
      </c>
      <c r="J1477" t="s">
        <v>3525</v>
      </c>
      <c r="K1477" s="17" t="s">
        <v>118</v>
      </c>
      <c r="L1477">
        <v>2</v>
      </c>
    </row>
    <row r="1478" spans="1:12" x14ac:dyDescent="0.25">
      <c r="A1478" t="s">
        <v>3934</v>
      </c>
      <c r="B1478" t="s">
        <v>993</v>
      </c>
      <c r="C1478" t="s">
        <v>1039</v>
      </c>
      <c r="D1478" t="s">
        <v>23</v>
      </c>
      <c r="E1478">
        <v>35</v>
      </c>
      <c r="G1478" t="s">
        <v>39</v>
      </c>
      <c r="H1478" t="s">
        <v>3935</v>
      </c>
      <c r="I1478" s="1" t="d">
        <v>2017-02-04</v>
      </c>
      <c r="J1478" t="s">
        <v>1041</v>
      </c>
      <c r="K1478" s="17" t="s">
        <v>118</v>
      </c>
      <c r="L1478">
        <v>5</v>
      </c>
    </row>
    <row r="1479" spans="1:12" x14ac:dyDescent="0.25">
      <c r="A1479" t="s">
        <v>3936</v>
      </c>
      <c r="B1479" t="s">
        <v>3937</v>
      </c>
      <c r="C1479" t="s">
        <v>516</v>
      </c>
      <c r="D1479" t="s">
        <v>23</v>
      </c>
      <c r="E1479">
        <v>42</v>
      </c>
      <c r="F1479" t="s">
        <v>645</v>
      </c>
      <c r="G1479" t="s">
        <v>69</v>
      </c>
      <c r="H1479">
        <v>51080</v>
      </c>
      <c r="I1479" s="1" t="d">
        <v>2019-06-19</v>
      </c>
      <c r="J1479" t="s">
        <v>3670</v>
      </c>
      <c r="K1479" s="17" t="s">
        <v>370</v>
      </c>
      <c r="L1479">
        <v>3</v>
      </c>
    </row>
    <row r="1480" spans="1:12" x14ac:dyDescent="0.25">
      <c r="A1480" t="s">
        <v>3938</v>
      </c>
      <c r="B1480" t="s">
        <v>3939</v>
      </c>
      <c r="C1480" t="s">
        <v>2912</v>
      </c>
      <c r="D1480" t="s">
        <v>23</v>
      </c>
      <c r="E1480">
        <v>29</v>
      </c>
      <c r="F1480" t="s">
        <v>253</v>
      </c>
      <c r="G1480" t="s">
        <v>217</v>
      </c>
      <c r="H1480" t="s">
        <v>3940</v>
      </c>
      <c r="I1480" s="1" t="d">
        <v>2015-10-11</v>
      </c>
      <c r="J1480" t="s">
        <v>3941</v>
      </c>
      <c r="K1480" s="17" t="s">
        <v>90</v>
      </c>
      <c r="L1480">
        <v>3</v>
      </c>
    </row>
    <row r="1481" spans="1:12" x14ac:dyDescent="0.25">
      <c r="A1481" t="s">
        <v>3942</v>
      </c>
      <c r="B1481" t="s">
        <v>37</v>
      </c>
      <c r="C1481" t="s">
        <v>140</v>
      </c>
      <c r="D1481" t="s">
        <v>9527</v>
      </c>
      <c r="E1481">
        <v>44</v>
      </c>
      <c r="F1481" t="s">
        <v>108</v>
      </c>
      <c r="G1481" t="s">
        <v>328</v>
      </c>
      <c r="I1481" s="1" t="d">
        <v>2024-01-02</v>
      </c>
      <c r="J1481" t="s">
        <v>1299</v>
      </c>
      <c r="K1481" s="17" t="s">
        <v>100</v>
      </c>
      <c r="L1481">
        <v>3</v>
      </c>
    </row>
    <row r="1482" spans="1:12" x14ac:dyDescent="0.25">
      <c r="A1482" t="s">
        <v>3943</v>
      </c>
      <c r="B1482" t="s">
        <v>3944</v>
      </c>
      <c r="C1482" t="s">
        <v>1734</v>
      </c>
      <c r="D1482" t="s">
        <v>46</v>
      </c>
      <c r="E1482">
        <v>44</v>
      </c>
      <c r="F1482" t="s">
        <v>422</v>
      </c>
      <c r="G1482" t="s">
        <v>39</v>
      </c>
      <c r="I1482" s="1" t="d">
        <v>2013-04-17</v>
      </c>
      <c r="J1482" t="s">
        <v>938</v>
      </c>
      <c r="K1482" s="17" t="s">
        <v>370</v>
      </c>
      <c r="L1482">
        <v>4</v>
      </c>
    </row>
    <row r="1483" spans="1:12" x14ac:dyDescent="0.25">
      <c r="A1483" t="s">
        <v>3945</v>
      </c>
      <c r="B1483" t="s">
        <v>410</v>
      </c>
      <c r="C1483" t="s">
        <v>2079</v>
      </c>
      <c r="D1483" t="s">
        <v>46</v>
      </c>
      <c r="E1483">
        <v>36</v>
      </c>
      <c r="F1483" t="s">
        <v>918</v>
      </c>
      <c r="G1483" t="s">
        <v>357</v>
      </c>
      <c r="H1483">
        <v>113495</v>
      </c>
      <c r="I1483" s="1" t="d">
        <v>2008-08-05</v>
      </c>
      <c r="J1483" t="s">
        <v>3946</v>
      </c>
      <c r="K1483" s="17" t="s">
        <v>34</v>
      </c>
      <c r="L1483">
        <v>1</v>
      </c>
    </row>
    <row r="1484" spans="1:12" x14ac:dyDescent="0.25">
      <c r="A1484" t="s">
        <v>3947</v>
      </c>
      <c r="B1484" t="s">
        <v>167</v>
      </c>
      <c r="C1484" t="s">
        <v>758</v>
      </c>
      <c r="D1484" t="s">
        <v>9527</v>
      </c>
      <c r="E1484">
        <v>35</v>
      </c>
      <c r="F1484" t="s">
        <v>245</v>
      </c>
      <c r="G1484" t="s">
        <v>88</v>
      </c>
      <c r="H1484" t="s">
        <v>3948</v>
      </c>
      <c r="I1484" s="1" t="d">
        <v>2008-01-18</v>
      </c>
      <c r="J1484" t="s">
        <v>3949</v>
      </c>
      <c r="K1484" s="17" t="s">
        <v>71</v>
      </c>
      <c r="L1484">
        <v>3</v>
      </c>
    </row>
    <row r="1485" spans="1:12" x14ac:dyDescent="0.25">
      <c r="A1485" t="s">
        <v>3950</v>
      </c>
      <c r="B1485" t="s">
        <v>804</v>
      </c>
      <c r="C1485" t="s">
        <v>3206</v>
      </c>
      <c r="D1485" t="s">
        <v>9527</v>
      </c>
      <c r="E1485">
        <v>22</v>
      </c>
      <c r="F1485" t="s">
        <v>94</v>
      </c>
      <c r="G1485" t="s">
        <v>55</v>
      </c>
      <c r="H1485">
        <v>64537</v>
      </c>
      <c r="I1485" s="1" t="d">
        <v>2014-01-01</v>
      </c>
      <c r="J1485" t="s">
        <v>2285</v>
      </c>
      <c r="K1485" s="17" t="s">
        <v>207</v>
      </c>
      <c r="L1485">
        <v>3</v>
      </c>
    </row>
    <row r="1486" spans="1:12" x14ac:dyDescent="0.25">
      <c r="A1486" t="s">
        <v>3951</v>
      </c>
      <c r="B1486" t="s">
        <v>139</v>
      </c>
      <c r="C1486" t="s">
        <v>377</v>
      </c>
      <c r="D1486" t="s">
        <v>9527</v>
      </c>
      <c r="E1486">
        <v>52</v>
      </c>
      <c r="F1486" t="s">
        <v>350</v>
      </c>
      <c r="G1486" t="s">
        <v>32</v>
      </c>
      <c r="H1486" t="s">
        <v>3952</v>
      </c>
      <c r="I1486" s="1" t="d">
        <v>2017-11-25</v>
      </c>
      <c r="J1486" t="s">
        <v>3953</v>
      </c>
      <c r="K1486" s="17" t="s">
        <v>50</v>
      </c>
      <c r="L1486">
        <v>4</v>
      </c>
    </row>
    <row r="1487" spans="1:12" x14ac:dyDescent="0.25">
      <c r="A1487" t="s">
        <v>3954</v>
      </c>
      <c r="B1487" t="s">
        <v>507</v>
      </c>
      <c r="C1487" t="s">
        <v>3955</v>
      </c>
      <c r="D1487" t="s">
        <v>9527</v>
      </c>
      <c r="E1487">
        <v>43</v>
      </c>
      <c r="F1487" t="s">
        <v>245</v>
      </c>
      <c r="G1487" t="s">
        <v>39</v>
      </c>
      <c r="H1487">
        <v>56992</v>
      </c>
      <c r="I1487" s="1" t="d">
        <v>2013-04-19</v>
      </c>
      <c r="J1487" t="s">
        <v>3282</v>
      </c>
      <c r="K1487" s="17" t="s">
        <v>184</v>
      </c>
      <c r="L1487">
        <v>3</v>
      </c>
    </row>
    <row r="1488" spans="1:12" x14ac:dyDescent="0.25">
      <c r="A1488" t="s">
        <v>3956</v>
      </c>
      <c r="B1488" t="s">
        <v>1241</v>
      </c>
      <c r="C1488" t="s">
        <v>751</v>
      </c>
      <c r="D1488" t="s">
        <v>46</v>
      </c>
      <c r="E1488">
        <v>33</v>
      </c>
      <c r="F1488" t="s">
        <v>253</v>
      </c>
      <c r="G1488" t="s">
        <v>436</v>
      </c>
      <c r="H1488" t="s">
        <v>3957</v>
      </c>
      <c r="I1488" s="1" t="d">
        <v>2017-08-15</v>
      </c>
      <c r="J1488" t="s">
        <v>1073</v>
      </c>
      <c r="K1488" s="17" t="s">
        <v>149</v>
      </c>
      <c r="L1488">
        <v>2</v>
      </c>
    </row>
    <row r="1489" spans="1:12" x14ac:dyDescent="0.25">
      <c r="A1489" t="s">
        <v>3958</v>
      </c>
      <c r="B1489" t="s">
        <v>833</v>
      </c>
      <c r="C1489" t="s">
        <v>483</v>
      </c>
      <c r="D1489" t="s">
        <v>9527</v>
      </c>
      <c r="E1489">
        <v>43</v>
      </c>
      <c r="F1489" t="s">
        <v>75</v>
      </c>
      <c r="G1489" t="s">
        <v>641</v>
      </c>
      <c r="H1489" s="2">
        <v>69255</v>
      </c>
      <c r="I1489" s="1" t="d">
        <v>2017-05-31</v>
      </c>
      <c r="J1489" t="s">
        <v>172</v>
      </c>
      <c r="K1489" s="17" t="s">
        <v>42</v>
      </c>
      <c r="L1489">
        <v>2</v>
      </c>
    </row>
    <row r="1490" spans="1:12" x14ac:dyDescent="0.25">
      <c r="A1490" t="s">
        <v>3959</v>
      </c>
      <c r="B1490" t="s">
        <v>1213</v>
      </c>
      <c r="C1490" t="s">
        <v>244</v>
      </c>
      <c r="D1490" t="s">
        <v>23</v>
      </c>
      <c r="E1490">
        <v>21</v>
      </c>
      <c r="F1490" t="s">
        <v>253</v>
      </c>
      <c r="G1490" t="s">
        <v>191</v>
      </c>
      <c r="H1490" t="s">
        <v>3960</v>
      </c>
      <c r="I1490" s="1" t="d">
        <v>2006-08-31</v>
      </c>
      <c r="J1490" t="s">
        <v>3709</v>
      </c>
      <c r="K1490" s="17" t="s">
        <v>34</v>
      </c>
      <c r="L1490">
        <v>3</v>
      </c>
    </row>
    <row r="1491" spans="1:12" x14ac:dyDescent="0.25">
      <c r="A1491" t="s">
        <v>3961</v>
      </c>
      <c r="B1491" t="s">
        <v>499</v>
      </c>
      <c r="C1491" t="s">
        <v>710</v>
      </c>
      <c r="D1491" t="s">
        <v>23</v>
      </c>
      <c r="E1491">
        <v>39</v>
      </c>
      <c r="F1491" t="s">
        <v>104</v>
      </c>
      <c r="G1491" t="s">
        <v>2708</v>
      </c>
      <c r="H1491" t="s">
        <v>3962</v>
      </c>
      <c r="I1491" s="1" t="d">
        <v>2012-07-30</v>
      </c>
      <c r="J1491" t="s">
        <v>3963</v>
      </c>
      <c r="K1491" s="17" t="s">
        <v>149</v>
      </c>
      <c r="L1491">
        <v>4</v>
      </c>
    </row>
    <row r="1492" spans="1:12" x14ac:dyDescent="0.25">
      <c r="A1492" t="s">
        <v>3964</v>
      </c>
      <c r="B1492" t="s">
        <v>102</v>
      </c>
      <c r="C1492" t="s">
        <v>847</v>
      </c>
      <c r="D1492" t="s">
        <v>23</v>
      </c>
      <c r="E1492">
        <v>47</v>
      </c>
      <c r="F1492" t="s">
        <v>319</v>
      </c>
      <c r="G1492" t="s">
        <v>504</v>
      </c>
      <c r="H1492" s="2">
        <v>43844</v>
      </c>
      <c r="I1492" s="1" t="d">
        <v>2010-10-29</v>
      </c>
      <c r="J1492" t="s">
        <v>3235</v>
      </c>
      <c r="K1492" s="17" t="s">
        <v>58</v>
      </c>
      <c r="L1492">
        <v>3</v>
      </c>
    </row>
    <row r="1493" spans="1:12" x14ac:dyDescent="0.25">
      <c r="A1493" t="s">
        <v>3965</v>
      </c>
      <c r="B1493" t="s">
        <v>1403</v>
      </c>
      <c r="C1493" t="s">
        <v>291</v>
      </c>
      <c r="D1493" t="s">
        <v>46</v>
      </c>
      <c r="E1493">
        <v>38</v>
      </c>
      <c r="F1493" t="s">
        <v>104</v>
      </c>
      <c r="G1493" t="s">
        <v>82</v>
      </c>
      <c r="H1493">
        <v>56240</v>
      </c>
      <c r="I1493" s="1" t="d">
        <v>2005-02-20</v>
      </c>
      <c r="J1493" t="s">
        <v>2622</v>
      </c>
      <c r="K1493" s="17" t="s">
        <v>34</v>
      </c>
      <c r="L1493">
        <v>4</v>
      </c>
    </row>
    <row r="1494" spans="1:12" x14ac:dyDescent="0.25">
      <c r="A1494" t="s">
        <v>3966</v>
      </c>
      <c r="B1494" t="s">
        <v>470</v>
      </c>
      <c r="C1494" t="s">
        <v>618</v>
      </c>
      <c r="D1494" t="s">
        <v>46</v>
      </c>
      <c r="E1494">
        <v>33</v>
      </c>
      <c r="G1494" t="s">
        <v>217</v>
      </c>
      <c r="H1494">
        <v>111142</v>
      </c>
      <c r="I1494" s="1" t="d">
        <v>2017-09-17</v>
      </c>
      <c r="J1494" t="s">
        <v>3967</v>
      </c>
      <c r="K1494" s="17" t="s">
        <v>118</v>
      </c>
      <c r="L1494">
        <v>4</v>
      </c>
    </row>
    <row r="1495" spans="1:12" x14ac:dyDescent="0.25">
      <c r="A1495" t="s">
        <v>3968</v>
      </c>
      <c r="B1495" t="s">
        <v>1051</v>
      </c>
      <c r="C1495" t="s">
        <v>584</v>
      </c>
      <c r="D1495" t="s">
        <v>23</v>
      </c>
      <c r="E1495">
        <v>49</v>
      </c>
      <c r="F1495" t="s">
        <v>62</v>
      </c>
      <c r="G1495" t="s">
        <v>337</v>
      </c>
      <c r="H1495" t="s">
        <v>3969</v>
      </c>
      <c r="I1495" s="1" t="d">
        <v>2012-02-26</v>
      </c>
      <c r="J1495" t="s">
        <v>2713</v>
      </c>
      <c r="K1495" s="17" t="s">
        <v>207</v>
      </c>
      <c r="L1495">
        <v>4</v>
      </c>
    </row>
    <row r="1496" spans="1:12" x14ac:dyDescent="0.25">
      <c r="A1496" t="s">
        <v>3970</v>
      </c>
      <c r="B1496" t="s">
        <v>652</v>
      </c>
      <c r="C1496" t="s">
        <v>37</v>
      </c>
      <c r="D1496" t="s">
        <v>9527</v>
      </c>
      <c r="E1496">
        <v>22</v>
      </c>
      <c r="F1496" t="s">
        <v>269</v>
      </c>
      <c r="G1496" t="s">
        <v>1285</v>
      </c>
      <c r="H1496" t="s">
        <v>3971</v>
      </c>
      <c r="I1496" s="1" t="d">
        <v>2005-12-29</v>
      </c>
      <c r="J1496" t="s">
        <v>3972</v>
      </c>
      <c r="K1496" s="17" t="s">
        <v>207</v>
      </c>
      <c r="L1496">
        <v>3</v>
      </c>
    </row>
    <row r="1497" spans="1:12" x14ac:dyDescent="0.25">
      <c r="A1497" t="s">
        <v>3973</v>
      </c>
      <c r="B1497" t="s">
        <v>467</v>
      </c>
      <c r="C1497" t="s">
        <v>140</v>
      </c>
      <c r="D1497" t="s">
        <v>9527</v>
      </c>
      <c r="E1497">
        <v>44</v>
      </c>
      <c r="F1497" t="s">
        <v>186</v>
      </c>
      <c r="G1497" t="s">
        <v>337</v>
      </c>
      <c r="H1497">
        <v>76140</v>
      </c>
      <c r="I1497" s="1" t="d">
        <v>2013-10-29</v>
      </c>
      <c r="J1497" t="s">
        <v>3974</v>
      </c>
      <c r="K1497" s="17" t="s">
        <v>184</v>
      </c>
      <c r="L1497">
        <v>4</v>
      </c>
    </row>
    <row r="1498" spans="1:12" x14ac:dyDescent="0.25">
      <c r="A1498" t="s">
        <v>3975</v>
      </c>
      <c r="B1498" t="s">
        <v>769</v>
      </c>
      <c r="C1498" t="s">
        <v>163</v>
      </c>
      <c r="D1498" t="s">
        <v>9527</v>
      </c>
      <c r="E1498">
        <v>43</v>
      </c>
      <c r="F1498" t="s">
        <v>114</v>
      </c>
      <c r="G1498" t="s">
        <v>212</v>
      </c>
      <c r="H1498" t="s">
        <v>3976</v>
      </c>
      <c r="I1498" s="1" t="d">
        <v>2015-03-09</v>
      </c>
      <c r="J1498" t="s">
        <v>1456</v>
      </c>
      <c r="K1498" s="17" t="s">
        <v>100</v>
      </c>
      <c r="L1498">
        <v>3</v>
      </c>
    </row>
    <row r="1499" spans="1:12" x14ac:dyDescent="0.25">
      <c r="A1499" t="s">
        <v>3977</v>
      </c>
      <c r="B1499" t="s">
        <v>3652</v>
      </c>
      <c r="C1499" t="s">
        <v>966</v>
      </c>
      <c r="D1499" t="s">
        <v>9527</v>
      </c>
      <c r="E1499">
        <v>38</v>
      </c>
      <c r="F1499" t="s">
        <v>3978</v>
      </c>
      <c r="G1499" t="s">
        <v>205</v>
      </c>
      <c r="I1499" s="1" t="d">
        <v>2013-05-25</v>
      </c>
      <c r="J1499" t="s">
        <v>3979</v>
      </c>
      <c r="K1499" s="17" t="s">
        <v>207</v>
      </c>
      <c r="L1499">
        <v>4</v>
      </c>
    </row>
    <row r="1500" spans="1:12" x14ac:dyDescent="0.25">
      <c r="A1500" t="s">
        <v>3980</v>
      </c>
      <c r="B1500" t="s">
        <v>1481</v>
      </c>
      <c r="C1500" t="s">
        <v>1062</v>
      </c>
      <c r="D1500" t="s">
        <v>9527</v>
      </c>
      <c r="E1500">
        <v>44</v>
      </c>
      <c r="F1500" t="s">
        <v>356</v>
      </c>
      <c r="G1500" t="s">
        <v>69</v>
      </c>
      <c r="I1500" s="1" t="d">
        <v>2007-12-06</v>
      </c>
      <c r="J1500" t="s">
        <v>2454</v>
      </c>
      <c r="K1500" s="17" t="s">
        <v>370</v>
      </c>
      <c r="L1500">
        <v>3</v>
      </c>
    </row>
    <row r="1501" spans="1:12" x14ac:dyDescent="0.25">
      <c r="A1501" t="s">
        <v>2282</v>
      </c>
      <c r="B1501" t="s">
        <v>130</v>
      </c>
      <c r="C1501" t="s">
        <v>168</v>
      </c>
      <c r="D1501" t="s">
        <v>46</v>
      </c>
      <c r="E1501">
        <v>49</v>
      </c>
      <c r="F1501" t="s">
        <v>350</v>
      </c>
      <c r="G1501" t="s">
        <v>115</v>
      </c>
      <c r="H1501" t="s">
        <v>2283</v>
      </c>
      <c r="I1501" s="1" t="d">
        <v>2009-10-26</v>
      </c>
      <c r="J1501" t="s">
        <v>2273</v>
      </c>
      <c r="K1501" s="17" t="s">
        <v>71</v>
      </c>
      <c r="L1501">
        <v>4</v>
      </c>
    </row>
    <row r="1502" spans="1:12" x14ac:dyDescent="0.25">
      <c r="A1502" t="s">
        <v>3981</v>
      </c>
      <c r="B1502" t="s">
        <v>199</v>
      </c>
      <c r="C1502" t="s">
        <v>3982</v>
      </c>
      <c r="D1502" t="s">
        <v>46</v>
      </c>
      <c r="E1502">
        <v>34</v>
      </c>
      <c r="F1502" t="s">
        <v>216</v>
      </c>
      <c r="G1502" t="s">
        <v>115</v>
      </c>
      <c r="H1502">
        <v>56447</v>
      </c>
      <c r="I1502" s="1" t="d">
        <v>2017-10-09</v>
      </c>
      <c r="J1502" t="s">
        <v>1019</v>
      </c>
      <c r="K1502" s="17" t="s">
        <v>100</v>
      </c>
      <c r="L1502">
        <v>5</v>
      </c>
    </row>
    <row r="1503" spans="1:12" x14ac:dyDescent="0.25">
      <c r="A1503" t="s">
        <v>3983</v>
      </c>
      <c r="B1503" t="s">
        <v>670</v>
      </c>
      <c r="C1503" t="s">
        <v>189</v>
      </c>
      <c r="D1503" t="s">
        <v>46</v>
      </c>
      <c r="E1503">
        <v>51</v>
      </c>
      <c r="G1503" t="s">
        <v>212</v>
      </c>
      <c r="H1503" s="2">
        <v>53247</v>
      </c>
      <c r="I1503" s="1" t="d">
        <v>2011-01-22</v>
      </c>
      <c r="J1503" t="s">
        <v>1401</v>
      </c>
      <c r="K1503" s="17" t="s">
        <v>58</v>
      </c>
      <c r="L1503">
        <v>4</v>
      </c>
    </row>
    <row r="1504" spans="1:12" x14ac:dyDescent="0.25">
      <c r="A1504" t="s">
        <v>3984</v>
      </c>
      <c r="B1504" t="s">
        <v>199</v>
      </c>
      <c r="C1504" t="s">
        <v>483</v>
      </c>
      <c r="D1504" t="s">
        <v>9527</v>
      </c>
      <c r="E1504">
        <v>34</v>
      </c>
      <c r="F1504" t="s">
        <v>238</v>
      </c>
      <c r="G1504" t="s">
        <v>82</v>
      </c>
      <c r="H1504" s="2">
        <v>52890</v>
      </c>
      <c r="I1504" s="1" t="d">
        <v>2015-05-22</v>
      </c>
      <c r="J1504" t="s">
        <v>1741</v>
      </c>
      <c r="K1504" s="17" t="s">
        <v>149</v>
      </c>
      <c r="L1504">
        <v>3</v>
      </c>
    </row>
    <row r="1505" spans="1:12" x14ac:dyDescent="0.25">
      <c r="A1505" t="s">
        <v>3985</v>
      </c>
      <c r="B1505" t="s">
        <v>221</v>
      </c>
      <c r="C1505" t="s">
        <v>1266</v>
      </c>
      <c r="D1505" t="s">
        <v>9527</v>
      </c>
      <c r="E1505">
        <v>29</v>
      </c>
      <c r="F1505" t="s">
        <v>711</v>
      </c>
      <c r="G1505" t="s">
        <v>337</v>
      </c>
      <c r="H1505" t="s">
        <v>3986</v>
      </c>
      <c r="I1505" s="1" t="d">
        <v>2005-07-23</v>
      </c>
      <c r="J1505" t="s">
        <v>1915</v>
      </c>
      <c r="K1505" s="17" t="s">
        <v>90</v>
      </c>
      <c r="L1505">
        <v>4</v>
      </c>
    </row>
    <row r="1506" spans="1:12" x14ac:dyDescent="0.25">
      <c r="A1506" t="s">
        <v>3987</v>
      </c>
      <c r="B1506" t="s">
        <v>3988</v>
      </c>
      <c r="C1506" t="s">
        <v>988</v>
      </c>
      <c r="D1506" t="s">
        <v>46</v>
      </c>
      <c r="E1506">
        <v>21</v>
      </c>
      <c r="G1506" t="s">
        <v>283</v>
      </c>
      <c r="H1506" s="2">
        <v>113537</v>
      </c>
      <c r="I1506" s="1" t="d">
        <v>2013-08-31</v>
      </c>
      <c r="J1506" t="s">
        <v>3989</v>
      </c>
      <c r="K1506" s="17" t="s">
        <v>149</v>
      </c>
      <c r="L1506">
        <v>4</v>
      </c>
    </row>
    <row r="1507" spans="1:12" x14ac:dyDescent="0.25">
      <c r="A1507" t="s">
        <v>3990</v>
      </c>
      <c r="B1507" t="s">
        <v>275</v>
      </c>
      <c r="C1507" t="s">
        <v>729</v>
      </c>
      <c r="D1507" t="s">
        <v>9527</v>
      </c>
      <c r="E1507">
        <v>43</v>
      </c>
      <c r="F1507" t="s">
        <v>146</v>
      </c>
      <c r="G1507" t="s">
        <v>82</v>
      </c>
      <c r="H1507" t="s">
        <v>3991</v>
      </c>
      <c r="I1507" s="1" t="d">
        <v>2007-04-29</v>
      </c>
      <c r="J1507" t="s">
        <v>3992</v>
      </c>
      <c r="K1507" s="17" t="s">
        <v>34</v>
      </c>
      <c r="L1507">
        <v>3</v>
      </c>
    </row>
    <row r="1508" spans="1:12" x14ac:dyDescent="0.25">
      <c r="A1508" t="s">
        <v>3993</v>
      </c>
      <c r="B1508" t="s">
        <v>174</v>
      </c>
      <c r="C1508" t="s">
        <v>665</v>
      </c>
      <c r="D1508" t="s">
        <v>9527</v>
      </c>
      <c r="E1508">
        <v>33</v>
      </c>
      <c r="F1508" t="s">
        <v>200</v>
      </c>
      <c r="G1508" t="s">
        <v>82</v>
      </c>
      <c r="H1508" t="s">
        <v>3994</v>
      </c>
      <c r="I1508" s="1" t="d">
        <v>2017-03-31</v>
      </c>
      <c r="J1508" t="s">
        <v>2338</v>
      </c>
      <c r="K1508" s="17" t="s">
        <v>370</v>
      </c>
      <c r="L1508">
        <v>4</v>
      </c>
    </row>
    <row r="1509" spans="1:12" x14ac:dyDescent="0.25">
      <c r="A1509" t="s">
        <v>3995</v>
      </c>
      <c r="B1509" t="s">
        <v>86</v>
      </c>
      <c r="C1509" t="s">
        <v>3996</v>
      </c>
      <c r="D1509" t="s">
        <v>46</v>
      </c>
      <c r="E1509">
        <v>30</v>
      </c>
      <c r="F1509" t="s">
        <v>984</v>
      </c>
      <c r="G1509" t="s">
        <v>1277</v>
      </c>
      <c r="I1509" s="1" t="d">
        <v>2013-12-24</v>
      </c>
      <c r="J1509" t="s">
        <v>1222</v>
      </c>
      <c r="K1509" s="17" t="s">
        <v>19</v>
      </c>
      <c r="L1509">
        <v>4</v>
      </c>
    </row>
    <row r="1510" spans="1:12" x14ac:dyDescent="0.25">
      <c r="A1510" t="s">
        <v>3997</v>
      </c>
      <c r="B1510" t="s">
        <v>120</v>
      </c>
      <c r="C1510" t="s">
        <v>3998</v>
      </c>
      <c r="D1510" t="s">
        <v>23</v>
      </c>
      <c r="E1510">
        <v>21</v>
      </c>
      <c r="F1510" t="s">
        <v>114</v>
      </c>
      <c r="G1510" t="s">
        <v>48</v>
      </c>
      <c r="H1510">
        <v>98270</v>
      </c>
      <c r="I1510" s="1" t="d">
        <v>2006-12-14</v>
      </c>
      <c r="J1510" t="s">
        <v>338</v>
      </c>
      <c r="K1510" s="17" t="s">
        <v>118</v>
      </c>
      <c r="L1510">
        <v>5</v>
      </c>
    </row>
    <row r="1511" spans="1:12" x14ac:dyDescent="0.25">
      <c r="A1511" t="s">
        <v>3999</v>
      </c>
      <c r="B1511" t="s">
        <v>340</v>
      </c>
      <c r="C1511" t="s">
        <v>189</v>
      </c>
      <c r="D1511" t="s">
        <v>46</v>
      </c>
      <c r="E1511">
        <v>30</v>
      </c>
      <c r="F1511" t="s">
        <v>1116</v>
      </c>
      <c r="G1511" t="s">
        <v>912</v>
      </c>
      <c r="H1511" t="s">
        <v>4000</v>
      </c>
      <c r="I1511" s="1" t="d">
        <v>2022-12-10</v>
      </c>
      <c r="J1511" t="s">
        <v>2556</v>
      </c>
      <c r="K1511" s="17" t="s">
        <v>100</v>
      </c>
      <c r="L1511">
        <v>4</v>
      </c>
    </row>
    <row r="1512" spans="1:12" x14ac:dyDescent="0.25">
      <c r="A1512" t="s">
        <v>4001</v>
      </c>
      <c r="B1512" t="s">
        <v>1888</v>
      </c>
      <c r="C1512" t="s">
        <v>2703</v>
      </c>
      <c r="D1512" t="s">
        <v>9527</v>
      </c>
      <c r="E1512">
        <v>56</v>
      </c>
      <c r="F1512" t="s">
        <v>373</v>
      </c>
      <c r="G1512" t="s">
        <v>3800</v>
      </c>
      <c r="H1512" t="s">
        <v>4002</v>
      </c>
      <c r="I1512" s="1" t="d">
        <v>2007-04-01</v>
      </c>
      <c r="J1512" t="s">
        <v>3286</v>
      </c>
      <c r="K1512" s="17" t="s">
        <v>34</v>
      </c>
      <c r="L1512">
        <v>5</v>
      </c>
    </row>
    <row r="1513" spans="1:12" x14ac:dyDescent="0.25">
      <c r="A1513" t="s">
        <v>4003</v>
      </c>
      <c r="B1513" t="s">
        <v>139</v>
      </c>
      <c r="C1513" t="s">
        <v>37</v>
      </c>
      <c r="D1513" t="s">
        <v>9527</v>
      </c>
      <c r="E1513">
        <v>39</v>
      </c>
      <c r="F1513" t="s">
        <v>450</v>
      </c>
      <c r="G1513" t="s">
        <v>302</v>
      </c>
      <c r="H1513" s="2">
        <v>90636</v>
      </c>
      <c r="I1513" s="1" t="d">
        <v>2008-03-18</v>
      </c>
      <c r="J1513" t="s">
        <v>309</v>
      </c>
      <c r="K1513" s="17" t="s">
        <v>100</v>
      </c>
      <c r="L1513">
        <v>5</v>
      </c>
    </row>
    <row r="1514" spans="1:12" x14ac:dyDescent="0.25">
      <c r="A1514" t="s">
        <v>2094</v>
      </c>
      <c r="B1514" t="s">
        <v>2095</v>
      </c>
      <c r="C1514" t="s">
        <v>2096</v>
      </c>
      <c r="D1514" t="s">
        <v>46</v>
      </c>
      <c r="E1514">
        <v>32</v>
      </c>
      <c r="F1514" t="s">
        <v>169</v>
      </c>
      <c r="G1514" t="s">
        <v>39</v>
      </c>
      <c r="H1514" s="2">
        <v>62851</v>
      </c>
      <c r="I1514" s="1" t="d">
        <v>2019-12-01</v>
      </c>
      <c r="J1514" t="s">
        <v>2097</v>
      </c>
      <c r="K1514" s="17" t="s">
        <v>50</v>
      </c>
      <c r="L1514">
        <v>4</v>
      </c>
    </row>
    <row r="1515" spans="1:12" x14ac:dyDescent="0.25">
      <c r="A1515" t="s">
        <v>4004</v>
      </c>
      <c r="B1515" t="s">
        <v>13</v>
      </c>
      <c r="C1515" t="s">
        <v>14</v>
      </c>
      <c r="D1515" t="s">
        <v>23</v>
      </c>
      <c r="E1515">
        <v>21</v>
      </c>
      <c r="F1515" t="s">
        <v>399</v>
      </c>
      <c r="G1515" t="s">
        <v>870</v>
      </c>
      <c r="H1515" t="s">
        <v>4005</v>
      </c>
      <c r="I1515" s="1" t="d">
        <v>2023-05-21</v>
      </c>
      <c r="J1515" t="s">
        <v>18</v>
      </c>
      <c r="K1515" s="17" t="s">
        <v>34</v>
      </c>
      <c r="L1515">
        <v>3</v>
      </c>
    </row>
    <row r="1516" spans="1:12" x14ac:dyDescent="0.25">
      <c r="A1516" t="s">
        <v>4006</v>
      </c>
      <c r="B1516" t="s">
        <v>4007</v>
      </c>
      <c r="C1516" t="s">
        <v>107</v>
      </c>
      <c r="D1516" t="s">
        <v>46</v>
      </c>
      <c r="E1516">
        <v>46</v>
      </c>
      <c r="F1516" t="s">
        <v>186</v>
      </c>
      <c r="G1516" t="s">
        <v>39</v>
      </c>
      <c r="I1516" s="1" t="d">
        <v>2006-04-15</v>
      </c>
      <c r="J1516" t="s">
        <v>1091</v>
      </c>
      <c r="K1516" s="17" t="s">
        <v>100</v>
      </c>
      <c r="L1516">
        <v>4</v>
      </c>
    </row>
    <row r="1517" spans="1:12" x14ac:dyDescent="0.25">
      <c r="A1517" t="s">
        <v>4008</v>
      </c>
      <c r="B1517" t="s">
        <v>563</v>
      </c>
      <c r="C1517" t="s">
        <v>332</v>
      </c>
      <c r="D1517" t="s">
        <v>23</v>
      </c>
      <c r="E1517">
        <v>28</v>
      </c>
      <c r="F1517" t="s">
        <v>576</v>
      </c>
      <c r="G1517" t="s">
        <v>69</v>
      </c>
      <c r="H1517" s="2">
        <v>109775</v>
      </c>
      <c r="I1517" s="1" t="d">
        <v>2023-02-10</v>
      </c>
      <c r="J1517" t="s">
        <v>4009</v>
      </c>
      <c r="K1517" s="17" t="s">
        <v>90</v>
      </c>
      <c r="L1517">
        <v>3</v>
      </c>
    </row>
    <row r="1518" spans="1:12" x14ac:dyDescent="0.25">
      <c r="A1518" t="s">
        <v>4010</v>
      </c>
      <c r="B1518" t="s">
        <v>180</v>
      </c>
      <c r="C1518" t="s">
        <v>215</v>
      </c>
      <c r="D1518" t="s">
        <v>46</v>
      </c>
      <c r="E1518">
        <v>30</v>
      </c>
      <c r="F1518" t="s">
        <v>417</v>
      </c>
      <c r="G1518" t="s">
        <v>1277</v>
      </c>
      <c r="H1518" t="s">
        <v>4011</v>
      </c>
      <c r="I1518" s="1" t="d">
        <v>2006-12-20</v>
      </c>
      <c r="J1518" t="s">
        <v>3477</v>
      </c>
      <c r="K1518" s="17" t="s">
        <v>58</v>
      </c>
      <c r="L1518">
        <v>2</v>
      </c>
    </row>
    <row r="1519" spans="1:12" x14ac:dyDescent="0.25">
      <c r="A1519" t="s">
        <v>4012</v>
      </c>
      <c r="B1519" t="s">
        <v>1154</v>
      </c>
      <c r="C1519" t="s">
        <v>67</v>
      </c>
      <c r="D1519" t="s">
        <v>9527</v>
      </c>
      <c r="E1519">
        <v>47</v>
      </c>
      <c r="F1519" t="s">
        <v>1458</v>
      </c>
      <c r="G1519" t="s">
        <v>55</v>
      </c>
      <c r="I1519" s="1" t="d">
        <v>2009-03-27</v>
      </c>
      <c r="J1519" t="s">
        <v>4013</v>
      </c>
      <c r="K1519" s="17" t="s">
        <v>207</v>
      </c>
      <c r="L1519">
        <v>3</v>
      </c>
    </row>
    <row r="1520" spans="1:12" x14ac:dyDescent="0.25">
      <c r="A1520" t="s">
        <v>4014</v>
      </c>
      <c r="B1520" t="s">
        <v>652</v>
      </c>
      <c r="C1520" t="s">
        <v>405</v>
      </c>
      <c r="D1520" t="s">
        <v>23</v>
      </c>
      <c r="E1520">
        <v>58</v>
      </c>
      <c r="F1520" t="s">
        <v>3085</v>
      </c>
      <c r="G1520" t="s">
        <v>39</v>
      </c>
      <c r="H1520" t="s">
        <v>4015</v>
      </c>
      <c r="I1520" s="1" t="d">
        <v>2011-03-23</v>
      </c>
      <c r="J1520" t="s">
        <v>3567</v>
      </c>
      <c r="K1520" s="17" t="s">
        <v>19</v>
      </c>
      <c r="L1520">
        <v>3</v>
      </c>
    </row>
    <row r="1521" spans="1:12" x14ac:dyDescent="0.25">
      <c r="A1521" t="s">
        <v>4016</v>
      </c>
      <c r="B1521" t="s">
        <v>36</v>
      </c>
      <c r="C1521" t="s">
        <v>449</v>
      </c>
      <c r="D1521" t="s">
        <v>46</v>
      </c>
      <c r="E1521">
        <v>21</v>
      </c>
      <c r="F1521" t="s">
        <v>4017</v>
      </c>
      <c r="G1521" t="s">
        <v>351</v>
      </c>
      <c r="H1521" s="2">
        <v>44435</v>
      </c>
      <c r="I1521" s="1" t="d">
        <v>2024-09-01</v>
      </c>
      <c r="J1521" t="s">
        <v>2995</v>
      </c>
      <c r="K1521" s="17" t="s">
        <v>100</v>
      </c>
      <c r="L1521">
        <v>3</v>
      </c>
    </row>
    <row r="1522" spans="1:12" x14ac:dyDescent="0.25">
      <c r="A1522" t="s">
        <v>4018</v>
      </c>
      <c r="B1522" t="s">
        <v>936</v>
      </c>
      <c r="C1522" t="s">
        <v>3206</v>
      </c>
      <c r="D1522" t="s">
        <v>23</v>
      </c>
      <c r="E1522">
        <v>43</v>
      </c>
      <c r="F1522" t="s">
        <v>645</v>
      </c>
      <c r="G1522" t="s">
        <v>288</v>
      </c>
      <c r="H1522" s="2">
        <v>43953</v>
      </c>
      <c r="I1522" s="1" t="d">
        <v>2010-07-30</v>
      </c>
      <c r="J1522" t="s">
        <v>3431</v>
      </c>
      <c r="K1522" s="17" t="s">
        <v>58</v>
      </c>
      <c r="L1522">
        <v>5</v>
      </c>
    </row>
    <row r="1523" spans="1:12" x14ac:dyDescent="0.25">
      <c r="A1523" t="s">
        <v>4019</v>
      </c>
      <c r="B1523" t="s">
        <v>92</v>
      </c>
      <c r="C1523" t="s">
        <v>1306</v>
      </c>
      <c r="D1523" t="s">
        <v>46</v>
      </c>
      <c r="E1523">
        <v>25</v>
      </c>
      <c r="F1523" t="s">
        <v>186</v>
      </c>
      <c r="G1523" t="s">
        <v>191</v>
      </c>
      <c r="H1523">
        <v>84130</v>
      </c>
      <c r="I1523" s="1" t="d">
        <v>2009-11-29</v>
      </c>
      <c r="J1523" t="s">
        <v>4020</v>
      </c>
      <c r="K1523" s="17" t="s">
        <v>184</v>
      </c>
      <c r="L1523">
        <v>3</v>
      </c>
    </row>
    <row r="1524" spans="1:12" x14ac:dyDescent="0.25">
      <c r="A1524" t="s">
        <v>4021</v>
      </c>
      <c r="B1524" t="s">
        <v>786</v>
      </c>
      <c r="C1524" t="s">
        <v>268</v>
      </c>
      <c r="D1524" t="s">
        <v>23</v>
      </c>
      <c r="E1524">
        <v>28</v>
      </c>
      <c r="F1524" t="s">
        <v>269</v>
      </c>
      <c r="G1524" t="s">
        <v>614</v>
      </c>
      <c r="H1524" t="s">
        <v>4022</v>
      </c>
      <c r="I1524" s="1" t="d">
        <v>2024-10-09</v>
      </c>
      <c r="J1524" t="s">
        <v>817</v>
      </c>
      <c r="K1524" s="17" t="s">
        <v>149</v>
      </c>
      <c r="L1524">
        <v>4</v>
      </c>
    </row>
    <row r="1525" spans="1:12" x14ac:dyDescent="0.25">
      <c r="A1525" t="s">
        <v>4023</v>
      </c>
      <c r="B1525" t="s">
        <v>1647</v>
      </c>
      <c r="C1525" t="s">
        <v>295</v>
      </c>
      <c r="D1525" t="s">
        <v>9527</v>
      </c>
      <c r="E1525">
        <v>41</v>
      </c>
      <c r="F1525" t="s">
        <v>146</v>
      </c>
      <c r="G1525" t="s">
        <v>69</v>
      </c>
      <c r="I1525" s="1" t="d">
        <v>2023-10-29</v>
      </c>
      <c r="J1525" t="s">
        <v>3360</v>
      </c>
      <c r="K1525" s="17" t="s">
        <v>100</v>
      </c>
      <c r="L1525">
        <v>3</v>
      </c>
    </row>
    <row r="1526" spans="1:12" x14ac:dyDescent="0.25">
      <c r="A1526" t="s">
        <v>4024</v>
      </c>
      <c r="B1526" t="s">
        <v>709</v>
      </c>
      <c r="C1526" t="s">
        <v>778</v>
      </c>
      <c r="D1526" t="s">
        <v>9527</v>
      </c>
      <c r="E1526">
        <v>26</v>
      </c>
      <c r="F1526" t="s">
        <v>190</v>
      </c>
      <c r="G1526" t="s">
        <v>239</v>
      </c>
      <c r="H1526" s="2">
        <v>60090</v>
      </c>
      <c r="I1526" s="1" t="d">
        <v>2022-03-16</v>
      </c>
      <c r="J1526" t="s">
        <v>713</v>
      </c>
      <c r="K1526" s="17" t="s">
        <v>207</v>
      </c>
      <c r="L1526">
        <v>5</v>
      </c>
    </row>
    <row r="1527" spans="1:12" x14ac:dyDescent="0.25">
      <c r="A1527" t="s">
        <v>4025</v>
      </c>
      <c r="B1527" t="s">
        <v>73</v>
      </c>
      <c r="C1527" t="s">
        <v>624</v>
      </c>
      <c r="D1527" t="s">
        <v>23</v>
      </c>
      <c r="E1527">
        <v>40</v>
      </c>
      <c r="F1527" t="s">
        <v>104</v>
      </c>
      <c r="G1527" t="s">
        <v>39</v>
      </c>
      <c r="H1527" t="s">
        <v>4026</v>
      </c>
      <c r="I1527" s="1" t="d">
        <v>2024-04-13</v>
      </c>
      <c r="J1527" t="s">
        <v>213</v>
      </c>
      <c r="K1527" s="17" t="s">
        <v>184</v>
      </c>
      <c r="L1527">
        <v>3</v>
      </c>
    </row>
    <row r="1528" spans="1:12" x14ac:dyDescent="0.25">
      <c r="A1528" t="s">
        <v>1865</v>
      </c>
      <c r="B1528" t="s">
        <v>151</v>
      </c>
      <c r="C1528" t="s">
        <v>215</v>
      </c>
      <c r="D1528" t="s">
        <v>23</v>
      </c>
      <c r="E1528">
        <v>21</v>
      </c>
      <c r="F1528" t="s">
        <v>417</v>
      </c>
      <c r="G1528" t="s">
        <v>1866</v>
      </c>
      <c r="I1528" s="1" t="d">
        <v>2012-03-10</v>
      </c>
      <c r="J1528" t="s">
        <v>219</v>
      </c>
      <c r="K1528" s="17" t="s">
        <v>42</v>
      </c>
      <c r="L1528">
        <v>3</v>
      </c>
    </row>
    <row r="1529" spans="1:12" x14ac:dyDescent="0.25">
      <c r="A1529" t="s">
        <v>4027</v>
      </c>
      <c r="B1529" t="s">
        <v>139</v>
      </c>
      <c r="C1529" t="s">
        <v>681</v>
      </c>
      <c r="D1529" t="s">
        <v>46</v>
      </c>
      <c r="E1529">
        <v>37</v>
      </c>
      <c r="F1529" t="s">
        <v>356</v>
      </c>
      <c r="G1529" t="s">
        <v>141</v>
      </c>
      <c r="I1529" s="1" t="d">
        <v>2018-03-19</v>
      </c>
      <c r="J1529" t="s">
        <v>402</v>
      </c>
      <c r="K1529" s="17" t="s">
        <v>118</v>
      </c>
      <c r="L1529">
        <v>4</v>
      </c>
    </row>
    <row r="1530" spans="1:12" x14ac:dyDescent="0.25">
      <c r="A1530" t="s">
        <v>603</v>
      </c>
      <c r="B1530" t="s">
        <v>604</v>
      </c>
      <c r="C1530" t="s">
        <v>599</v>
      </c>
      <c r="D1530" t="s">
        <v>9527</v>
      </c>
      <c r="E1530">
        <v>39</v>
      </c>
      <c r="G1530" t="s">
        <v>191</v>
      </c>
      <c r="I1530" s="1" t="d">
        <v>2012-10-16</v>
      </c>
      <c r="J1530" t="s">
        <v>605</v>
      </c>
      <c r="K1530" s="17" t="s">
        <v>118</v>
      </c>
      <c r="L1530">
        <v>4</v>
      </c>
    </row>
    <row r="1531" spans="1:12" x14ac:dyDescent="0.25">
      <c r="A1531" t="s">
        <v>4028</v>
      </c>
      <c r="B1531" t="s">
        <v>162</v>
      </c>
      <c r="C1531" t="s">
        <v>390</v>
      </c>
      <c r="D1531" t="s">
        <v>23</v>
      </c>
      <c r="E1531">
        <v>21</v>
      </c>
      <c r="F1531" t="s">
        <v>122</v>
      </c>
      <c r="G1531" t="s">
        <v>82</v>
      </c>
      <c r="H1531" s="2">
        <v>57177</v>
      </c>
      <c r="I1531" s="1" t="d">
        <v>2016-01-04</v>
      </c>
      <c r="J1531" t="s">
        <v>4029</v>
      </c>
      <c r="K1531" s="17" t="s">
        <v>207</v>
      </c>
      <c r="L1531">
        <v>4</v>
      </c>
    </row>
    <row r="1532" spans="1:12" x14ac:dyDescent="0.25">
      <c r="A1532" t="s">
        <v>4030</v>
      </c>
      <c r="B1532" t="s">
        <v>1241</v>
      </c>
      <c r="C1532" t="s">
        <v>4031</v>
      </c>
      <c r="D1532" t="s">
        <v>46</v>
      </c>
      <c r="E1532">
        <v>46</v>
      </c>
      <c r="F1532" t="s">
        <v>238</v>
      </c>
      <c r="G1532" t="s">
        <v>182</v>
      </c>
      <c r="H1532" t="s">
        <v>4032</v>
      </c>
      <c r="I1532" s="1" t="d">
        <v>2005-02-22</v>
      </c>
      <c r="J1532" t="s">
        <v>347</v>
      </c>
      <c r="K1532" s="17" t="s">
        <v>90</v>
      </c>
      <c r="L1532">
        <v>4</v>
      </c>
    </row>
    <row r="1533" spans="1:12" x14ac:dyDescent="0.25">
      <c r="A1533" t="s">
        <v>4033</v>
      </c>
      <c r="B1533" t="s">
        <v>499</v>
      </c>
      <c r="C1533" t="s">
        <v>1030</v>
      </c>
      <c r="D1533" t="s">
        <v>9527</v>
      </c>
      <c r="E1533">
        <v>21</v>
      </c>
      <c r="F1533" t="s">
        <v>296</v>
      </c>
      <c r="G1533" t="s">
        <v>302</v>
      </c>
      <c r="H1533">
        <v>123099</v>
      </c>
      <c r="I1533" s="1" t="d">
        <v>2023-09-15</v>
      </c>
      <c r="J1533" t="s">
        <v>1852</v>
      </c>
      <c r="K1533" s="17" t="s">
        <v>58</v>
      </c>
      <c r="L1533">
        <v>2</v>
      </c>
    </row>
    <row r="1534" spans="1:12" x14ac:dyDescent="0.25">
      <c r="A1534" t="s">
        <v>4034</v>
      </c>
      <c r="B1534" t="s">
        <v>520</v>
      </c>
      <c r="C1534" t="s">
        <v>53</v>
      </c>
      <c r="D1534" t="s">
        <v>9527</v>
      </c>
      <c r="E1534">
        <v>42</v>
      </c>
      <c r="F1534" t="s">
        <v>24</v>
      </c>
      <c r="G1534" t="s">
        <v>357</v>
      </c>
      <c r="H1534">
        <v>126430</v>
      </c>
      <c r="I1534" s="1" t="d">
        <v>2005-01-14</v>
      </c>
      <c r="J1534" t="s">
        <v>4035</v>
      </c>
      <c r="K1534" s="17" t="s">
        <v>50</v>
      </c>
      <c r="L1534">
        <v>2</v>
      </c>
    </row>
    <row r="1535" spans="1:12" x14ac:dyDescent="0.25">
      <c r="A1535" t="s">
        <v>4036</v>
      </c>
      <c r="B1535" t="s">
        <v>4037</v>
      </c>
      <c r="C1535" t="s">
        <v>386</v>
      </c>
      <c r="D1535" t="s">
        <v>46</v>
      </c>
      <c r="E1535">
        <v>45</v>
      </c>
      <c r="F1535" t="s">
        <v>104</v>
      </c>
      <c r="G1535" t="s">
        <v>212</v>
      </c>
      <c r="H1535" s="2">
        <v>67055</v>
      </c>
      <c r="J1535" t="s">
        <v>4038</v>
      </c>
      <c r="K1535" s="17" t="s">
        <v>207</v>
      </c>
      <c r="L1535">
        <v>1</v>
      </c>
    </row>
    <row r="1536" spans="1:12" x14ac:dyDescent="0.25">
      <c r="A1536" t="s">
        <v>4039</v>
      </c>
      <c r="B1536" t="s">
        <v>3504</v>
      </c>
      <c r="C1536" t="s">
        <v>1332</v>
      </c>
      <c r="D1536" t="s">
        <v>46</v>
      </c>
      <c r="E1536">
        <v>45</v>
      </c>
      <c r="F1536" t="s">
        <v>94</v>
      </c>
      <c r="G1536" t="s">
        <v>48</v>
      </c>
      <c r="H1536" t="s">
        <v>4040</v>
      </c>
      <c r="I1536" s="1" t="d">
        <v>2008-03-27</v>
      </c>
      <c r="J1536" t="s">
        <v>4041</v>
      </c>
      <c r="K1536" s="17" t="s">
        <v>118</v>
      </c>
      <c r="L1536">
        <v>3</v>
      </c>
    </row>
    <row r="1537" spans="1:12" x14ac:dyDescent="0.25">
      <c r="A1537" t="s">
        <v>4042</v>
      </c>
      <c r="B1537" t="s">
        <v>44</v>
      </c>
      <c r="C1537" t="s">
        <v>2168</v>
      </c>
      <c r="D1537" t="s">
        <v>23</v>
      </c>
      <c r="E1537">
        <v>21</v>
      </c>
      <c r="F1537" t="s">
        <v>576</v>
      </c>
      <c r="G1537" t="s">
        <v>217</v>
      </c>
      <c r="H1537" t="s">
        <v>4043</v>
      </c>
      <c r="I1537" s="1" t="d">
        <v>2024-02-01</v>
      </c>
      <c r="J1537" t="s">
        <v>3016</v>
      </c>
      <c r="K1537" s="17" t="s">
        <v>370</v>
      </c>
      <c r="L1537">
        <v>4</v>
      </c>
    </row>
    <row r="1538" spans="1:12" x14ac:dyDescent="0.25">
      <c r="A1538" t="s">
        <v>4044</v>
      </c>
      <c r="B1538" t="s">
        <v>21</v>
      </c>
      <c r="C1538" t="s">
        <v>2926</v>
      </c>
      <c r="D1538" t="s">
        <v>46</v>
      </c>
      <c r="E1538">
        <v>24</v>
      </c>
      <c r="F1538" t="s">
        <v>264</v>
      </c>
      <c r="G1538" t="s">
        <v>278</v>
      </c>
      <c r="I1538" s="1" t="d">
        <v>2020-09-27</v>
      </c>
      <c r="J1538" t="s">
        <v>896</v>
      </c>
      <c r="K1538" s="17" t="s">
        <v>118</v>
      </c>
      <c r="L1538">
        <v>4</v>
      </c>
    </row>
    <row r="1539" spans="1:12" x14ac:dyDescent="0.25">
      <c r="A1539" t="s">
        <v>4045</v>
      </c>
      <c r="B1539" t="s">
        <v>180</v>
      </c>
      <c r="C1539" t="s">
        <v>306</v>
      </c>
      <c r="D1539" t="s">
        <v>23</v>
      </c>
      <c r="E1539">
        <v>48</v>
      </c>
      <c r="F1539" t="s">
        <v>253</v>
      </c>
      <c r="G1539" t="s">
        <v>55</v>
      </c>
      <c r="I1539" s="1" t="d">
        <v>2011-01-22</v>
      </c>
      <c r="J1539" t="s">
        <v>4046</v>
      </c>
      <c r="K1539" s="17" t="s">
        <v>19</v>
      </c>
      <c r="L1539">
        <v>3</v>
      </c>
    </row>
    <row r="1540" spans="1:12" x14ac:dyDescent="0.25">
      <c r="A1540" t="s">
        <v>4047</v>
      </c>
      <c r="B1540" t="s">
        <v>4048</v>
      </c>
      <c r="C1540" t="s">
        <v>1622</v>
      </c>
      <c r="D1540" t="s">
        <v>23</v>
      </c>
      <c r="E1540">
        <v>31</v>
      </c>
      <c r="F1540" t="s">
        <v>296</v>
      </c>
      <c r="G1540" t="s">
        <v>82</v>
      </c>
      <c r="I1540" s="1" t="d">
        <v>2015-05-22</v>
      </c>
      <c r="J1540" t="s">
        <v>4049</v>
      </c>
      <c r="K1540" s="17" t="s">
        <v>34</v>
      </c>
      <c r="L1540">
        <v>3</v>
      </c>
    </row>
    <row r="1541" spans="1:12" x14ac:dyDescent="0.25">
      <c r="A1541" t="s">
        <v>4050</v>
      </c>
      <c r="B1541" t="s">
        <v>410</v>
      </c>
      <c r="C1541" t="s">
        <v>107</v>
      </c>
      <c r="D1541" t="s">
        <v>9527</v>
      </c>
      <c r="E1541">
        <v>48</v>
      </c>
      <c r="F1541" t="s">
        <v>649</v>
      </c>
      <c r="G1541" t="s">
        <v>191</v>
      </c>
      <c r="H1541" t="s">
        <v>4051</v>
      </c>
      <c r="I1541" s="1" t="d">
        <v>2024-04-12</v>
      </c>
      <c r="J1541" t="s">
        <v>4052</v>
      </c>
      <c r="K1541" s="17" t="s">
        <v>71</v>
      </c>
      <c r="L1541">
        <v>2</v>
      </c>
    </row>
    <row r="1542" spans="1:12" x14ac:dyDescent="0.25">
      <c r="A1542" t="s">
        <v>4053</v>
      </c>
      <c r="B1542" t="s">
        <v>931</v>
      </c>
      <c r="C1542" t="s">
        <v>1377</v>
      </c>
      <c r="D1542" t="s">
        <v>9527</v>
      </c>
      <c r="E1542">
        <v>47</v>
      </c>
      <c r="F1542" t="s">
        <v>296</v>
      </c>
      <c r="G1542" t="s">
        <v>82</v>
      </c>
      <c r="H1542" t="s">
        <v>4054</v>
      </c>
      <c r="I1542" s="1" t="d">
        <v>2013-04-14</v>
      </c>
      <c r="J1542" t="s">
        <v>4055</v>
      </c>
      <c r="K1542" s="17" t="s">
        <v>27</v>
      </c>
      <c r="L1542">
        <v>3</v>
      </c>
    </row>
    <row r="1543" spans="1:12" x14ac:dyDescent="0.25">
      <c r="A1543" t="s">
        <v>4056</v>
      </c>
      <c r="B1543" t="s">
        <v>194</v>
      </c>
      <c r="C1543" t="s">
        <v>175</v>
      </c>
      <c r="D1543" t="s">
        <v>46</v>
      </c>
      <c r="E1543">
        <v>38</v>
      </c>
      <c r="F1543" t="s">
        <v>108</v>
      </c>
      <c r="G1543" t="s">
        <v>205</v>
      </c>
      <c r="H1543">
        <v>85240</v>
      </c>
      <c r="I1543" s="1" t="d">
        <v>2019-05-26</v>
      </c>
      <c r="J1543" t="s">
        <v>1084</v>
      </c>
      <c r="K1543" s="17" t="s">
        <v>50</v>
      </c>
      <c r="L1543">
        <v>3</v>
      </c>
    </row>
    <row r="1544" spans="1:12" x14ac:dyDescent="0.25">
      <c r="A1544" t="s">
        <v>4057</v>
      </c>
      <c r="B1544" t="s">
        <v>520</v>
      </c>
      <c r="C1544" t="s">
        <v>67</v>
      </c>
      <c r="D1544" t="s">
        <v>23</v>
      </c>
      <c r="E1544">
        <v>25</v>
      </c>
      <c r="F1544" t="s">
        <v>94</v>
      </c>
      <c r="G1544" t="s">
        <v>170</v>
      </c>
      <c r="H1544">
        <v>62216</v>
      </c>
      <c r="I1544" s="1" t="d">
        <v>2007-05-12</v>
      </c>
      <c r="J1544" t="s">
        <v>2518</v>
      </c>
      <c r="K1544" s="17" t="s">
        <v>100</v>
      </c>
      <c r="L1544">
        <v>4</v>
      </c>
    </row>
    <row r="1545" spans="1:12" x14ac:dyDescent="0.25">
      <c r="A1545" t="s">
        <v>4058</v>
      </c>
      <c r="B1545" t="s">
        <v>221</v>
      </c>
      <c r="C1545" t="s">
        <v>53</v>
      </c>
      <c r="D1545" t="s">
        <v>46</v>
      </c>
      <c r="E1545">
        <v>58</v>
      </c>
      <c r="F1545" t="s">
        <v>146</v>
      </c>
      <c r="G1545" t="s">
        <v>16</v>
      </c>
      <c r="H1545" t="s">
        <v>4059</v>
      </c>
      <c r="I1545" s="1" t="d">
        <v>2018-07-09</v>
      </c>
      <c r="J1545" t="s">
        <v>4060</v>
      </c>
      <c r="K1545" s="17" t="s">
        <v>100</v>
      </c>
      <c r="L1545">
        <v>5</v>
      </c>
    </row>
    <row r="1546" spans="1:12" x14ac:dyDescent="0.25">
      <c r="A1546" t="s">
        <v>4061</v>
      </c>
      <c r="B1546" t="s">
        <v>4062</v>
      </c>
      <c r="C1546" t="s">
        <v>830</v>
      </c>
      <c r="D1546" t="s">
        <v>23</v>
      </c>
      <c r="E1546">
        <v>43</v>
      </c>
      <c r="F1546" t="s">
        <v>245</v>
      </c>
      <c r="G1546" t="s">
        <v>16</v>
      </c>
      <c r="H1546">
        <v>81632</v>
      </c>
      <c r="I1546" s="1" t="d">
        <v>2011-10-06</v>
      </c>
      <c r="J1546" t="s">
        <v>4063</v>
      </c>
      <c r="K1546" s="17" t="s">
        <v>90</v>
      </c>
      <c r="L1546">
        <v>4</v>
      </c>
    </row>
    <row r="1547" spans="1:12" x14ac:dyDescent="0.25">
      <c r="A1547" t="s">
        <v>4064</v>
      </c>
      <c r="B1547" t="s">
        <v>125</v>
      </c>
      <c r="C1547" t="s">
        <v>898</v>
      </c>
      <c r="D1547" t="s">
        <v>23</v>
      </c>
      <c r="E1547">
        <v>44</v>
      </c>
      <c r="G1547" t="s">
        <v>39</v>
      </c>
      <c r="H1547" t="s">
        <v>4065</v>
      </c>
      <c r="I1547" s="1" t="d">
        <v>2017-11-27</v>
      </c>
      <c r="J1547" t="s">
        <v>1114</v>
      </c>
      <c r="K1547" s="17" t="s">
        <v>207</v>
      </c>
      <c r="L1547">
        <v>4</v>
      </c>
    </row>
    <row r="1548" spans="1:12" x14ac:dyDescent="0.25">
      <c r="A1548" t="s">
        <v>4066</v>
      </c>
      <c r="B1548" t="s">
        <v>86</v>
      </c>
      <c r="C1548" t="s">
        <v>268</v>
      </c>
      <c r="D1548" t="s">
        <v>9527</v>
      </c>
      <c r="E1548">
        <v>62</v>
      </c>
      <c r="F1548" t="s">
        <v>3794</v>
      </c>
      <c r="G1548" t="s">
        <v>217</v>
      </c>
      <c r="I1548" s="1" t="d">
        <v>2016-06-05</v>
      </c>
      <c r="J1548" t="s">
        <v>4067</v>
      </c>
      <c r="K1548" s="17" t="s">
        <v>207</v>
      </c>
      <c r="L1548">
        <v>4</v>
      </c>
    </row>
    <row r="1549" spans="1:12" x14ac:dyDescent="0.25">
      <c r="A1549" t="s">
        <v>4068</v>
      </c>
      <c r="B1549" t="s">
        <v>44</v>
      </c>
      <c r="C1549" t="s">
        <v>1326</v>
      </c>
      <c r="D1549" t="s">
        <v>23</v>
      </c>
      <c r="E1549">
        <v>52</v>
      </c>
      <c r="F1549" t="s">
        <v>666</v>
      </c>
      <c r="G1549" t="s">
        <v>55</v>
      </c>
      <c r="H1549">
        <v>54110</v>
      </c>
      <c r="I1549" s="1" t="d">
        <v>2014-10-03</v>
      </c>
      <c r="J1549" t="s">
        <v>260</v>
      </c>
      <c r="K1549" s="17" t="s">
        <v>27</v>
      </c>
      <c r="L1549">
        <v>1</v>
      </c>
    </row>
    <row r="1550" spans="1:12" x14ac:dyDescent="0.25">
      <c r="A1550" t="s">
        <v>4069</v>
      </c>
      <c r="B1550" t="s">
        <v>2681</v>
      </c>
      <c r="C1550" t="s">
        <v>1442</v>
      </c>
      <c r="D1550" t="s">
        <v>9527</v>
      </c>
      <c r="E1550">
        <v>31</v>
      </c>
      <c r="F1550" t="s">
        <v>196</v>
      </c>
      <c r="G1550" t="s">
        <v>205</v>
      </c>
      <c r="H1550" s="2">
        <v>49766</v>
      </c>
      <c r="I1550" s="1" t="d">
        <v>2022-02-27</v>
      </c>
      <c r="J1550" t="s">
        <v>4070</v>
      </c>
      <c r="K1550" s="17" t="s">
        <v>19</v>
      </c>
      <c r="L1550">
        <v>2</v>
      </c>
    </row>
    <row r="1551" spans="1:12" x14ac:dyDescent="0.25">
      <c r="A1551" t="s">
        <v>1957</v>
      </c>
      <c r="B1551" t="s">
        <v>410</v>
      </c>
      <c r="C1551" t="s">
        <v>483</v>
      </c>
      <c r="D1551" t="s">
        <v>9527</v>
      </c>
      <c r="E1551">
        <v>34</v>
      </c>
      <c r="G1551" t="s">
        <v>458</v>
      </c>
      <c r="H1551" s="2">
        <v>55710</v>
      </c>
      <c r="I1551" s="1" t="d">
        <v>2011-12-22</v>
      </c>
      <c r="J1551" t="s">
        <v>1960</v>
      </c>
      <c r="K1551" s="17" t="s">
        <v>118</v>
      </c>
      <c r="L1551">
        <v>4</v>
      </c>
    </row>
    <row r="1552" spans="1:12" x14ac:dyDescent="0.25">
      <c r="A1552" t="s">
        <v>4071</v>
      </c>
      <c r="B1552" t="s">
        <v>4072</v>
      </c>
      <c r="C1552" t="s">
        <v>2428</v>
      </c>
      <c r="D1552" t="s">
        <v>9527</v>
      </c>
      <c r="E1552">
        <v>32</v>
      </c>
      <c r="F1552" t="s">
        <v>399</v>
      </c>
      <c r="G1552" t="s">
        <v>387</v>
      </c>
      <c r="H1552" t="s">
        <v>4073</v>
      </c>
      <c r="I1552" s="1" t="d">
        <v>2009-03-18</v>
      </c>
      <c r="J1552" t="s">
        <v>235</v>
      </c>
      <c r="K1552" s="17" t="s">
        <v>42</v>
      </c>
      <c r="L1552">
        <v>4</v>
      </c>
    </row>
    <row r="1553" spans="1:12" x14ac:dyDescent="0.25">
      <c r="A1553" t="s">
        <v>4074</v>
      </c>
      <c r="B1553" t="s">
        <v>769</v>
      </c>
      <c r="C1553" t="s">
        <v>1030</v>
      </c>
      <c r="D1553" t="s">
        <v>9527</v>
      </c>
      <c r="E1553">
        <v>32</v>
      </c>
      <c r="F1553" t="s">
        <v>4075</v>
      </c>
      <c r="G1553" t="s">
        <v>115</v>
      </c>
      <c r="H1553" t="s">
        <v>4076</v>
      </c>
      <c r="I1553" s="1" t="d">
        <v>2005-11-19</v>
      </c>
      <c r="J1553" t="s">
        <v>3484</v>
      </c>
      <c r="K1553" s="17" t="s">
        <v>184</v>
      </c>
      <c r="L1553">
        <v>2</v>
      </c>
    </row>
    <row r="1554" spans="1:12" x14ac:dyDescent="0.25">
      <c r="A1554" t="s">
        <v>4077</v>
      </c>
      <c r="B1554" t="s">
        <v>79</v>
      </c>
      <c r="C1554" t="s">
        <v>318</v>
      </c>
      <c r="D1554" t="s">
        <v>23</v>
      </c>
      <c r="E1554">
        <v>44</v>
      </c>
      <c r="F1554" t="s">
        <v>269</v>
      </c>
      <c r="G1554" t="s">
        <v>82</v>
      </c>
      <c r="H1554">
        <v>41485</v>
      </c>
      <c r="I1554" s="1" t="d">
        <v>2017-09-21</v>
      </c>
      <c r="J1554" t="s">
        <v>4078</v>
      </c>
      <c r="K1554" s="17" t="s">
        <v>58</v>
      </c>
      <c r="L1554">
        <v>4</v>
      </c>
    </row>
    <row r="1555" spans="1:12" x14ac:dyDescent="0.25">
      <c r="A1555" t="s">
        <v>4079</v>
      </c>
      <c r="B1555" t="s">
        <v>4080</v>
      </c>
      <c r="C1555" t="s">
        <v>4081</v>
      </c>
      <c r="D1555" t="s">
        <v>9527</v>
      </c>
      <c r="E1555">
        <v>25</v>
      </c>
      <c r="F1555" t="s">
        <v>1120</v>
      </c>
      <c r="G1555" t="s">
        <v>39</v>
      </c>
      <c r="H1555" t="s">
        <v>4082</v>
      </c>
      <c r="I1555" s="1" t="d">
        <v>2022-03-03</v>
      </c>
      <c r="J1555" t="s">
        <v>592</v>
      </c>
      <c r="K1555" s="17" t="s">
        <v>19</v>
      </c>
      <c r="L1555">
        <v>2</v>
      </c>
    </row>
    <row r="1556" spans="1:12" x14ac:dyDescent="0.25">
      <c r="A1556" t="s">
        <v>4083</v>
      </c>
      <c r="B1556" t="s">
        <v>594</v>
      </c>
      <c r="C1556" t="s">
        <v>4084</v>
      </c>
      <c r="D1556" t="s">
        <v>9527</v>
      </c>
      <c r="E1556">
        <v>30</v>
      </c>
      <c r="F1556" t="s">
        <v>666</v>
      </c>
      <c r="G1556" t="s">
        <v>164</v>
      </c>
      <c r="H1556">
        <v>65503</v>
      </c>
      <c r="I1556" s="1" t="d">
        <v>2016-03-26</v>
      </c>
      <c r="J1556" t="s">
        <v>303</v>
      </c>
      <c r="K1556" s="17" t="s">
        <v>184</v>
      </c>
      <c r="L1556">
        <v>2</v>
      </c>
    </row>
    <row r="1557" spans="1:12" x14ac:dyDescent="0.25">
      <c r="A1557" t="s">
        <v>4085</v>
      </c>
      <c r="B1557" t="s">
        <v>467</v>
      </c>
      <c r="C1557" t="s">
        <v>140</v>
      </c>
      <c r="D1557" t="s">
        <v>9527</v>
      </c>
      <c r="E1557">
        <v>36</v>
      </c>
      <c r="F1557" t="s">
        <v>186</v>
      </c>
      <c r="G1557" t="s">
        <v>283</v>
      </c>
      <c r="H1557" t="s">
        <v>4086</v>
      </c>
      <c r="I1557" s="1" t="d">
        <v>2011-01-21</v>
      </c>
      <c r="J1557" t="s">
        <v>3974</v>
      </c>
      <c r="K1557" s="17" t="s">
        <v>118</v>
      </c>
      <c r="L1557">
        <v>3</v>
      </c>
    </row>
    <row r="1558" spans="1:12" x14ac:dyDescent="0.25">
      <c r="A1558" t="s">
        <v>4087</v>
      </c>
      <c r="B1558" t="s">
        <v>426</v>
      </c>
      <c r="C1558" t="s">
        <v>121</v>
      </c>
      <c r="D1558" t="s">
        <v>46</v>
      </c>
      <c r="E1558">
        <v>53</v>
      </c>
      <c r="F1558" t="s">
        <v>54</v>
      </c>
      <c r="G1558" t="s">
        <v>82</v>
      </c>
      <c r="H1558" s="2">
        <v>51793</v>
      </c>
      <c r="I1558" s="1" t="d">
        <v>2015-10-10</v>
      </c>
      <c r="J1558" t="s">
        <v>3900</v>
      </c>
      <c r="K1558" s="17" t="s">
        <v>71</v>
      </c>
      <c r="L1558">
        <v>3</v>
      </c>
    </row>
    <row r="1559" spans="1:12" x14ac:dyDescent="0.25">
      <c r="A1559" t="s">
        <v>4088</v>
      </c>
      <c r="B1559" t="s">
        <v>4089</v>
      </c>
      <c r="C1559" t="s">
        <v>4090</v>
      </c>
      <c r="D1559" t="s">
        <v>46</v>
      </c>
      <c r="E1559">
        <v>53</v>
      </c>
      <c r="F1559" t="s">
        <v>2302</v>
      </c>
      <c r="G1559" t="s">
        <v>182</v>
      </c>
      <c r="H1559">
        <v>133216</v>
      </c>
      <c r="I1559" s="1" t="d">
        <v>2016-04-15</v>
      </c>
      <c r="J1559" t="s">
        <v>4091</v>
      </c>
      <c r="K1559" s="17" t="s">
        <v>149</v>
      </c>
      <c r="L1559">
        <v>3</v>
      </c>
    </row>
    <row r="1560" spans="1:12" x14ac:dyDescent="0.25">
      <c r="A1560" t="s">
        <v>4092</v>
      </c>
      <c r="B1560" t="s">
        <v>470</v>
      </c>
      <c r="C1560" t="s">
        <v>168</v>
      </c>
      <c r="D1560" t="s">
        <v>23</v>
      </c>
      <c r="E1560">
        <v>43</v>
      </c>
      <c r="F1560" t="s">
        <v>441</v>
      </c>
      <c r="G1560" t="s">
        <v>170</v>
      </c>
      <c r="J1560" t="s">
        <v>925</v>
      </c>
      <c r="K1560" s="17" t="s">
        <v>184</v>
      </c>
      <c r="L1560">
        <v>4</v>
      </c>
    </row>
    <row r="1561" spans="1:12" x14ac:dyDescent="0.25">
      <c r="A1561" t="s">
        <v>1982</v>
      </c>
      <c r="B1561" t="s">
        <v>221</v>
      </c>
      <c r="C1561" t="s">
        <v>474</v>
      </c>
      <c r="D1561" t="s">
        <v>9527</v>
      </c>
      <c r="E1561">
        <v>34</v>
      </c>
      <c r="F1561" t="s">
        <v>1983</v>
      </c>
      <c r="G1561" t="s">
        <v>48</v>
      </c>
      <c r="H1561" t="s">
        <v>1984</v>
      </c>
      <c r="I1561" s="1" t="d">
        <v>2021-02-01</v>
      </c>
      <c r="J1561" t="s">
        <v>1985</v>
      </c>
      <c r="K1561" s="17" t="s">
        <v>19</v>
      </c>
      <c r="L1561">
        <v>4</v>
      </c>
    </row>
    <row r="1562" spans="1:12" x14ac:dyDescent="0.25">
      <c r="A1562" t="s">
        <v>4093</v>
      </c>
      <c r="B1562" t="s">
        <v>125</v>
      </c>
      <c r="C1562" t="s">
        <v>4094</v>
      </c>
      <c r="D1562" t="s">
        <v>23</v>
      </c>
      <c r="E1562">
        <v>33</v>
      </c>
      <c r="F1562" t="s">
        <v>4095</v>
      </c>
      <c r="G1562" t="s">
        <v>205</v>
      </c>
      <c r="H1562">
        <v>64746</v>
      </c>
      <c r="I1562" s="1" t="d">
        <v>2024-04-21</v>
      </c>
      <c r="J1562" t="s">
        <v>4096</v>
      </c>
      <c r="K1562" s="17" t="s">
        <v>34</v>
      </c>
      <c r="L1562">
        <v>3</v>
      </c>
    </row>
    <row r="1563" spans="1:12" x14ac:dyDescent="0.25">
      <c r="A1563" t="s">
        <v>4097</v>
      </c>
      <c r="B1563" t="s">
        <v>79</v>
      </c>
      <c r="C1563" t="s">
        <v>14</v>
      </c>
      <c r="D1563" t="s">
        <v>9527</v>
      </c>
      <c r="E1563">
        <v>35</v>
      </c>
      <c r="F1563" t="s">
        <v>253</v>
      </c>
      <c r="G1563" t="s">
        <v>39</v>
      </c>
      <c r="H1563" t="s">
        <v>4098</v>
      </c>
      <c r="I1563" s="1" t="d">
        <v>2012-09-05</v>
      </c>
      <c r="J1563" t="s">
        <v>2669</v>
      </c>
      <c r="K1563" s="17" t="s">
        <v>184</v>
      </c>
      <c r="L1563">
        <v>3</v>
      </c>
    </row>
    <row r="1564" spans="1:12" x14ac:dyDescent="0.25">
      <c r="A1564" t="s">
        <v>4099</v>
      </c>
      <c r="B1564" t="s">
        <v>841</v>
      </c>
      <c r="C1564" t="s">
        <v>827</v>
      </c>
      <c r="D1564" t="s">
        <v>23</v>
      </c>
      <c r="E1564">
        <v>25</v>
      </c>
      <c r="F1564" t="s">
        <v>238</v>
      </c>
      <c r="G1564" t="s">
        <v>82</v>
      </c>
      <c r="H1564" s="2">
        <v>43529</v>
      </c>
      <c r="I1564" s="1" t="d">
        <v>2015-01-09</v>
      </c>
      <c r="J1564" t="s">
        <v>3010</v>
      </c>
      <c r="K1564" s="17" t="s">
        <v>71</v>
      </c>
      <c r="L1564">
        <v>3</v>
      </c>
    </row>
    <row r="1565" spans="1:12" x14ac:dyDescent="0.25">
      <c r="A1565" t="s">
        <v>4100</v>
      </c>
      <c r="B1565" t="s">
        <v>499</v>
      </c>
      <c r="C1565" t="s">
        <v>1320</v>
      </c>
      <c r="D1565" t="s">
        <v>23</v>
      </c>
      <c r="E1565">
        <v>28</v>
      </c>
      <c r="F1565" t="s">
        <v>200</v>
      </c>
      <c r="G1565" t="s">
        <v>191</v>
      </c>
      <c r="I1565" s="1" t="d">
        <v>2023-06-12</v>
      </c>
      <c r="J1565" t="s">
        <v>592</v>
      </c>
      <c r="K1565" s="17" t="s">
        <v>34</v>
      </c>
      <c r="L1565">
        <v>3</v>
      </c>
    </row>
    <row r="1566" spans="1:12" x14ac:dyDescent="0.25">
      <c r="A1566" t="s">
        <v>4101</v>
      </c>
      <c r="B1566" t="s">
        <v>914</v>
      </c>
      <c r="C1566" t="s">
        <v>4031</v>
      </c>
      <c r="D1566" t="s">
        <v>9527</v>
      </c>
      <c r="E1566">
        <v>21</v>
      </c>
      <c r="F1566" t="s">
        <v>258</v>
      </c>
      <c r="G1566" t="s">
        <v>212</v>
      </c>
      <c r="I1566" s="1" t="d">
        <v>2018-01-25</v>
      </c>
      <c r="J1566" t="s">
        <v>3491</v>
      </c>
      <c r="K1566" s="17" t="s">
        <v>34</v>
      </c>
      <c r="L1566">
        <v>5</v>
      </c>
    </row>
    <row r="1567" spans="1:12" x14ac:dyDescent="0.25">
      <c r="A1567" t="s">
        <v>4102</v>
      </c>
      <c r="B1567" t="s">
        <v>228</v>
      </c>
      <c r="C1567" t="s">
        <v>521</v>
      </c>
      <c r="D1567" t="s">
        <v>23</v>
      </c>
      <c r="E1567">
        <v>34</v>
      </c>
      <c r="F1567" t="s">
        <v>417</v>
      </c>
      <c r="G1567" t="s">
        <v>283</v>
      </c>
      <c r="H1567">
        <v>122716</v>
      </c>
      <c r="I1567" s="1" t="d">
        <v>2007-07-18</v>
      </c>
      <c r="J1567" t="s">
        <v>4103</v>
      </c>
      <c r="K1567" s="17" t="s">
        <v>118</v>
      </c>
      <c r="L1567">
        <v>3</v>
      </c>
    </row>
    <row r="1568" spans="1:12" x14ac:dyDescent="0.25">
      <c r="A1568" t="s">
        <v>4104</v>
      </c>
      <c r="B1568" t="s">
        <v>130</v>
      </c>
      <c r="C1568" t="s">
        <v>1291</v>
      </c>
      <c r="D1568" t="s">
        <v>23</v>
      </c>
      <c r="E1568">
        <v>48</v>
      </c>
      <c r="F1568" t="s">
        <v>978</v>
      </c>
      <c r="G1568" t="s">
        <v>217</v>
      </c>
      <c r="H1568" s="2">
        <v>-125810</v>
      </c>
      <c r="I1568" s="1" t="d">
        <v>2023-07-01</v>
      </c>
      <c r="J1568" t="s">
        <v>1474</v>
      </c>
      <c r="K1568" s="17" t="s">
        <v>27</v>
      </c>
      <c r="L1568">
        <v>3</v>
      </c>
    </row>
    <row r="1569" spans="1:12" x14ac:dyDescent="0.25">
      <c r="A1569" t="s">
        <v>4105</v>
      </c>
      <c r="B1569" t="s">
        <v>448</v>
      </c>
      <c r="C1569" t="s">
        <v>1332</v>
      </c>
      <c r="D1569" t="s">
        <v>46</v>
      </c>
      <c r="E1569">
        <v>41</v>
      </c>
      <c r="F1569" t="s">
        <v>153</v>
      </c>
      <c r="G1569" t="s">
        <v>278</v>
      </c>
      <c r="H1569" t="s">
        <v>4106</v>
      </c>
      <c r="I1569" s="1" t="d">
        <v>2011-03-26</v>
      </c>
      <c r="J1569" t="s">
        <v>2655</v>
      </c>
      <c r="K1569" s="17" t="s">
        <v>370</v>
      </c>
      <c r="L1569">
        <v>3</v>
      </c>
    </row>
    <row r="1570" spans="1:12" x14ac:dyDescent="0.25">
      <c r="A1570" t="s">
        <v>4107</v>
      </c>
      <c r="B1570" t="s">
        <v>1784</v>
      </c>
      <c r="C1570" t="s">
        <v>61</v>
      </c>
      <c r="D1570" t="s">
        <v>46</v>
      </c>
      <c r="E1570">
        <v>29</v>
      </c>
      <c r="F1570" t="s">
        <v>264</v>
      </c>
      <c r="G1570" t="s">
        <v>32</v>
      </c>
      <c r="H1570">
        <v>999999</v>
      </c>
      <c r="I1570" s="1" t="d">
        <v>2007-03-02</v>
      </c>
      <c r="J1570" t="s">
        <v>4108</v>
      </c>
      <c r="K1570" s="17" t="s">
        <v>207</v>
      </c>
      <c r="L1570">
        <v>3</v>
      </c>
    </row>
    <row r="1571" spans="1:12" x14ac:dyDescent="0.25">
      <c r="A1571" t="s">
        <v>4109</v>
      </c>
      <c r="B1571" t="s">
        <v>2248</v>
      </c>
      <c r="C1571" t="s">
        <v>318</v>
      </c>
      <c r="D1571" t="s">
        <v>23</v>
      </c>
      <c r="E1571">
        <v>35</v>
      </c>
      <c r="F1571" t="s">
        <v>1532</v>
      </c>
      <c r="G1571" t="s">
        <v>283</v>
      </c>
      <c r="H1571" t="s">
        <v>4110</v>
      </c>
      <c r="I1571" s="1" t="d">
        <v>2011-08-19</v>
      </c>
      <c r="J1571" t="s">
        <v>4111</v>
      </c>
      <c r="K1571" s="17" t="s">
        <v>27</v>
      </c>
      <c r="L1571">
        <v>2</v>
      </c>
    </row>
    <row r="1572" spans="1:12" x14ac:dyDescent="0.25">
      <c r="A1572" t="s">
        <v>4112</v>
      </c>
      <c r="B1572" t="s">
        <v>151</v>
      </c>
      <c r="C1572" t="s">
        <v>103</v>
      </c>
      <c r="D1572" t="s">
        <v>9527</v>
      </c>
      <c r="E1572">
        <v>38</v>
      </c>
      <c r="F1572" t="s">
        <v>411</v>
      </c>
      <c r="G1572" t="s">
        <v>504</v>
      </c>
      <c r="H1572" t="s">
        <v>4113</v>
      </c>
      <c r="I1572" s="1" t="d">
        <v>2009-05-01</v>
      </c>
      <c r="J1572" t="s">
        <v>2924</v>
      </c>
      <c r="K1572" s="17" t="s">
        <v>184</v>
      </c>
      <c r="L1572">
        <v>4</v>
      </c>
    </row>
    <row r="1573" spans="1:12" x14ac:dyDescent="0.25">
      <c r="A1573" t="s">
        <v>4114</v>
      </c>
      <c r="B1573" t="s">
        <v>1051</v>
      </c>
      <c r="C1573" t="s">
        <v>244</v>
      </c>
      <c r="D1573" t="s">
        <v>23</v>
      </c>
      <c r="E1573">
        <v>27</v>
      </c>
      <c r="F1573" t="s">
        <v>75</v>
      </c>
      <c r="G1573" t="s">
        <v>16</v>
      </c>
      <c r="H1573" t="s">
        <v>4115</v>
      </c>
      <c r="I1573" s="1" t="d">
        <v>2009-07-14</v>
      </c>
      <c r="J1573" t="s">
        <v>2997</v>
      </c>
      <c r="K1573" s="17" t="s">
        <v>42</v>
      </c>
      <c r="L1573">
        <v>4</v>
      </c>
    </row>
    <row r="1574" spans="1:12" x14ac:dyDescent="0.25">
      <c r="A1574" t="s">
        <v>4116</v>
      </c>
      <c r="B1574" t="s">
        <v>248</v>
      </c>
      <c r="C1574" t="s">
        <v>858</v>
      </c>
      <c r="D1574" t="s">
        <v>46</v>
      </c>
      <c r="E1574">
        <v>34</v>
      </c>
      <c r="G1574" t="s">
        <v>357</v>
      </c>
      <c r="H1574" t="s">
        <v>4117</v>
      </c>
      <c r="I1574" s="1" t="d">
        <v>2017-05-30</v>
      </c>
      <c r="J1574" t="s">
        <v>2346</v>
      </c>
      <c r="K1574" s="17" t="s">
        <v>90</v>
      </c>
      <c r="L1574">
        <v>4</v>
      </c>
    </row>
    <row r="1575" spans="1:12" x14ac:dyDescent="0.25">
      <c r="A1575" t="s">
        <v>4118</v>
      </c>
      <c r="B1575" t="s">
        <v>804</v>
      </c>
      <c r="C1575" t="s">
        <v>778</v>
      </c>
      <c r="D1575" t="s">
        <v>46</v>
      </c>
      <c r="E1575">
        <v>32</v>
      </c>
      <c r="F1575" t="s">
        <v>68</v>
      </c>
      <c r="G1575" t="s">
        <v>485</v>
      </c>
      <c r="H1575" s="2">
        <v>245662</v>
      </c>
      <c r="I1575" s="1" t="d">
        <v>2005-04-05</v>
      </c>
      <c r="J1575" t="s">
        <v>4119</v>
      </c>
      <c r="K1575" s="17" t="s">
        <v>184</v>
      </c>
      <c r="L1575">
        <v>3</v>
      </c>
    </row>
    <row r="1576" spans="1:12" x14ac:dyDescent="0.25">
      <c r="A1576" t="s">
        <v>4120</v>
      </c>
      <c r="B1576" t="s">
        <v>251</v>
      </c>
      <c r="C1576" t="s">
        <v>45</v>
      </c>
      <c r="D1576" t="s">
        <v>9527</v>
      </c>
      <c r="E1576">
        <v>36</v>
      </c>
      <c r="G1576" t="s">
        <v>504</v>
      </c>
      <c r="H1576" s="2">
        <v>44795</v>
      </c>
      <c r="I1576" s="1" t="d">
        <v>2016-08-04</v>
      </c>
      <c r="J1576" t="s">
        <v>2629</v>
      </c>
      <c r="K1576" s="17" t="s">
        <v>58</v>
      </c>
      <c r="L1576">
        <v>4</v>
      </c>
    </row>
    <row r="1577" spans="1:12" x14ac:dyDescent="0.25">
      <c r="A1577" t="s">
        <v>4121</v>
      </c>
      <c r="B1577" t="s">
        <v>1842</v>
      </c>
      <c r="C1577" t="s">
        <v>1332</v>
      </c>
      <c r="D1577" t="s">
        <v>46</v>
      </c>
      <c r="E1577">
        <v>49</v>
      </c>
      <c r="F1577" t="s">
        <v>918</v>
      </c>
      <c r="G1577" t="s">
        <v>526</v>
      </c>
      <c r="H1577" t="s">
        <v>4122</v>
      </c>
      <c r="I1577" s="1" t="d">
        <v>2009-12-05</v>
      </c>
      <c r="J1577" t="s">
        <v>4123</v>
      </c>
      <c r="K1577" s="17" t="s">
        <v>71</v>
      </c>
      <c r="L1577">
        <v>4</v>
      </c>
    </row>
    <row r="1578" spans="1:12" x14ac:dyDescent="0.25">
      <c r="A1578" t="s">
        <v>4124</v>
      </c>
      <c r="B1578" t="s">
        <v>1689</v>
      </c>
      <c r="C1578" t="s">
        <v>386</v>
      </c>
      <c r="D1578" t="s">
        <v>9527</v>
      </c>
      <c r="E1578">
        <v>45</v>
      </c>
      <c r="F1578" t="s">
        <v>296</v>
      </c>
      <c r="G1578" t="s">
        <v>48</v>
      </c>
      <c r="H1578" t="s">
        <v>1739</v>
      </c>
      <c r="I1578" s="1" t="d">
        <v>2021-02-02</v>
      </c>
      <c r="J1578" t="s">
        <v>1659</v>
      </c>
      <c r="K1578" s="17" t="s">
        <v>42</v>
      </c>
      <c r="L1578">
        <v>3</v>
      </c>
    </row>
    <row r="1579" spans="1:12" x14ac:dyDescent="0.25">
      <c r="A1579" t="s">
        <v>4125</v>
      </c>
      <c r="B1579" t="s">
        <v>664</v>
      </c>
      <c r="C1579" t="s">
        <v>483</v>
      </c>
      <c r="D1579" t="s">
        <v>46</v>
      </c>
      <c r="E1579">
        <v>40</v>
      </c>
      <c r="F1579" t="s">
        <v>2723</v>
      </c>
      <c r="G1579" t="s">
        <v>48</v>
      </c>
      <c r="H1579" t="s">
        <v>4126</v>
      </c>
      <c r="I1579" s="1" t="d">
        <v>2018-03-30</v>
      </c>
      <c r="J1579" t="s">
        <v>925</v>
      </c>
      <c r="K1579" s="17" t="s">
        <v>19</v>
      </c>
      <c r="L1579">
        <v>4</v>
      </c>
    </row>
    <row r="1580" spans="1:12" x14ac:dyDescent="0.25">
      <c r="A1580" t="s">
        <v>4127</v>
      </c>
      <c r="B1580" t="s">
        <v>281</v>
      </c>
      <c r="C1580" t="s">
        <v>4128</v>
      </c>
      <c r="D1580" t="s">
        <v>46</v>
      </c>
      <c r="E1580">
        <v>28</v>
      </c>
      <c r="F1580" t="s">
        <v>1116</v>
      </c>
      <c r="G1580" t="s">
        <v>351</v>
      </c>
      <c r="I1580" s="1" t="d">
        <v>2008-06-07</v>
      </c>
      <c r="J1580" t="s">
        <v>3724</v>
      </c>
      <c r="K1580" s="17" t="s">
        <v>50</v>
      </c>
      <c r="L1580">
        <v>3</v>
      </c>
    </row>
    <row r="1581" spans="1:12" x14ac:dyDescent="0.25">
      <c r="A1581" t="s">
        <v>4129</v>
      </c>
      <c r="B1581" t="s">
        <v>773</v>
      </c>
      <c r="C1581" t="s">
        <v>457</v>
      </c>
      <c r="D1581" t="s">
        <v>46</v>
      </c>
      <c r="E1581">
        <v>54</v>
      </c>
      <c r="F1581" t="s">
        <v>200</v>
      </c>
      <c r="G1581" t="s">
        <v>39</v>
      </c>
      <c r="H1581" t="s">
        <v>4130</v>
      </c>
      <c r="I1581" s="1" t="d">
        <v>2016-01-25</v>
      </c>
      <c r="J1581" t="s">
        <v>4131</v>
      </c>
      <c r="K1581" s="17" t="s">
        <v>370</v>
      </c>
      <c r="L1581">
        <v>2</v>
      </c>
    </row>
    <row r="1582" spans="1:12" x14ac:dyDescent="0.25">
      <c r="A1582" t="s">
        <v>4132</v>
      </c>
      <c r="B1582" t="s">
        <v>659</v>
      </c>
      <c r="C1582" t="s">
        <v>372</v>
      </c>
      <c r="D1582" t="s">
        <v>23</v>
      </c>
      <c r="E1582">
        <v>45</v>
      </c>
      <c r="F1582" t="s">
        <v>15</v>
      </c>
      <c r="G1582" t="s">
        <v>1199</v>
      </c>
      <c r="H1582" t="s">
        <v>4133</v>
      </c>
      <c r="I1582" s="1" t="d">
        <v>2012-09-29</v>
      </c>
      <c r="J1582" t="s">
        <v>3556</v>
      </c>
      <c r="K1582" s="17" t="s">
        <v>90</v>
      </c>
      <c r="L1582">
        <v>3</v>
      </c>
    </row>
    <row r="1583" spans="1:12" x14ac:dyDescent="0.25">
      <c r="A1583" t="s">
        <v>4134</v>
      </c>
      <c r="B1583" t="s">
        <v>139</v>
      </c>
      <c r="C1583" t="s">
        <v>53</v>
      </c>
      <c r="D1583" t="s">
        <v>46</v>
      </c>
      <c r="E1583">
        <v>33</v>
      </c>
      <c r="F1583" t="s">
        <v>15</v>
      </c>
      <c r="G1583" t="s">
        <v>217</v>
      </c>
      <c r="H1583" t="s">
        <v>4135</v>
      </c>
      <c r="I1583" s="1" t="d">
        <v>2011-12-13</v>
      </c>
      <c r="J1583" t="s">
        <v>4136</v>
      </c>
      <c r="K1583" s="17" t="s">
        <v>50</v>
      </c>
      <c r="L1583">
        <v>2</v>
      </c>
    </row>
    <row r="1584" spans="1:12" x14ac:dyDescent="0.25">
      <c r="A1584" t="s">
        <v>4137</v>
      </c>
      <c r="B1584" t="s">
        <v>804</v>
      </c>
      <c r="C1584" t="s">
        <v>4138</v>
      </c>
      <c r="D1584" t="s">
        <v>46</v>
      </c>
      <c r="E1584">
        <v>59</v>
      </c>
      <c r="F1584" t="s">
        <v>200</v>
      </c>
      <c r="G1584" t="s">
        <v>115</v>
      </c>
      <c r="I1584" s="1" t="d">
        <v>2011-02-28</v>
      </c>
      <c r="J1584" t="s">
        <v>4139</v>
      </c>
      <c r="K1584" s="17" t="s">
        <v>184</v>
      </c>
      <c r="L1584">
        <v>4</v>
      </c>
    </row>
    <row r="1585" spans="1:12" x14ac:dyDescent="0.25">
      <c r="A1585" t="s">
        <v>4140</v>
      </c>
      <c r="B1585" t="s">
        <v>637</v>
      </c>
      <c r="C1585" t="s">
        <v>67</v>
      </c>
      <c r="D1585" t="s">
        <v>46</v>
      </c>
      <c r="E1585">
        <v>38</v>
      </c>
      <c r="F1585" t="s">
        <v>169</v>
      </c>
      <c r="G1585" t="s">
        <v>177</v>
      </c>
      <c r="H1585" s="2">
        <v>48535</v>
      </c>
      <c r="I1585" s="1" t="d">
        <v>2014-07-07</v>
      </c>
      <c r="J1585" t="s">
        <v>4141</v>
      </c>
      <c r="K1585" s="17" t="s">
        <v>19</v>
      </c>
      <c r="L1585">
        <v>3</v>
      </c>
    </row>
    <row r="1586" spans="1:12" x14ac:dyDescent="0.25">
      <c r="A1586" t="s">
        <v>4142</v>
      </c>
      <c r="B1586" t="s">
        <v>664</v>
      </c>
      <c r="C1586" t="s">
        <v>1564</v>
      </c>
      <c r="D1586" t="s">
        <v>9527</v>
      </c>
      <c r="E1586">
        <v>31</v>
      </c>
      <c r="F1586" t="s">
        <v>114</v>
      </c>
      <c r="G1586" t="s">
        <v>115</v>
      </c>
      <c r="H1586" s="2">
        <v>106237</v>
      </c>
      <c r="I1586" s="1" t="d">
        <v>2017-10-14</v>
      </c>
      <c r="J1586" t="s">
        <v>4143</v>
      </c>
      <c r="K1586" s="17" t="s">
        <v>71</v>
      </c>
      <c r="L1586">
        <v>5</v>
      </c>
    </row>
    <row r="1587" spans="1:12" x14ac:dyDescent="0.25">
      <c r="A1587" t="s">
        <v>4144</v>
      </c>
      <c r="B1587" t="s">
        <v>404</v>
      </c>
      <c r="C1587" t="s">
        <v>189</v>
      </c>
      <c r="D1587" t="s">
        <v>46</v>
      </c>
      <c r="E1587">
        <v>29</v>
      </c>
      <c r="F1587" t="s">
        <v>238</v>
      </c>
      <c r="G1587" t="s">
        <v>82</v>
      </c>
      <c r="H1587">
        <v>56156</v>
      </c>
      <c r="I1587" s="1" t="d">
        <v>2007-07-27</v>
      </c>
      <c r="J1587" t="s">
        <v>4145</v>
      </c>
      <c r="K1587" s="17" t="s">
        <v>42</v>
      </c>
      <c r="L1587">
        <v>4</v>
      </c>
    </row>
    <row r="1588" spans="1:12" x14ac:dyDescent="0.25">
      <c r="A1588" t="s">
        <v>4146</v>
      </c>
      <c r="B1588" t="s">
        <v>1605</v>
      </c>
      <c r="C1588" t="s">
        <v>2231</v>
      </c>
      <c r="D1588" t="s">
        <v>9527</v>
      </c>
      <c r="E1588">
        <v>44</v>
      </c>
      <c r="F1588" t="s">
        <v>104</v>
      </c>
      <c r="G1588" t="s">
        <v>69</v>
      </c>
      <c r="H1588" s="2">
        <v>78065</v>
      </c>
      <c r="I1588" s="1" t="d">
        <v>2018-11-30</v>
      </c>
      <c r="J1588" t="s">
        <v>784</v>
      </c>
      <c r="K1588" s="17" t="s">
        <v>34</v>
      </c>
      <c r="L1588">
        <v>2</v>
      </c>
    </row>
    <row r="1589" spans="1:12" x14ac:dyDescent="0.25">
      <c r="A1589" t="s">
        <v>4147</v>
      </c>
      <c r="B1589" t="s">
        <v>520</v>
      </c>
      <c r="C1589" t="s">
        <v>195</v>
      </c>
      <c r="D1589" t="s">
        <v>9527</v>
      </c>
      <c r="E1589">
        <v>33</v>
      </c>
      <c r="F1589" t="s">
        <v>75</v>
      </c>
      <c r="G1589" t="s">
        <v>357</v>
      </c>
      <c r="H1589" t="s">
        <v>4148</v>
      </c>
      <c r="I1589" s="1" t="d">
        <v>2018-03-04</v>
      </c>
      <c r="J1589" t="s">
        <v>2964</v>
      </c>
      <c r="K1589" s="17" t="s">
        <v>50</v>
      </c>
      <c r="L1589">
        <v>3</v>
      </c>
    </row>
    <row r="1590" spans="1:12" x14ac:dyDescent="0.25">
      <c r="A1590" t="s">
        <v>4149</v>
      </c>
      <c r="B1590" t="s">
        <v>37</v>
      </c>
      <c r="C1590" t="s">
        <v>210</v>
      </c>
      <c r="D1590" t="s">
        <v>9527</v>
      </c>
      <c r="E1590">
        <v>38</v>
      </c>
      <c r="F1590" t="s">
        <v>365</v>
      </c>
      <c r="G1590" t="s">
        <v>842</v>
      </c>
      <c r="J1590" t="s">
        <v>4150</v>
      </c>
      <c r="K1590" s="17" t="s">
        <v>50</v>
      </c>
      <c r="L1590">
        <v>4</v>
      </c>
    </row>
    <row r="1591" spans="1:12" x14ac:dyDescent="0.25">
      <c r="A1591" t="s">
        <v>4151</v>
      </c>
      <c r="B1591" t="s">
        <v>1350</v>
      </c>
      <c r="C1591" t="s">
        <v>263</v>
      </c>
      <c r="D1591" t="s">
        <v>9527</v>
      </c>
      <c r="E1591">
        <v>38</v>
      </c>
      <c r="F1591" t="s">
        <v>264</v>
      </c>
      <c r="G1591" t="s">
        <v>967</v>
      </c>
      <c r="I1591" s="1" t="d">
        <v>2005-07-11</v>
      </c>
      <c r="J1591" t="s">
        <v>4152</v>
      </c>
      <c r="K1591" s="17" t="s">
        <v>118</v>
      </c>
      <c r="L1591">
        <v>4</v>
      </c>
    </row>
    <row r="1592" spans="1:12" x14ac:dyDescent="0.25">
      <c r="A1592" t="s">
        <v>4153</v>
      </c>
      <c r="B1592" t="s">
        <v>4154</v>
      </c>
      <c r="C1592" t="s">
        <v>1377</v>
      </c>
      <c r="D1592" t="s">
        <v>9527</v>
      </c>
      <c r="E1592">
        <v>44</v>
      </c>
      <c r="F1592" t="s">
        <v>859</v>
      </c>
      <c r="G1592" t="s">
        <v>170</v>
      </c>
      <c r="H1592" t="s">
        <v>4155</v>
      </c>
      <c r="I1592" s="1" t="d">
        <v>2013-06-15</v>
      </c>
      <c r="J1592" t="s">
        <v>4156</v>
      </c>
      <c r="K1592" s="17" t="s">
        <v>42</v>
      </c>
      <c r="L1592">
        <v>4</v>
      </c>
    </row>
    <row r="1593" spans="1:12" x14ac:dyDescent="0.25">
      <c r="A1593" t="s">
        <v>4157</v>
      </c>
      <c r="B1593" t="s">
        <v>433</v>
      </c>
      <c r="C1593" t="s">
        <v>381</v>
      </c>
      <c r="D1593" t="s">
        <v>23</v>
      </c>
      <c r="E1593">
        <v>21</v>
      </c>
      <c r="G1593" t="s">
        <v>127</v>
      </c>
      <c r="H1593">
        <v>112178</v>
      </c>
      <c r="I1593" s="1" t="d">
        <v>2007-12-01</v>
      </c>
      <c r="J1593" t="s">
        <v>4158</v>
      </c>
      <c r="K1593" s="17" t="s">
        <v>19</v>
      </c>
      <c r="L1593">
        <v>2</v>
      </c>
    </row>
    <row r="1594" spans="1:12" x14ac:dyDescent="0.25">
      <c r="A1594" t="s">
        <v>4159</v>
      </c>
      <c r="B1594" t="s">
        <v>228</v>
      </c>
      <c r="C1594" t="s">
        <v>61</v>
      </c>
      <c r="D1594" t="s">
        <v>46</v>
      </c>
      <c r="E1594">
        <v>50</v>
      </c>
      <c r="F1594" t="s">
        <v>1851</v>
      </c>
      <c r="G1594" t="s">
        <v>283</v>
      </c>
      <c r="H1594">
        <v>108016</v>
      </c>
      <c r="I1594" s="1" t="d">
        <v>2005-05-19</v>
      </c>
      <c r="J1594" t="s">
        <v>4160</v>
      </c>
      <c r="K1594" s="17" t="s">
        <v>42</v>
      </c>
      <c r="L1594">
        <v>3</v>
      </c>
    </row>
    <row r="1595" spans="1:12" x14ac:dyDescent="0.25">
      <c r="A1595" t="s">
        <v>4161</v>
      </c>
      <c r="B1595" t="s">
        <v>571</v>
      </c>
      <c r="C1595" t="s">
        <v>2323</v>
      </c>
      <c r="D1595" t="s">
        <v>23</v>
      </c>
      <c r="E1595">
        <v>47</v>
      </c>
      <c r="F1595" t="s">
        <v>417</v>
      </c>
      <c r="G1595" t="s">
        <v>912</v>
      </c>
      <c r="H1595">
        <v>52575</v>
      </c>
      <c r="I1595" s="1" t="d">
        <v>2015-08-24</v>
      </c>
      <c r="J1595" t="s">
        <v>4162</v>
      </c>
      <c r="K1595" s="17" t="s">
        <v>90</v>
      </c>
      <c r="L1595">
        <v>3</v>
      </c>
    </row>
    <row r="1596" spans="1:12" x14ac:dyDescent="0.25">
      <c r="A1596" t="s">
        <v>4163</v>
      </c>
      <c r="B1596" t="s">
        <v>906</v>
      </c>
      <c r="C1596" t="s">
        <v>540</v>
      </c>
      <c r="D1596" t="s">
        <v>23</v>
      </c>
      <c r="E1596">
        <v>50</v>
      </c>
      <c r="F1596" t="s">
        <v>245</v>
      </c>
      <c r="G1596" t="s">
        <v>69</v>
      </c>
      <c r="H1596" t="s">
        <v>4164</v>
      </c>
      <c r="I1596" s="1" t="d">
        <v>2009-11-17</v>
      </c>
      <c r="J1596" t="s">
        <v>1466</v>
      </c>
      <c r="K1596" s="17" t="s">
        <v>370</v>
      </c>
      <c r="L1596">
        <v>4</v>
      </c>
    </row>
    <row r="1597" spans="1:12" x14ac:dyDescent="0.25">
      <c r="A1597" t="s">
        <v>4165</v>
      </c>
      <c r="B1597" t="s">
        <v>1769</v>
      </c>
      <c r="C1597" t="s">
        <v>4166</v>
      </c>
      <c r="D1597" t="s">
        <v>46</v>
      </c>
      <c r="E1597">
        <v>49</v>
      </c>
      <c r="F1597" t="s">
        <v>859</v>
      </c>
      <c r="G1597" t="s">
        <v>217</v>
      </c>
      <c r="H1597" t="s">
        <v>4167</v>
      </c>
      <c r="I1597" s="1" t="d">
        <v>2005-08-25</v>
      </c>
      <c r="J1597" t="s">
        <v>4168</v>
      </c>
      <c r="K1597" s="17" t="s">
        <v>149</v>
      </c>
      <c r="L1597">
        <v>5</v>
      </c>
    </row>
    <row r="1598" spans="1:12" x14ac:dyDescent="0.25">
      <c r="A1598" t="s">
        <v>4169</v>
      </c>
      <c r="B1598" t="s">
        <v>355</v>
      </c>
      <c r="C1598" t="s">
        <v>45</v>
      </c>
      <c r="D1598" t="s">
        <v>46</v>
      </c>
      <c r="E1598">
        <v>48</v>
      </c>
      <c r="F1598" t="s">
        <v>169</v>
      </c>
      <c r="G1598" t="s">
        <v>351</v>
      </c>
      <c r="I1598" s="1" t="d">
        <v>2013-07-05</v>
      </c>
      <c r="J1598" t="s">
        <v>1856</v>
      </c>
      <c r="K1598" s="17" t="s">
        <v>71</v>
      </c>
      <c r="L1598">
        <v>3</v>
      </c>
    </row>
    <row r="1599" spans="1:12" x14ac:dyDescent="0.25">
      <c r="A1599" t="s">
        <v>4170</v>
      </c>
      <c r="B1599" t="s">
        <v>571</v>
      </c>
      <c r="C1599" t="s">
        <v>121</v>
      </c>
      <c r="D1599" t="s">
        <v>46</v>
      </c>
      <c r="E1599">
        <v>49</v>
      </c>
      <c r="F1599" t="s">
        <v>269</v>
      </c>
      <c r="G1599" t="s">
        <v>39</v>
      </c>
      <c r="H1599" s="2">
        <v>40358</v>
      </c>
      <c r="I1599" s="1" t="d">
        <v>2017-09-12</v>
      </c>
      <c r="J1599" t="s">
        <v>4171</v>
      </c>
      <c r="K1599" s="17" t="s">
        <v>27</v>
      </c>
      <c r="L1599">
        <v>4</v>
      </c>
    </row>
    <row r="1600" spans="1:12" x14ac:dyDescent="0.25">
      <c r="A1600" t="s">
        <v>4172</v>
      </c>
      <c r="B1600" t="s">
        <v>21</v>
      </c>
      <c r="C1600" t="s">
        <v>1248</v>
      </c>
      <c r="D1600" t="s">
        <v>9527</v>
      </c>
      <c r="E1600">
        <v>32</v>
      </c>
      <c r="F1600" t="s">
        <v>153</v>
      </c>
      <c r="G1600" t="s">
        <v>16</v>
      </c>
      <c r="H1600" s="2">
        <v>117500</v>
      </c>
      <c r="I1600" s="1" t="d">
        <v>2022-05-27</v>
      </c>
      <c r="J1600" t="s">
        <v>1669</v>
      </c>
      <c r="K1600" s="17" t="s">
        <v>118</v>
      </c>
      <c r="L1600">
        <v>3</v>
      </c>
    </row>
    <row r="1601" spans="1:12" x14ac:dyDescent="0.25">
      <c r="A1601" t="s">
        <v>4173</v>
      </c>
      <c r="B1601" t="s">
        <v>1096</v>
      </c>
      <c r="C1601" t="s">
        <v>1205</v>
      </c>
      <c r="D1601" t="s">
        <v>9527</v>
      </c>
      <c r="E1601">
        <v>58</v>
      </c>
      <c r="F1601" t="s">
        <v>196</v>
      </c>
      <c r="G1601" t="s">
        <v>1164</v>
      </c>
      <c r="H1601" s="2">
        <v>63847</v>
      </c>
      <c r="I1601" s="1" t="d">
        <v>2007-06-17</v>
      </c>
      <c r="J1601" t="s">
        <v>1053</v>
      </c>
      <c r="K1601" s="17" t="s">
        <v>207</v>
      </c>
      <c r="L1601">
        <v>4</v>
      </c>
    </row>
    <row r="1602" spans="1:12" x14ac:dyDescent="0.25">
      <c r="A1602" t="s">
        <v>4174</v>
      </c>
      <c r="B1602" t="s">
        <v>914</v>
      </c>
      <c r="C1602" t="s">
        <v>758</v>
      </c>
      <c r="D1602" t="s">
        <v>9527</v>
      </c>
      <c r="E1602">
        <v>43</v>
      </c>
      <c r="F1602" t="s">
        <v>31</v>
      </c>
      <c r="G1602" t="s">
        <v>337</v>
      </c>
      <c r="H1602" s="2">
        <v>38326</v>
      </c>
      <c r="I1602" s="1" t="d">
        <v>2007-01-30</v>
      </c>
      <c r="J1602" t="s">
        <v>2460</v>
      </c>
      <c r="K1602" s="17" t="s">
        <v>370</v>
      </c>
      <c r="L1602">
        <v>3</v>
      </c>
    </row>
    <row r="1603" spans="1:12" x14ac:dyDescent="0.25">
      <c r="A1603" t="s">
        <v>4175</v>
      </c>
      <c r="B1603" t="s">
        <v>151</v>
      </c>
      <c r="C1603" t="s">
        <v>244</v>
      </c>
      <c r="D1603" t="s">
        <v>46</v>
      </c>
      <c r="E1603">
        <v>52</v>
      </c>
      <c r="F1603" t="s">
        <v>2065</v>
      </c>
      <c r="G1603" t="s">
        <v>16</v>
      </c>
      <c r="H1603" s="2">
        <v>135077</v>
      </c>
      <c r="I1603" s="1" t="d">
        <v>2009-01-28</v>
      </c>
      <c r="J1603" t="s">
        <v>480</v>
      </c>
      <c r="K1603" s="17" t="s">
        <v>71</v>
      </c>
      <c r="L1603">
        <v>1</v>
      </c>
    </row>
    <row r="1604" spans="1:12" x14ac:dyDescent="0.25">
      <c r="A1604" t="s">
        <v>4176</v>
      </c>
      <c r="B1604" t="s">
        <v>2856</v>
      </c>
      <c r="C1604" t="s">
        <v>4177</v>
      </c>
      <c r="D1604" t="s">
        <v>9527</v>
      </c>
      <c r="E1604">
        <v>36</v>
      </c>
      <c r="F1604" t="s">
        <v>75</v>
      </c>
      <c r="G1604" t="s">
        <v>177</v>
      </c>
      <c r="H1604" t="s">
        <v>4178</v>
      </c>
      <c r="J1604" t="s">
        <v>3722</v>
      </c>
      <c r="K1604" s="17" t="s">
        <v>118</v>
      </c>
      <c r="L1604">
        <v>3</v>
      </c>
    </row>
    <row r="1605" spans="1:12" x14ac:dyDescent="0.25">
      <c r="A1605" t="s">
        <v>4179</v>
      </c>
      <c r="B1605" t="s">
        <v>808</v>
      </c>
      <c r="C1605" t="s">
        <v>624</v>
      </c>
      <c r="D1605" t="s">
        <v>9527</v>
      </c>
      <c r="E1605">
        <v>50</v>
      </c>
      <c r="F1605" t="s">
        <v>15</v>
      </c>
      <c r="G1605" t="s">
        <v>170</v>
      </c>
      <c r="H1605" t="s">
        <v>4180</v>
      </c>
      <c r="I1605" s="1" t="d">
        <v>2007-05-23</v>
      </c>
      <c r="J1605" t="s">
        <v>213</v>
      </c>
      <c r="K1605" s="17" t="s">
        <v>184</v>
      </c>
      <c r="L1605">
        <v>2</v>
      </c>
    </row>
    <row r="1606" spans="1:12" x14ac:dyDescent="0.25">
      <c r="A1606" t="s">
        <v>4181</v>
      </c>
      <c r="B1606" t="s">
        <v>433</v>
      </c>
      <c r="C1606" t="s">
        <v>163</v>
      </c>
      <c r="D1606" t="s">
        <v>46</v>
      </c>
      <c r="E1606">
        <v>27</v>
      </c>
      <c r="F1606" t="s">
        <v>126</v>
      </c>
      <c r="G1606" t="s">
        <v>177</v>
      </c>
      <c r="H1606">
        <v>60109</v>
      </c>
      <c r="I1606" s="1" t="d">
        <v>2022-08-30</v>
      </c>
      <c r="J1606" t="s">
        <v>1225</v>
      </c>
      <c r="K1606" s="17" t="s">
        <v>207</v>
      </c>
      <c r="L1606">
        <v>5</v>
      </c>
    </row>
    <row r="1607" spans="1:12" x14ac:dyDescent="0.25">
      <c r="A1607" t="s">
        <v>4182</v>
      </c>
      <c r="B1607" t="s">
        <v>79</v>
      </c>
      <c r="C1607" t="s">
        <v>2778</v>
      </c>
      <c r="D1607" t="s">
        <v>46</v>
      </c>
      <c r="E1607">
        <v>25</v>
      </c>
      <c r="F1607" t="s">
        <v>190</v>
      </c>
      <c r="G1607" t="s">
        <v>16</v>
      </c>
      <c r="H1607" t="s">
        <v>4183</v>
      </c>
      <c r="I1607" s="1" t="d">
        <v>2020-09-18</v>
      </c>
      <c r="J1607" t="s">
        <v>213</v>
      </c>
      <c r="K1607" s="17" t="s">
        <v>50</v>
      </c>
      <c r="L1607">
        <v>2</v>
      </c>
    </row>
    <row r="1608" spans="1:12" x14ac:dyDescent="0.25">
      <c r="A1608" t="s">
        <v>4184</v>
      </c>
      <c r="B1608" t="s">
        <v>548</v>
      </c>
      <c r="C1608" t="s">
        <v>758</v>
      </c>
      <c r="D1608" t="s">
        <v>23</v>
      </c>
      <c r="E1608">
        <v>45</v>
      </c>
      <c r="G1608" t="s">
        <v>82</v>
      </c>
      <c r="H1608">
        <v>49266</v>
      </c>
      <c r="I1608" s="1" t="d">
        <v>2007-05-27</v>
      </c>
      <c r="J1608" t="s">
        <v>4185</v>
      </c>
      <c r="K1608" s="17" t="s">
        <v>118</v>
      </c>
      <c r="L1608">
        <v>4</v>
      </c>
    </row>
    <row r="1609" spans="1:12" x14ac:dyDescent="0.25">
      <c r="A1609" t="s">
        <v>4186</v>
      </c>
      <c r="B1609" t="s">
        <v>3186</v>
      </c>
      <c r="C1609" t="s">
        <v>405</v>
      </c>
      <c r="D1609" t="s">
        <v>23</v>
      </c>
      <c r="E1609">
        <v>23</v>
      </c>
      <c r="G1609" t="s">
        <v>82</v>
      </c>
      <c r="H1609" t="s">
        <v>4187</v>
      </c>
      <c r="I1609" s="1" t="d">
        <v>2024-01-11</v>
      </c>
      <c r="J1609" t="s">
        <v>982</v>
      </c>
      <c r="K1609" s="17" t="s">
        <v>184</v>
      </c>
      <c r="L1609">
        <v>3</v>
      </c>
    </row>
    <row r="1610" spans="1:12" x14ac:dyDescent="0.25">
      <c r="A1610" t="s">
        <v>4188</v>
      </c>
      <c r="B1610" t="s">
        <v>44</v>
      </c>
      <c r="C1610" t="s">
        <v>30</v>
      </c>
      <c r="D1610" t="s">
        <v>9527</v>
      </c>
      <c r="E1610">
        <v>47</v>
      </c>
      <c r="F1610" t="s">
        <v>2065</v>
      </c>
      <c r="G1610" t="s">
        <v>170</v>
      </c>
      <c r="H1610">
        <v>89358</v>
      </c>
      <c r="I1610" s="1" t="d">
        <v>2021-04-21</v>
      </c>
      <c r="J1610" t="s">
        <v>4189</v>
      </c>
      <c r="K1610" s="17" t="s">
        <v>71</v>
      </c>
      <c r="L1610">
        <v>4</v>
      </c>
    </row>
    <row r="1611" spans="1:12" x14ac:dyDescent="0.25">
      <c r="A1611" t="s">
        <v>4190</v>
      </c>
      <c r="B1611" t="s">
        <v>394</v>
      </c>
      <c r="C1611" t="s">
        <v>2008</v>
      </c>
      <c r="D1611" t="s">
        <v>9527</v>
      </c>
      <c r="E1611">
        <v>65</v>
      </c>
      <c r="F1611" t="s">
        <v>108</v>
      </c>
      <c r="G1611" t="s">
        <v>55</v>
      </c>
      <c r="H1611" t="s">
        <v>4191</v>
      </c>
      <c r="J1611" t="s">
        <v>4192</v>
      </c>
      <c r="K1611" s="17" t="s">
        <v>27</v>
      </c>
      <c r="L1611">
        <v>4</v>
      </c>
    </row>
    <row r="1612" spans="1:12" x14ac:dyDescent="0.25">
      <c r="A1612" t="s">
        <v>4193</v>
      </c>
      <c r="B1612" t="s">
        <v>439</v>
      </c>
      <c r="C1612" t="s">
        <v>758</v>
      </c>
      <c r="D1612" t="s">
        <v>23</v>
      </c>
      <c r="E1612">
        <v>41</v>
      </c>
      <c r="F1612" t="s">
        <v>269</v>
      </c>
      <c r="G1612" t="s">
        <v>357</v>
      </c>
      <c r="H1612" s="2">
        <v>63151</v>
      </c>
      <c r="I1612" s="1" t="d">
        <v>2020-08-13</v>
      </c>
      <c r="J1612" t="s">
        <v>4194</v>
      </c>
      <c r="K1612" s="17" t="s">
        <v>27</v>
      </c>
      <c r="L1612">
        <v>2</v>
      </c>
    </row>
    <row r="1613" spans="1:12" x14ac:dyDescent="0.25">
      <c r="A1613" t="s">
        <v>4195</v>
      </c>
      <c r="B1613" t="s">
        <v>4196</v>
      </c>
      <c r="C1613" t="s">
        <v>474</v>
      </c>
      <c r="D1613" t="s">
        <v>23</v>
      </c>
      <c r="E1613">
        <v>45</v>
      </c>
      <c r="F1613" t="s">
        <v>153</v>
      </c>
      <c r="G1613" t="s">
        <v>48</v>
      </c>
      <c r="H1613" t="s">
        <v>4197</v>
      </c>
      <c r="I1613" s="1" t="d">
        <v>2020-08-06</v>
      </c>
      <c r="J1613" t="s">
        <v>1985</v>
      </c>
      <c r="K1613" s="17" t="s">
        <v>27</v>
      </c>
      <c r="L1613">
        <v>4</v>
      </c>
    </row>
    <row r="1614" spans="1:12" x14ac:dyDescent="0.25">
      <c r="A1614" t="s">
        <v>4198</v>
      </c>
      <c r="B1614" t="s">
        <v>1086</v>
      </c>
      <c r="C1614" t="s">
        <v>575</v>
      </c>
      <c r="D1614" t="s">
        <v>9527</v>
      </c>
      <c r="E1614">
        <v>40</v>
      </c>
      <c r="F1614" t="s">
        <v>264</v>
      </c>
      <c r="G1614" t="s">
        <v>283</v>
      </c>
      <c r="H1614" s="2">
        <v>195195</v>
      </c>
      <c r="I1614" s="1" t="d">
        <v>2006-06-20</v>
      </c>
      <c r="J1614" t="s">
        <v>4199</v>
      </c>
      <c r="K1614" s="17" t="s">
        <v>19</v>
      </c>
      <c r="L1614">
        <v>3</v>
      </c>
    </row>
    <row r="1615" spans="1:12" x14ac:dyDescent="0.25">
      <c r="A1615" t="s">
        <v>4200</v>
      </c>
      <c r="B1615" t="s">
        <v>4201</v>
      </c>
      <c r="C1615" t="s">
        <v>805</v>
      </c>
      <c r="D1615" t="s">
        <v>23</v>
      </c>
      <c r="E1615">
        <v>23</v>
      </c>
      <c r="F1615" t="s">
        <v>24</v>
      </c>
      <c r="G1615" t="s">
        <v>69</v>
      </c>
      <c r="H1615" s="2">
        <v>99931</v>
      </c>
      <c r="I1615" s="1" t="d">
        <v>2022-03-28</v>
      </c>
      <c r="J1615" t="s">
        <v>1549</v>
      </c>
      <c r="K1615" s="17" t="s">
        <v>42</v>
      </c>
      <c r="L1615">
        <v>4</v>
      </c>
    </row>
    <row r="1616" spans="1:12" x14ac:dyDescent="0.25">
      <c r="A1616" t="s">
        <v>4202</v>
      </c>
      <c r="B1616" t="s">
        <v>267</v>
      </c>
      <c r="C1616" t="s">
        <v>631</v>
      </c>
      <c r="D1616" t="s">
        <v>46</v>
      </c>
      <c r="E1616">
        <v>39</v>
      </c>
      <c r="F1616" t="s">
        <v>258</v>
      </c>
      <c r="G1616" t="s">
        <v>641</v>
      </c>
      <c r="I1616" s="1" t="d">
        <v>2008-10-22</v>
      </c>
      <c r="J1616" t="s">
        <v>1005</v>
      </c>
      <c r="K1616" s="17" t="s">
        <v>58</v>
      </c>
      <c r="L1616">
        <v>3</v>
      </c>
    </row>
    <row r="1617" spans="1:12" x14ac:dyDescent="0.25">
      <c r="A1617" t="s">
        <v>4203</v>
      </c>
      <c r="B1617" t="s">
        <v>311</v>
      </c>
      <c r="C1617" t="s">
        <v>851</v>
      </c>
      <c r="D1617" t="s">
        <v>46</v>
      </c>
      <c r="E1617">
        <v>32</v>
      </c>
      <c r="F1617" t="s">
        <v>169</v>
      </c>
      <c r="G1617" t="s">
        <v>191</v>
      </c>
      <c r="H1617" t="s">
        <v>4204</v>
      </c>
      <c r="I1617" s="1" t="d">
        <v>2013-01-07</v>
      </c>
      <c r="J1617" t="s">
        <v>2373</v>
      </c>
      <c r="K1617" s="17" t="s">
        <v>100</v>
      </c>
      <c r="L1617">
        <v>3</v>
      </c>
    </row>
    <row r="1618" spans="1:12" x14ac:dyDescent="0.25">
      <c r="A1618" t="s">
        <v>4205</v>
      </c>
      <c r="B1618" t="s">
        <v>1422</v>
      </c>
      <c r="C1618" t="s">
        <v>1587</v>
      </c>
      <c r="D1618" t="s">
        <v>9527</v>
      </c>
      <c r="E1618">
        <v>33</v>
      </c>
      <c r="F1618" t="s">
        <v>62</v>
      </c>
      <c r="G1618" t="s">
        <v>378</v>
      </c>
      <c r="H1618">
        <v>74529</v>
      </c>
      <c r="I1618" s="1" t="d">
        <v>2023-02-23</v>
      </c>
      <c r="J1618" t="s">
        <v>412</v>
      </c>
      <c r="K1618" s="17" t="s">
        <v>71</v>
      </c>
      <c r="L1618">
        <v>3</v>
      </c>
    </row>
    <row r="1619" spans="1:12" x14ac:dyDescent="0.25">
      <c r="A1619" t="s">
        <v>4206</v>
      </c>
      <c r="B1619" t="s">
        <v>1784</v>
      </c>
      <c r="C1619" t="s">
        <v>970</v>
      </c>
      <c r="D1619" t="s">
        <v>46</v>
      </c>
      <c r="E1619">
        <v>27</v>
      </c>
      <c r="F1619" t="s">
        <v>559</v>
      </c>
      <c r="G1619" t="s">
        <v>32</v>
      </c>
      <c r="H1619" s="2">
        <v>94895</v>
      </c>
      <c r="I1619" s="1" t="d">
        <v>2011-12-29</v>
      </c>
      <c r="J1619" t="s">
        <v>1041</v>
      </c>
      <c r="K1619" s="17" t="s">
        <v>149</v>
      </c>
      <c r="L1619">
        <v>3</v>
      </c>
    </row>
    <row r="1620" spans="1:12" x14ac:dyDescent="0.25">
      <c r="A1620" t="s">
        <v>4207</v>
      </c>
      <c r="B1620" t="s">
        <v>228</v>
      </c>
      <c r="C1620" t="s">
        <v>37</v>
      </c>
      <c r="D1620" t="s">
        <v>9527</v>
      </c>
      <c r="E1620">
        <v>52</v>
      </c>
      <c r="F1620" t="s">
        <v>406</v>
      </c>
      <c r="G1620" t="s">
        <v>82</v>
      </c>
      <c r="H1620" t="s">
        <v>4208</v>
      </c>
      <c r="I1620" s="1" t="d">
        <v>2013-03-20</v>
      </c>
      <c r="J1620" t="s">
        <v>1782</v>
      </c>
      <c r="K1620" s="17" t="s">
        <v>370</v>
      </c>
      <c r="L1620">
        <v>3</v>
      </c>
    </row>
    <row r="1621" spans="1:12" x14ac:dyDescent="0.25">
      <c r="A1621" t="s">
        <v>4209</v>
      </c>
      <c r="B1621" t="s">
        <v>4210</v>
      </c>
      <c r="C1621" t="s">
        <v>67</v>
      </c>
      <c r="D1621" t="s">
        <v>46</v>
      </c>
      <c r="E1621">
        <v>34</v>
      </c>
      <c r="F1621" t="s">
        <v>576</v>
      </c>
      <c r="G1621" t="s">
        <v>115</v>
      </c>
      <c r="H1621">
        <v>95830</v>
      </c>
      <c r="I1621" s="1" t="d">
        <v>2020-08-31</v>
      </c>
      <c r="J1621" t="s">
        <v>1404</v>
      </c>
      <c r="K1621" s="17" t="s">
        <v>19</v>
      </c>
      <c r="L1621">
        <v>4</v>
      </c>
    </row>
    <row r="1622" spans="1:12" x14ac:dyDescent="0.25">
      <c r="A1622" t="s">
        <v>4211</v>
      </c>
      <c r="B1622" t="s">
        <v>993</v>
      </c>
      <c r="C1622" t="s">
        <v>416</v>
      </c>
      <c r="D1622" t="s">
        <v>23</v>
      </c>
      <c r="E1622">
        <v>49</v>
      </c>
      <c r="F1622" t="s">
        <v>104</v>
      </c>
      <c r="G1622" t="s">
        <v>55</v>
      </c>
      <c r="I1622" s="1" t="d">
        <v>2007-12-17</v>
      </c>
      <c r="J1622" t="s">
        <v>1144</v>
      </c>
      <c r="K1622" s="17" t="s">
        <v>118</v>
      </c>
      <c r="L1622">
        <v>3</v>
      </c>
    </row>
    <row r="1623" spans="1:12" x14ac:dyDescent="0.25">
      <c r="A1623" t="s">
        <v>4212</v>
      </c>
      <c r="B1623" t="s">
        <v>906</v>
      </c>
      <c r="C1623" t="s">
        <v>847</v>
      </c>
      <c r="D1623" t="s">
        <v>9527</v>
      </c>
      <c r="E1623">
        <v>25</v>
      </c>
      <c r="F1623" t="s">
        <v>296</v>
      </c>
      <c r="G1623" t="s">
        <v>1117</v>
      </c>
      <c r="H1623" t="s">
        <v>4213</v>
      </c>
      <c r="I1623" s="1" t="d">
        <v>2017-08-07</v>
      </c>
      <c r="J1623" t="s">
        <v>4214</v>
      </c>
      <c r="K1623" s="17" t="s">
        <v>19</v>
      </c>
      <c r="L1623">
        <v>3</v>
      </c>
    </row>
    <row r="1624" spans="1:12" x14ac:dyDescent="0.25">
      <c r="A1624" t="s">
        <v>4215</v>
      </c>
      <c r="B1624" t="s">
        <v>2272</v>
      </c>
      <c r="C1624" t="s">
        <v>4216</v>
      </c>
      <c r="D1624" t="s">
        <v>9527</v>
      </c>
      <c r="E1624">
        <v>42</v>
      </c>
      <c r="F1624" t="s">
        <v>649</v>
      </c>
      <c r="G1624" t="s">
        <v>16</v>
      </c>
      <c r="H1624">
        <v>92914</v>
      </c>
      <c r="I1624" s="1" t="d">
        <v>2005-10-12</v>
      </c>
      <c r="J1624" t="s">
        <v>3092</v>
      </c>
      <c r="K1624" s="17" t="s">
        <v>184</v>
      </c>
      <c r="L1624">
        <v>4</v>
      </c>
    </row>
    <row r="1625" spans="1:12" x14ac:dyDescent="0.25">
      <c r="A1625" t="s">
        <v>4217</v>
      </c>
      <c r="B1625" t="s">
        <v>112</v>
      </c>
      <c r="C1625" t="s">
        <v>763</v>
      </c>
      <c r="D1625" t="s">
        <v>9527</v>
      </c>
      <c r="E1625">
        <v>48</v>
      </c>
      <c r="F1625" t="s">
        <v>559</v>
      </c>
      <c r="G1625" t="s">
        <v>212</v>
      </c>
      <c r="H1625">
        <v>93787</v>
      </c>
      <c r="I1625" s="1" t="d">
        <v>2013-02-27</v>
      </c>
      <c r="J1625" t="s">
        <v>4218</v>
      </c>
      <c r="K1625" s="17" t="s">
        <v>370</v>
      </c>
      <c r="L1625">
        <v>4</v>
      </c>
    </row>
    <row r="1626" spans="1:12" x14ac:dyDescent="0.25">
      <c r="A1626" t="s">
        <v>4219</v>
      </c>
      <c r="B1626" t="s">
        <v>648</v>
      </c>
      <c r="C1626" t="s">
        <v>483</v>
      </c>
      <c r="D1626" t="s">
        <v>9527</v>
      </c>
      <c r="E1626">
        <v>32</v>
      </c>
      <c r="F1626" t="s">
        <v>24</v>
      </c>
      <c r="G1626" t="s">
        <v>115</v>
      </c>
      <c r="H1626">
        <v>87472</v>
      </c>
      <c r="I1626" s="1" t="d">
        <v>2023-09-13</v>
      </c>
      <c r="J1626" t="s">
        <v>4220</v>
      </c>
      <c r="K1626" s="17" t="s">
        <v>58</v>
      </c>
      <c r="L1626">
        <v>3</v>
      </c>
    </row>
    <row r="1627" spans="1:12" x14ac:dyDescent="0.25">
      <c r="A1627" t="s">
        <v>4221</v>
      </c>
      <c r="B1627" t="s">
        <v>180</v>
      </c>
      <c r="C1627" t="s">
        <v>1332</v>
      </c>
      <c r="D1627" t="s">
        <v>9527</v>
      </c>
      <c r="E1627">
        <v>21</v>
      </c>
      <c r="F1627" t="s">
        <v>200</v>
      </c>
      <c r="G1627" t="s">
        <v>88</v>
      </c>
      <c r="H1627" s="2">
        <v>106157</v>
      </c>
      <c r="I1627" s="1" t="d">
        <v>2015-01-23</v>
      </c>
      <c r="J1627" t="s">
        <v>3073</v>
      </c>
      <c r="K1627" s="17" t="s">
        <v>34</v>
      </c>
      <c r="L1627">
        <v>5</v>
      </c>
    </row>
    <row r="1628" spans="1:12" x14ac:dyDescent="0.25">
      <c r="A1628" t="s">
        <v>4222</v>
      </c>
      <c r="B1628" t="s">
        <v>993</v>
      </c>
      <c r="C1628" t="s">
        <v>1442</v>
      </c>
      <c r="D1628" t="s">
        <v>23</v>
      </c>
      <c r="E1628">
        <v>39</v>
      </c>
      <c r="F1628" t="s">
        <v>75</v>
      </c>
      <c r="G1628" t="s">
        <v>170</v>
      </c>
      <c r="H1628">
        <v>-62756</v>
      </c>
      <c r="I1628" s="1" t="d">
        <v>2008-05-20</v>
      </c>
      <c r="J1628" t="s">
        <v>2906</v>
      </c>
      <c r="K1628" s="17" t="s">
        <v>90</v>
      </c>
      <c r="L1628">
        <v>2</v>
      </c>
    </row>
    <row r="1629" spans="1:12" x14ac:dyDescent="0.25">
      <c r="A1629" t="s">
        <v>4223</v>
      </c>
      <c r="B1629" t="s">
        <v>1769</v>
      </c>
      <c r="C1629" t="s">
        <v>103</v>
      </c>
      <c r="D1629" t="s">
        <v>23</v>
      </c>
      <c r="E1629">
        <v>22</v>
      </c>
      <c r="G1629" t="s">
        <v>82</v>
      </c>
      <c r="H1629" s="2">
        <v>57740</v>
      </c>
      <c r="I1629" s="1" t="d">
        <v>2019-05-06</v>
      </c>
      <c r="J1629" t="s">
        <v>4224</v>
      </c>
      <c r="K1629" s="17" t="s">
        <v>207</v>
      </c>
      <c r="L1629">
        <v>4</v>
      </c>
    </row>
    <row r="1630" spans="1:12" x14ac:dyDescent="0.25">
      <c r="A1630" t="s">
        <v>4225</v>
      </c>
      <c r="B1630" t="s">
        <v>1301</v>
      </c>
      <c r="C1630" t="s">
        <v>168</v>
      </c>
      <c r="D1630" t="s">
        <v>23</v>
      </c>
      <c r="E1630">
        <v>35</v>
      </c>
      <c r="F1630" t="s">
        <v>522</v>
      </c>
      <c r="G1630" t="s">
        <v>170</v>
      </c>
      <c r="H1630" t="s">
        <v>4226</v>
      </c>
      <c r="I1630" s="1" t="d">
        <v>2019-10-08</v>
      </c>
      <c r="J1630" t="s">
        <v>3404</v>
      </c>
      <c r="K1630" s="17" t="s">
        <v>34</v>
      </c>
      <c r="L1630">
        <v>5</v>
      </c>
    </row>
    <row r="1631" spans="1:12" x14ac:dyDescent="0.25">
      <c r="A1631" t="s">
        <v>4227</v>
      </c>
      <c r="B1631" t="s">
        <v>2697</v>
      </c>
      <c r="C1631" t="s">
        <v>1320</v>
      </c>
      <c r="D1631" t="s">
        <v>23</v>
      </c>
      <c r="E1631">
        <v>29</v>
      </c>
      <c r="F1631" t="s">
        <v>406</v>
      </c>
      <c r="G1631" t="s">
        <v>82</v>
      </c>
      <c r="H1631" s="2">
        <v>38277</v>
      </c>
      <c r="I1631" s="1" t="d">
        <v>2019-05-25</v>
      </c>
      <c r="J1631" t="s">
        <v>592</v>
      </c>
      <c r="K1631" s="17" t="s">
        <v>207</v>
      </c>
      <c r="L1631">
        <v>4</v>
      </c>
    </row>
    <row r="1632" spans="1:12" x14ac:dyDescent="0.25">
      <c r="A1632" t="s">
        <v>4228</v>
      </c>
      <c r="B1632" t="s">
        <v>2681</v>
      </c>
      <c r="C1632" t="s">
        <v>268</v>
      </c>
      <c r="D1632" t="s">
        <v>46</v>
      </c>
      <c r="E1632">
        <v>25</v>
      </c>
      <c r="G1632" t="s">
        <v>115</v>
      </c>
      <c r="I1632" s="1" t="d">
        <v>2011-07-27</v>
      </c>
      <c r="J1632" t="s">
        <v>2682</v>
      </c>
      <c r="K1632" s="17" t="s">
        <v>19</v>
      </c>
      <c r="L1632">
        <v>4</v>
      </c>
    </row>
    <row r="1633" spans="1:12" x14ac:dyDescent="0.25">
      <c r="A1633" t="s">
        <v>4229</v>
      </c>
      <c r="B1633" t="s">
        <v>507</v>
      </c>
      <c r="C1633" t="s">
        <v>386</v>
      </c>
      <c r="D1633" t="s">
        <v>9527</v>
      </c>
      <c r="E1633">
        <v>46</v>
      </c>
      <c r="F1633" t="s">
        <v>417</v>
      </c>
      <c r="G1633" t="s">
        <v>212</v>
      </c>
      <c r="H1633">
        <v>64207</v>
      </c>
      <c r="I1633" s="1" t="d">
        <v>2022-12-04</v>
      </c>
      <c r="J1633" t="s">
        <v>3618</v>
      </c>
      <c r="K1633" s="17" t="s">
        <v>71</v>
      </c>
      <c r="L1633">
        <v>3</v>
      </c>
    </row>
    <row r="1634" spans="1:12" x14ac:dyDescent="0.25">
      <c r="A1634" t="s">
        <v>4230</v>
      </c>
      <c r="B1634" t="s">
        <v>439</v>
      </c>
      <c r="C1634" t="s">
        <v>474</v>
      </c>
      <c r="D1634" t="s">
        <v>46</v>
      </c>
      <c r="E1634">
        <v>29</v>
      </c>
      <c r="F1634" t="s">
        <v>24</v>
      </c>
      <c r="G1634" t="s">
        <v>82</v>
      </c>
      <c r="H1634" s="2">
        <v>83000</v>
      </c>
      <c r="I1634" s="1" t="d">
        <v>2007-02-03</v>
      </c>
      <c r="J1634" t="s">
        <v>2015</v>
      </c>
      <c r="K1634" s="17" t="s">
        <v>71</v>
      </c>
      <c r="L1634">
        <v>5</v>
      </c>
    </row>
    <row r="1635" spans="1:12" x14ac:dyDescent="0.25">
      <c r="A1635" t="s">
        <v>4231</v>
      </c>
      <c r="B1635" t="s">
        <v>630</v>
      </c>
      <c r="C1635" t="s">
        <v>61</v>
      </c>
      <c r="D1635" t="s">
        <v>23</v>
      </c>
      <c r="E1635">
        <v>48</v>
      </c>
      <c r="F1635" t="s">
        <v>417</v>
      </c>
      <c r="G1635" t="s">
        <v>3277</v>
      </c>
      <c r="H1635" s="2">
        <v>83505</v>
      </c>
      <c r="I1635" s="1" t="d">
        <v>2017-07-12</v>
      </c>
      <c r="J1635" t="s">
        <v>2067</v>
      </c>
      <c r="K1635" s="17" t="s">
        <v>370</v>
      </c>
      <c r="L1635">
        <v>2</v>
      </c>
    </row>
    <row r="1636" spans="1:12" x14ac:dyDescent="0.25">
      <c r="A1636" t="s">
        <v>4232</v>
      </c>
      <c r="B1636" t="s">
        <v>664</v>
      </c>
      <c r="C1636" t="s">
        <v>225</v>
      </c>
      <c r="D1636" t="s">
        <v>9527</v>
      </c>
      <c r="E1636">
        <v>39</v>
      </c>
      <c r="F1636" t="s">
        <v>918</v>
      </c>
      <c r="G1636" t="s">
        <v>55</v>
      </c>
      <c r="I1636" s="1" t="d">
        <v>2022-04-13</v>
      </c>
      <c r="J1636" t="s">
        <v>472</v>
      </c>
      <c r="K1636" s="17" t="s">
        <v>19</v>
      </c>
      <c r="L1636">
        <v>5</v>
      </c>
    </row>
    <row r="1637" spans="1:12" x14ac:dyDescent="0.25">
      <c r="A1637" t="s">
        <v>4233</v>
      </c>
      <c r="B1637" t="s">
        <v>789</v>
      </c>
      <c r="C1637" t="s">
        <v>295</v>
      </c>
      <c r="D1637" t="s">
        <v>46</v>
      </c>
      <c r="E1637">
        <v>45</v>
      </c>
      <c r="F1637" t="s">
        <v>24</v>
      </c>
      <c r="G1637" t="s">
        <v>69</v>
      </c>
      <c r="I1637" s="1" t="d">
        <v>2024-06-01</v>
      </c>
      <c r="J1637" t="s">
        <v>1278</v>
      </c>
      <c r="K1637" s="17" t="s">
        <v>42</v>
      </c>
      <c r="L1637">
        <v>2</v>
      </c>
    </row>
    <row r="1638" spans="1:12" x14ac:dyDescent="0.25">
      <c r="A1638" t="s">
        <v>4234</v>
      </c>
      <c r="B1638" t="s">
        <v>4235</v>
      </c>
      <c r="C1638" t="s">
        <v>790</v>
      </c>
      <c r="D1638" t="s">
        <v>9527</v>
      </c>
      <c r="E1638">
        <v>43</v>
      </c>
      <c r="F1638" t="s">
        <v>258</v>
      </c>
      <c r="G1638" t="s">
        <v>55</v>
      </c>
      <c r="I1638" s="1" t="d">
        <v>2016-12-24</v>
      </c>
      <c r="J1638" t="s">
        <v>2701</v>
      </c>
      <c r="K1638" s="17" t="s">
        <v>34</v>
      </c>
      <c r="L1638">
        <v>3</v>
      </c>
    </row>
    <row r="1639" spans="1:12" x14ac:dyDescent="0.25">
      <c r="A1639" t="s">
        <v>4236</v>
      </c>
      <c r="B1639" t="s">
        <v>804</v>
      </c>
      <c r="C1639" t="s">
        <v>4237</v>
      </c>
      <c r="D1639" t="s">
        <v>9527</v>
      </c>
      <c r="E1639">
        <v>51</v>
      </c>
      <c r="G1639" t="s">
        <v>82</v>
      </c>
      <c r="I1639" s="1" t="d">
        <v>2022-11-16</v>
      </c>
      <c r="J1639" t="s">
        <v>4238</v>
      </c>
      <c r="K1639" s="17" t="s">
        <v>184</v>
      </c>
      <c r="L1639">
        <v>4</v>
      </c>
    </row>
    <row r="1640" spans="1:12" x14ac:dyDescent="0.25">
      <c r="A1640" t="s">
        <v>4239</v>
      </c>
      <c r="B1640" t="s">
        <v>21</v>
      </c>
      <c r="C1640" t="s">
        <v>204</v>
      </c>
      <c r="D1640" t="s">
        <v>46</v>
      </c>
      <c r="E1640">
        <v>30</v>
      </c>
      <c r="F1640" t="s">
        <v>122</v>
      </c>
      <c r="G1640" t="s">
        <v>16</v>
      </c>
      <c r="H1640">
        <v>67792</v>
      </c>
      <c r="I1640" s="1" t="d">
        <v>2021-04-26</v>
      </c>
      <c r="J1640" t="s">
        <v>896</v>
      </c>
      <c r="K1640" s="17" t="s">
        <v>370</v>
      </c>
      <c r="L1640">
        <v>4</v>
      </c>
    </row>
    <row r="1641" spans="1:12" x14ac:dyDescent="0.25">
      <c r="A1641" t="s">
        <v>4240</v>
      </c>
      <c r="B1641" t="s">
        <v>594</v>
      </c>
      <c r="C1641" t="s">
        <v>140</v>
      </c>
      <c r="D1641" t="s">
        <v>23</v>
      </c>
      <c r="E1641">
        <v>33</v>
      </c>
      <c r="F1641" t="s">
        <v>1116</v>
      </c>
      <c r="G1641" t="s">
        <v>39</v>
      </c>
      <c r="H1641">
        <v>66542</v>
      </c>
      <c r="I1641" s="1" t="d">
        <v>2008-01-06</v>
      </c>
      <c r="J1641" t="s">
        <v>4241</v>
      </c>
      <c r="K1641" s="17" t="s">
        <v>50</v>
      </c>
      <c r="L1641">
        <v>5</v>
      </c>
    </row>
    <row r="1642" spans="1:12" x14ac:dyDescent="0.25">
      <c r="A1642" t="s">
        <v>4242</v>
      </c>
      <c r="B1642" t="s">
        <v>1368</v>
      </c>
      <c r="C1642" t="s">
        <v>405</v>
      </c>
      <c r="D1642" t="s">
        <v>9527</v>
      </c>
      <c r="E1642">
        <v>40</v>
      </c>
      <c r="F1642" t="s">
        <v>2004</v>
      </c>
      <c r="G1642" t="s">
        <v>69</v>
      </c>
      <c r="H1642" t="s">
        <v>4243</v>
      </c>
      <c r="I1642" s="1" t="d">
        <v>2022-06-25</v>
      </c>
      <c r="J1642" t="s">
        <v>4244</v>
      </c>
      <c r="K1642" s="17" t="s">
        <v>184</v>
      </c>
      <c r="L1642">
        <v>4</v>
      </c>
    </row>
    <row r="1643" spans="1:12" x14ac:dyDescent="0.25">
      <c r="A1643" t="s">
        <v>455</v>
      </c>
      <c r="B1643" t="s">
        <v>4245</v>
      </c>
      <c r="C1643" t="s">
        <v>1657</v>
      </c>
      <c r="D1643" t="s">
        <v>9527</v>
      </c>
      <c r="E1643">
        <v>46</v>
      </c>
      <c r="F1643" t="s">
        <v>918</v>
      </c>
      <c r="G1643" t="s">
        <v>115</v>
      </c>
      <c r="H1643" s="2">
        <v>88025</v>
      </c>
      <c r="I1643" s="1" t="d">
        <v>2005-05-17</v>
      </c>
      <c r="J1643" t="s">
        <v>460</v>
      </c>
      <c r="K1643" s="17" t="s">
        <v>118</v>
      </c>
      <c r="L1643">
        <v>3</v>
      </c>
    </row>
    <row r="1644" spans="1:12" x14ac:dyDescent="0.25">
      <c r="A1644" t="s">
        <v>4246</v>
      </c>
      <c r="B1644" t="s">
        <v>1181</v>
      </c>
      <c r="C1644" t="s">
        <v>53</v>
      </c>
      <c r="D1644" t="s">
        <v>9527</v>
      </c>
      <c r="E1644">
        <v>42</v>
      </c>
      <c r="F1644" t="s">
        <v>238</v>
      </c>
      <c r="G1644" t="s">
        <v>278</v>
      </c>
      <c r="H1644" t="s">
        <v>4247</v>
      </c>
      <c r="I1644" s="1" t="d">
        <v>2018-07-01</v>
      </c>
      <c r="J1644" t="s">
        <v>1118</v>
      </c>
      <c r="K1644" s="17" t="s">
        <v>19</v>
      </c>
      <c r="L1644">
        <v>4</v>
      </c>
    </row>
    <row r="1645" spans="1:12" x14ac:dyDescent="0.25">
      <c r="A1645" t="s">
        <v>4248</v>
      </c>
      <c r="B1645" t="s">
        <v>881</v>
      </c>
      <c r="C1645" t="s">
        <v>521</v>
      </c>
      <c r="D1645" t="s">
        <v>46</v>
      </c>
      <c r="E1645">
        <v>34</v>
      </c>
      <c r="F1645" t="s">
        <v>1116</v>
      </c>
      <c r="G1645" t="s">
        <v>82</v>
      </c>
      <c r="I1645" s="1" t="d">
        <v>2005-04-27</v>
      </c>
      <c r="J1645" t="s">
        <v>1160</v>
      </c>
      <c r="K1645" s="17" t="s">
        <v>27</v>
      </c>
      <c r="L1645">
        <v>2</v>
      </c>
    </row>
    <row r="1646" spans="1:12" x14ac:dyDescent="0.25">
      <c r="A1646" t="s">
        <v>4249</v>
      </c>
      <c r="B1646" t="s">
        <v>21</v>
      </c>
      <c r="C1646" t="s">
        <v>3206</v>
      </c>
      <c r="D1646" t="s">
        <v>23</v>
      </c>
      <c r="E1646">
        <v>41</v>
      </c>
      <c r="F1646" t="s">
        <v>559</v>
      </c>
      <c r="G1646" t="s">
        <v>88</v>
      </c>
      <c r="I1646" s="1" t="d">
        <v>2016-08-04</v>
      </c>
      <c r="J1646" t="s">
        <v>4250</v>
      </c>
      <c r="K1646" s="17" t="s">
        <v>118</v>
      </c>
      <c r="L1646">
        <v>3</v>
      </c>
    </row>
    <row r="1647" spans="1:12" x14ac:dyDescent="0.25">
      <c r="A1647" t="s">
        <v>4251</v>
      </c>
      <c r="B1647" t="s">
        <v>583</v>
      </c>
      <c r="C1647" t="s">
        <v>286</v>
      </c>
      <c r="D1647" t="s">
        <v>9527</v>
      </c>
      <c r="E1647">
        <v>30</v>
      </c>
      <c r="F1647" t="s">
        <v>81</v>
      </c>
      <c r="G1647" t="s">
        <v>182</v>
      </c>
      <c r="I1647" s="1" t="d">
        <v>2009-01-14</v>
      </c>
      <c r="J1647" t="s">
        <v>2457</v>
      </c>
      <c r="K1647" s="17" t="s">
        <v>27</v>
      </c>
      <c r="L1647">
        <v>3</v>
      </c>
    </row>
    <row r="1648" spans="1:12" x14ac:dyDescent="0.25">
      <c r="A1648" t="s">
        <v>4252</v>
      </c>
      <c r="B1648" t="s">
        <v>3058</v>
      </c>
      <c r="C1648" t="s">
        <v>2465</v>
      </c>
      <c r="D1648" t="s">
        <v>23</v>
      </c>
      <c r="E1648">
        <v>38</v>
      </c>
      <c r="F1648" t="s">
        <v>245</v>
      </c>
      <c r="G1648" t="s">
        <v>842</v>
      </c>
      <c r="H1648" s="2">
        <v>95058</v>
      </c>
      <c r="J1648" t="s">
        <v>4253</v>
      </c>
      <c r="K1648" s="17" t="s">
        <v>19</v>
      </c>
      <c r="L1648">
        <v>2</v>
      </c>
    </row>
    <row r="1649" spans="1:12" x14ac:dyDescent="0.25">
      <c r="A1649" t="s">
        <v>4254</v>
      </c>
      <c r="B1649" t="s">
        <v>1086</v>
      </c>
      <c r="C1649" t="s">
        <v>1356</v>
      </c>
      <c r="D1649" t="s">
        <v>23</v>
      </c>
      <c r="E1649">
        <v>33</v>
      </c>
      <c r="F1649" t="s">
        <v>645</v>
      </c>
      <c r="G1649" t="s">
        <v>504</v>
      </c>
      <c r="H1649" s="2">
        <v>37781</v>
      </c>
      <c r="I1649" s="1" t="d">
        <v>2021-10-02</v>
      </c>
      <c r="J1649" t="s">
        <v>4255</v>
      </c>
      <c r="K1649" s="17" t="s">
        <v>370</v>
      </c>
      <c r="L1649">
        <v>3</v>
      </c>
    </row>
    <row r="1650" spans="1:12" x14ac:dyDescent="0.25">
      <c r="A1650" t="s">
        <v>4256</v>
      </c>
      <c r="B1650" t="s">
        <v>2147</v>
      </c>
      <c r="C1650" t="s">
        <v>830</v>
      </c>
      <c r="D1650" t="s">
        <v>9527</v>
      </c>
      <c r="E1650">
        <v>39</v>
      </c>
      <c r="F1650" t="s">
        <v>153</v>
      </c>
      <c r="G1650" t="s">
        <v>182</v>
      </c>
      <c r="H1650" t="s">
        <v>4257</v>
      </c>
      <c r="I1650" s="1" t="d">
        <v>2011-10-16</v>
      </c>
      <c r="J1650" t="s">
        <v>4258</v>
      </c>
      <c r="K1650" s="17" t="s">
        <v>370</v>
      </c>
      <c r="L1650">
        <v>4</v>
      </c>
    </row>
    <row r="1651" spans="1:12" x14ac:dyDescent="0.25">
      <c r="A1651" t="s">
        <v>4259</v>
      </c>
      <c r="B1651" t="s">
        <v>4260</v>
      </c>
      <c r="C1651" t="s">
        <v>457</v>
      </c>
      <c r="D1651" t="s">
        <v>46</v>
      </c>
      <c r="E1651">
        <v>40</v>
      </c>
      <c r="F1651" t="s">
        <v>422</v>
      </c>
      <c r="G1651" t="s">
        <v>82</v>
      </c>
      <c r="I1651" s="1" t="d">
        <v>2009-08-14</v>
      </c>
      <c r="J1651" t="s">
        <v>4261</v>
      </c>
      <c r="K1651" s="17" t="s">
        <v>58</v>
      </c>
      <c r="L1651">
        <v>4</v>
      </c>
    </row>
    <row r="1652" spans="1:12" x14ac:dyDescent="0.25">
      <c r="A1652" t="s">
        <v>4262</v>
      </c>
      <c r="B1652" t="s">
        <v>499</v>
      </c>
      <c r="C1652" t="s">
        <v>93</v>
      </c>
      <c r="D1652" t="s">
        <v>23</v>
      </c>
      <c r="E1652">
        <v>21</v>
      </c>
      <c r="F1652" t="s">
        <v>196</v>
      </c>
      <c r="G1652" t="s">
        <v>69</v>
      </c>
      <c r="H1652">
        <v>53281</v>
      </c>
      <c r="I1652" s="1" t="d">
        <v>2007-10-14</v>
      </c>
      <c r="J1652" t="s">
        <v>4263</v>
      </c>
      <c r="K1652" s="17" t="s">
        <v>71</v>
      </c>
      <c r="L1652">
        <v>3</v>
      </c>
    </row>
    <row r="1653" spans="1:12" x14ac:dyDescent="0.25">
      <c r="A1653" t="s">
        <v>4264</v>
      </c>
      <c r="B1653" t="s">
        <v>648</v>
      </c>
      <c r="C1653" t="s">
        <v>4265</v>
      </c>
      <c r="D1653" t="s">
        <v>46</v>
      </c>
      <c r="E1653">
        <v>34</v>
      </c>
      <c r="F1653" t="s">
        <v>406</v>
      </c>
      <c r="G1653" t="s">
        <v>504</v>
      </c>
      <c r="H1653" t="s">
        <v>4266</v>
      </c>
      <c r="I1653" s="1" t="d">
        <v>2010-03-14</v>
      </c>
      <c r="J1653" t="s">
        <v>4267</v>
      </c>
      <c r="K1653" s="17" t="s">
        <v>42</v>
      </c>
      <c r="L1653">
        <v>3</v>
      </c>
    </row>
    <row r="1654" spans="1:12" x14ac:dyDescent="0.25">
      <c r="A1654" t="s">
        <v>4268</v>
      </c>
      <c r="B1654" t="s">
        <v>659</v>
      </c>
      <c r="C1654" t="s">
        <v>521</v>
      </c>
      <c r="D1654" t="s">
        <v>23</v>
      </c>
      <c r="E1654">
        <v>39</v>
      </c>
      <c r="F1654" t="s">
        <v>258</v>
      </c>
      <c r="G1654" t="s">
        <v>337</v>
      </c>
      <c r="H1654" t="s">
        <v>4269</v>
      </c>
      <c r="I1654" s="1" t="d">
        <v>2013-10-07</v>
      </c>
      <c r="J1654" t="s">
        <v>4270</v>
      </c>
      <c r="K1654" s="17" t="s">
        <v>27</v>
      </c>
      <c r="L1654">
        <v>4</v>
      </c>
    </row>
    <row r="1655" spans="1:12" x14ac:dyDescent="0.25">
      <c r="A1655" t="s">
        <v>4271</v>
      </c>
      <c r="B1655" t="s">
        <v>335</v>
      </c>
      <c r="C1655" t="s">
        <v>599</v>
      </c>
      <c r="D1655" t="s">
        <v>23</v>
      </c>
      <c r="E1655">
        <v>31</v>
      </c>
      <c r="F1655" t="s">
        <v>196</v>
      </c>
      <c r="G1655" t="s">
        <v>147</v>
      </c>
      <c r="I1655" s="1" t="d">
        <v>2010-08-04</v>
      </c>
      <c r="J1655" t="s">
        <v>123</v>
      </c>
      <c r="K1655" s="17" t="s">
        <v>100</v>
      </c>
      <c r="L1655">
        <v>4</v>
      </c>
    </row>
    <row r="1656" spans="1:12" x14ac:dyDescent="0.25">
      <c r="A1656" t="s">
        <v>4272</v>
      </c>
      <c r="B1656" t="s">
        <v>702</v>
      </c>
      <c r="C1656" t="s">
        <v>988</v>
      </c>
      <c r="D1656" t="s">
        <v>46</v>
      </c>
      <c r="E1656">
        <v>41</v>
      </c>
      <c r="F1656" t="s">
        <v>918</v>
      </c>
      <c r="G1656" t="s">
        <v>1215</v>
      </c>
      <c r="H1656">
        <v>73781</v>
      </c>
      <c r="I1656" s="1" t="d">
        <v>2024-11-12</v>
      </c>
      <c r="J1656" t="s">
        <v>2772</v>
      </c>
      <c r="K1656" s="17" t="s">
        <v>34</v>
      </c>
      <c r="L1656">
        <v>4</v>
      </c>
    </row>
    <row r="1657" spans="1:12" x14ac:dyDescent="0.25">
      <c r="A1657" t="s">
        <v>4273</v>
      </c>
      <c r="B1657" t="s">
        <v>4274</v>
      </c>
      <c r="C1657" t="s">
        <v>1248</v>
      </c>
      <c r="D1657" t="s">
        <v>23</v>
      </c>
      <c r="E1657">
        <v>25</v>
      </c>
      <c r="F1657" t="s">
        <v>146</v>
      </c>
      <c r="G1657" t="s">
        <v>1329</v>
      </c>
      <c r="H1657" t="s">
        <v>4275</v>
      </c>
      <c r="I1657" s="1" t="d">
        <v>2011-01-11</v>
      </c>
      <c r="J1657" t="s">
        <v>1559</v>
      </c>
      <c r="K1657" s="17" t="s">
        <v>118</v>
      </c>
      <c r="L1657">
        <v>4</v>
      </c>
    </row>
    <row r="1658" spans="1:12" x14ac:dyDescent="0.25">
      <c r="A1658" t="s">
        <v>4276</v>
      </c>
      <c r="B1658" t="s">
        <v>4277</v>
      </c>
      <c r="C1658" t="s">
        <v>961</v>
      </c>
      <c r="D1658" t="s">
        <v>46</v>
      </c>
      <c r="E1658">
        <v>29</v>
      </c>
      <c r="F1658" t="s">
        <v>230</v>
      </c>
      <c r="G1658" t="s">
        <v>1121</v>
      </c>
      <c r="H1658" s="2">
        <v>156015</v>
      </c>
      <c r="I1658" s="1" t="d">
        <v>2012-01-21</v>
      </c>
      <c r="J1658" t="s">
        <v>4278</v>
      </c>
      <c r="K1658" s="17" t="s">
        <v>149</v>
      </c>
      <c r="L1658">
        <v>3</v>
      </c>
    </row>
    <row r="1659" spans="1:12" x14ac:dyDescent="0.25">
      <c r="A1659" t="s">
        <v>4279</v>
      </c>
      <c r="B1659" t="s">
        <v>4280</v>
      </c>
      <c r="C1659" t="s">
        <v>4281</v>
      </c>
      <c r="D1659" t="s">
        <v>46</v>
      </c>
      <c r="E1659">
        <v>30</v>
      </c>
      <c r="F1659" t="s">
        <v>54</v>
      </c>
      <c r="G1659" t="s">
        <v>55</v>
      </c>
      <c r="H1659">
        <v>60930</v>
      </c>
      <c r="I1659" s="1" t="d">
        <v>2019-07-15</v>
      </c>
      <c r="J1659" t="s">
        <v>4282</v>
      </c>
      <c r="K1659" s="17" t="s">
        <v>19</v>
      </c>
      <c r="L1659">
        <v>4</v>
      </c>
    </row>
    <row r="1660" spans="1:12" x14ac:dyDescent="0.25">
      <c r="A1660" t="s">
        <v>4283</v>
      </c>
      <c r="B1660" t="s">
        <v>3754</v>
      </c>
      <c r="C1660" t="s">
        <v>4284</v>
      </c>
      <c r="D1660" t="s">
        <v>46</v>
      </c>
      <c r="E1660">
        <v>32</v>
      </c>
      <c r="F1660" t="s">
        <v>356</v>
      </c>
      <c r="G1660" t="s">
        <v>842</v>
      </c>
      <c r="H1660" t="s">
        <v>4285</v>
      </c>
      <c r="I1660" s="1" t="d">
        <v>2014-12-16</v>
      </c>
      <c r="J1660" t="s">
        <v>4286</v>
      </c>
      <c r="K1660" s="17" t="s">
        <v>27</v>
      </c>
      <c r="L1660">
        <v>4</v>
      </c>
    </row>
    <row r="1661" spans="1:12" x14ac:dyDescent="0.25">
      <c r="A1661" t="s">
        <v>4287</v>
      </c>
      <c r="B1661" t="s">
        <v>315</v>
      </c>
      <c r="C1661" t="s">
        <v>1442</v>
      </c>
      <c r="D1661" t="s">
        <v>46</v>
      </c>
      <c r="E1661">
        <v>27</v>
      </c>
      <c r="F1661" t="s">
        <v>190</v>
      </c>
      <c r="G1661" t="s">
        <v>357</v>
      </c>
      <c r="H1661" t="s">
        <v>4288</v>
      </c>
      <c r="I1661" s="1" t="d">
        <v>2006-06-27</v>
      </c>
      <c r="J1661" t="s">
        <v>4289</v>
      </c>
      <c r="K1661" s="17" t="s">
        <v>34</v>
      </c>
      <c r="L1661">
        <v>4</v>
      </c>
    </row>
    <row r="1662" spans="1:12" x14ac:dyDescent="0.25">
      <c r="A1662" t="s">
        <v>4290</v>
      </c>
      <c r="B1662" t="s">
        <v>323</v>
      </c>
      <c r="C1662" t="s">
        <v>286</v>
      </c>
      <c r="D1662" t="s">
        <v>9527</v>
      </c>
      <c r="E1662">
        <v>42</v>
      </c>
      <c r="F1662" t="s">
        <v>269</v>
      </c>
      <c r="G1662" t="s">
        <v>912</v>
      </c>
      <c r="H1662" s="2">
        <v>42082</v>
      </c>
      <c r="I1662" s="1" t="d">
        <v>2005-04-18</v>
      </c>
      <c r="J1662" t="s">
        <v>446</v>
      </c>
      <c r="K1662" s="17" t="s">
        <v>184</v>
      </c>
      <c r="L1662">
        <v>2</v>
      </c>
    </row>
    <row r="1663" spans="1:12" x14ac:dyDescent="0.25">
      <c r="A1663" t="s">
        <v>4291</v>
      </c>
      <c r="B1663" t="s">
        <v>305</v>
      </c>
      <c r="C1663" t="s">
        <v>74</v>
      </c>
      <c r="D1663" t="s">
        <v>46</v>
      </c>
      <c r="E1663">
        <v>28</v>
      </c>
      <c r="F1663" t="s">
        <v>54</v>
      </c>
      <c r="G1663" t="s">
        <v>39</v>
      </c>
      <c r="I1663" s="1" t="d">
        <v>2009-09-09</v>
      </c>
      <c r="J1663" t="s">
        <v>1261</v>
      </c>
      <c r="K1663" s="17" t="s">
        <v>27</v>
      </c>
      <c r="L1663">
        <v>3</v>
      </c>
    </row>
    <row r="1664" spans="1:12" x14ac:dyDescent="0.25">
      <c r="A1664" t="s">
        <v>4292</v>
      </c>
      <c r="B1664" t="s">
        <v>66</v>
      </c>
      <c r="C1664" t="s">
        <v>719</v>
      </c>
      <c r="D1664" t="s">
        <v>9527</v>
      </c>
      <c r="E1664">
        <v>33</v>
      </c>
      <c r="F1664" t="s">
        <v>4293</v>
      </c>
      <c r="G1664" t="s">
        <v>217</v>
      </c>
      <c r="H1664" t="s">
        <v>4294</v>
      </c>
      <c r="I1664" s="1" t="d">
        <v>2021-03-13</v>
      </c>
      <c r="J1664" t="s">
        <v>4295</v>
      </c>
      <c r="K1664" s="17" t="s">
        <v>27</v>
      </c>
      <c r="L1664">
        <v>4</v>
      </c>
    </row>
    <row r="1665" spans="1:12" x14ac:dyDescent="0.25">
      <c r="A1665" t="s">
        <v>4296</v>
      </c>
      <c r="B1665" t="s">
        <v>846</v>
      </c>
      <c r="C1665" t="s">
        <v>291</v>
      </c>
      <c r="D1665" t="s">
        <v>23</v>
      </c>
      <c r="E1665">
        <v>39</v>
      </c>
      <c r="F1665" t="s">
        <v>2707</v>
      </c>
      <c r="G1665" t="s">
        <v>39</v>
      </c>
      <c r="H1665" s="2">
        <v>35676</v>
      </c>
      <c r="I1665" s="1" t="d">
        <v>2020-03-14</v>
      </c>
      <c r="J1665" t="s">
        <v>1053</v>
      </c>
      <c r="K1665" s="17" t="s">
        <v>27</v>
      </c>
      <c r="L1665">
        <v>3</v>
      </c>
    </row>
    <row r="1666" spans="1:12" x14ac:dyDescent="0.25">
      <c r="A1666" t="s">
        <v>4297</v>
      </c>
      <c r="B1666" t="s">
        <v>162</v>
      </c>
      <c r="C1666" t="s">
        <v>195</v>
      </c>
      <c r="D1666" t="s">
        <v>23</v>
      </c>
      <c r="E1666">
        <v>43</v>
      </c>
      <c r="F1666" t="s">
        <v>1590</v>
      </c>
      <c r="G1666" t="s">
        <v>55</v>
      </c>
      <c r="H1666" t="s">
        <v>4298</v>
      </c>
      <c r="I1666" s="1" t="d">
        <v>2020-09-18</v>
      </c>
      <c r="J1666" t="s">
        <v>4299</v>
      </c>
      <c r="K1666" s="17" t="s">
        <v>149</v>
      </c>
      <c r="L1666">
        <v>3</v>
      </c>
    </row>
    <row r="1667" spans="1:12" x14ac:dyDescent="0.25">
      <c r="A1667" t="s">
        <v>4300</v>
      </c>
      <c r="B1667" t="s">
        <v>404</v>
      </c>
      <c r="C1667" t="s">
        <v>763</v>
      </c>
      <c r="D1667" t="s">
        <v>46</v>
      </c>
      <c r="E1667">
        <v>28</v>
      </c>
      <c r="F1667" t="s">
        <v>365</v>
      </c>
      <c r="G1667" t="s">
        <v>2569</v>
      </c>
      <c r="H1667" s="2">
        <v>49025</v>
      </c>
      <c r="I1667" s="1" t="d">
        <v>2019-01-15</v>
      </c>
      <c r="J1667" t="s">
        <v>3750</v>
      </c>
      <c r="K1667" s="17" t="s">
        <v>207</v>
      </c>
      <c r="L1667">
        <v>4</v>
      </c>
    </row>
    <row r="1668" spans="1:12" x14ac:dyDescent="0.25">
      <c r="A1668" t="s">
        <v>4301</v>
      </c>
      <c r="B1668" t="s">
        <v>162</v>
      </c>
      <c r="C1668" t="s">
        <v>4302</v>
      </c>
      <c r="D1668" t="s">
        <v>46</v>
      </c>
      <c r="E1668">
        <v>24</v>
      </c>
      <c r="F1668" t="s">
        <v>918</v>
      </c>
      <c r="G1668" t="s">
        <v>39</v>
      </c>
      <c r="H1668" t="s">
        <v>4303</v>
      </c>
      <c r="J1668" t="s">
        <v>1483</v>
      </c>
      <c r="K1668" s="17" t="s">
        <v>71</v>
      </c>
      <c r="L1668">
        <v>5</v>
      </c>
    </row>
    <row r="1669" spans="1:12" x14ac:dyDescent="0.25">
      <c r="A1669" t="s">
        <v>4304</v>
      </c>
      <c r="B1669" t="s">
        <v>340</v>
      </c>
      <c r="C1669" t="s">
        <v>858</v>
      </c>
      <c r="D1669" t="s">
        <v>46</v>
      </c>
      <c r="E1669">
        <v>30</v>
      </c>
      <c r="F1669" t="s">
        <v>38</v>
      </c>
      <c r="G1669" t="s">
        <v>337</v>
      </c>
      <c r="H1669">
        <v>50673</v>
      </c>
      <c r="I1669" s="1" t="d">
        <v>2018-11-14</v>
      </c>
      <c r="J1669" t="s">
        <v>2781</v>
      </c>
      <c r="K1669" s="17" t="s">
        <v>58</v>
      </c>
      <c r="L1669">
        <v>3</v>
      </c>
    </row>
    <row r="1670" spans="1:12" x14ac:dyDescent="0.25">
      <c r="A1670" t="s">
        <v>4305</v>
      </c>
      <c r="B1670" t="s">
        <v>945</v>
      </c>
      <c r="C1670" t="s">
        <v>1494</v>
      </c>
      <c r="D1670" t="s">
        <v>46</v>
      </c>
      <c r="E1670">
        <v>58</v>
      </c>
      <c r="F1670" t="s">
        <v>108</v>
      </c>
      <c r="G1670" t="s">
        <v>16</v>
      </c>
      <c r="H1670">
        <v>144246</v>
      </c>
      <c r="I1670" s="1" t="d">
        <v>2009-09-13</v>
      </c>
      <c r="J1670" t="s">
        <v>4306</v>
      </c>
      <c r="K1670" s="17" t="s">
        <v>370</v>
      </c>
      <c r="L1670">
        <v>4</v>
      </c>
    </row>
    <row r="1671" spans="1:12" x14ac:dyDescent="0.25">
      <c r="A1671" t="s">
        <v>4307</v>
      </c>
      <c r="B1671" t="s">
        <v>224</v>
      </c>
      <c r="C1671" t="s">
        <v>599</v>
      </c>
      <c r="D1671" t="s">
        <v>46</v>
      </c>
      <c r="E1671">
        <v>54</v>
      </c>
      <c r="F1671" t="s">
        <v>146</v>
      </c>
      <c r="G1671" t="s">
        <v>1719</v>
      </c>
      <c r="H1671" t="s">
        <v>962</v>
      </c>
      <c r="I1671" s="1" t="d">
        <v>2014-09-08</v>
      </c>
      <c r="J1671" t="s">
        <v>1603</v>
      </c>
      <c r="K1671" s="17" t="s">
        <v>118</v>
      </c>
      <c r="L1671">
        <v>1</v>
      </c>
    </row>
    <row r="1672" spans="1:12" x14ac:dyDescent="0.25">
      <c r="A1672" t="s">
        <v>4308</v>
      </c>
      <c r="B1672" t="s">
        <v>786</v>
      </c>
      <c r="C1672" t="s">
        <v>474</v>
      </c>
      <c r="D1672" t="s">
        <v>46</v>
      </c>
      <c r="E1672">
        <v>21</v>
      </c>
      <c r="F1672" t="s">
        <v>114</v>
      </c>
      <c r="G1672" t="s">
        <v>212</v>
      </c>
      <c r="H1672" s="2">
        <v>109408</v>
      </c>
      <c r="J1672" t="s">
        <v>1864</v>
      </c>
      <c r="K1672" s="17" t="s">
        <v>42</v>
      </c>
      <c r="L1672">
        <v>3</v>
      </c>
    </row>
    <row r="1673" spans="1:12" x14ac:dyDescent="0.25">
      <c r="A1673" t="s">
        <v>4309</v>
      </c>
      <c r="B1673" t="s">
        <v>157</v>
      </c>
      <c r="C1673" t="s">
        <v>4310</v>
      </c>
      <c r="D1673" t="s">
        <v>9527</v>
      </c>
      <c r="E1673">
        <v>40</v>
      </c>
      <c r="F1673" t="s">
        <v>859</v>
      </c>
      <c r="G1673" t="s">
        <v>48</v>
      </c>
      <c r="H1673" s="2">
        <v>65141</v>
      </c>
      <c r="I1673" s="1" t="d">
        <v>2009-02-24</v>
      </c>
      <c r="J1673" t="s">
        <v>4311</v>
      </c>
      <c r="K1673" s="17" t="s">
        <v>184</v>
      </c>
      <c r="L1673">
        <v>2</v>
      </c>
    </row>
    <row r="1674" spans="1:12" x14ac:dyDescent="0.25">
      <c r="A1674" t="s">
        <v>4312</v>
      </c>
      <c r="B1674" t="s">
        <v>257</v>
      </c>
      <c r="C1674" t="s">
        <v>4216</v>
      </c>
      <c r="D1674" t="s">
        <v>46</v>
      </c>
      <c r="E1674">
        <v>38</v>
      </c>
      <c r="F1674" t="s">
        <v>146</v>
      </c>
      <c r="G1674" t="s">
        <v>526</v>
      </c>
      <c r="I1674" s="1" t="d">
        <v>2019-10-17</v>
      </c>
      <c r="J1674" t="s">
        <v>49</v>
      </c>
      <c r="K1674" s="17" t="s">
        <v>34</v>
      </c>
      <c r="L1674">
        <v>2</v>
      </c>
    </row>
    <row r="1675" spans="1:12" x14ac:dyDescent="0.25">
      <c r="A1675" t="s">
        <v>4313</v>
      </c>
      <c r="B1675" t="s">
        <v>112</v>
      </c>
      <c r="C1675" t="s">
        <v>324</v>
      </c>
      <c r="D1675" t="s">
        <v>23</v>
      </c>
      <c r="E1675">
        <v>44</v>
      </c>
      <c r="F1675" t="s">
        <v>230</v>
      </c>
      <c r="G1675" t="s">
        <v>212</v>
      </c>
      <c r="H1675" t="s">
        <v>4314</v>
      </c>
      <c r="I1675" s="1" t="d">
        <v>2014-03-12</v>
      </c>
      <c r="J1675" t="s">
        <v>3365</v>
      </c>
      <c r="K1675" s="17" t="s">
        <v>19</v>
      </c>
      <c r="L1675">
        <v>4</v>
      </c>
    </row>
    <row r="1676" spans="1:12" x14ac:dyDescent="0.25">
      <c r="A1676" t="s">
        <v>4315</v>
      </c>
      <c r="B1676" t="s">
        <v>120</v>
      </c>
      <c r="C1676" t="s">
        <v>1494</v>
      </c>
      <c r="D1676" t="s">
        <v>23</v>
      </c>
      <c r="E1676">
        <v>37</v>
      </c>
      <c r="F1676" t="s">
        <v>94</v>
      </c>
      <c r="G1676" t="s">
        <v>337</v>
      </c>
      <c r="H1676" s="2">
        <v>64925</v>
      </c>
      <c r="I1676" s="1" t="d">
        <v>2018-09-21</v>
      </c>
      <c r="J1676" t="s">
        <v>4316</v>
      </c>
      <c r="K1676" s="17" t="s">
        <v>50</v>
      </c>
      <c r="L1676">
        <v>3</v>
      </c>
    </row>
    <row r="1677" spans="1:12" x14ac:dyDescent="0.25">
      <c r="A1677" t="s">
        <v>4317</v>
      </c>
      <c r="B1677" t="s">
        <v>112</v>
      </c>
      <c r="C1677" t="s">
        <v>145</v>
      </c>
      <c r="D1677" t="s">
        <v>9527</v>
      </c>
      <c r="E1677">
        <v>34</v>
      </c>
      <c r="F1677" t="s">
        <v>1116</v>
      </c>
      <c r="G1677" t="s">
        <v>3541</v>
      </c>
      <c r="H1677">
        <v>126032</v>
      </c>
      <c r="I1677" s="1" t="d">
        <v>2011-12-28</v>
      </c>
      <c r="J1677" t="s">
        <v>537</v>
      </c>
      <c r="K1677" s="17" t="s">
        <v>34</v>
      </c>
      <c r="L1677">
        <v>4</v>
      </c>
    </row>
    <row r="1678" spans="1:12" x14ac:dyDescent="0.25">
      <c r="A1678" t="s">
        <v>4318</v>
      </c>
      <c r="B1678" t="s">
        <v>2252</v>
      </c>
      <c r="C1678" t="s">
        <v>386</v>
      </c>
      <c r="D1678" t="s">
        <v>9527</v>
      </c>
      <c r="E1678">
        <v>24</v>
      </c>
      <c r="G1678" t="s">
        <v>164</v>
      </c>
      <c r="I1678" s="1" t="d">
        <v>2022-08-30</v>
      </c>
      <c r="J1678" t="s">
        <v>3618</v>
      </c>
      <c r="K1678" s="17" t="s">
        <v>100</v>
      </c>
      <c r="L1678">
        <v>4</v>
      </c>
    </row>
    <row r="1679" spans="1:12" x14ac:dyDescent="0.25">
      <c r="A1679" t="s">
        <v>4319</v>
      </c>
      <c r="B1679" t="s">
        <v>4320</v>
      </c>
      <c r="C1679" t="s">
        <v>631</v>
      </c>
      <c r="D1679" t="s">
        <v>9527</v>
      </c>
      <c r="E1679">
        <v>42</v>
      </c>
      <c r="F1679" t="s">
        <v>422</v>
      </c>
      <c r="G1679" t="s">
        <v>191</v>
      </c>
      <c r="H1679" s="2">
        <v>73636</v>
      </c>
      <c r="I1679" s="1" t="d">
        <v>2019-10-05</v>
      </c>
      <c r="J1679" t="s">
        <v>890</v>
      </c>
      <c r="K1679" s="17" t="s">
        <v>184</v>
      </c>
      <c r="L1679">
        <v>4</v>
      </c>
    </row>
    <row r="1680" spans="1:12" x14ac:dyDescent="0.25">
      <c r="A1680" t="s">
        <v>4321</v>
      </c>
      <c r="B1680" t="s">
        <v>1096</v>
      </c>
      <c r="C1680" t="s">
        <v>660</v>
      </c>
      <c r="D1680" t="s">
        <v>46</v>
      </c>
      <c r="E1680">
        <v>42</v>
      </c>
      <c r="F1680" t="s">
        <v>649</v>
      </c>
      <c r="G1680" t="s">
        <v>351</v>
      </c>
      <c r="H1680" t="s">
        <v>4322</v>
      </c>
      <c r="I1680" s="1" t="d">
        <v>2010-07-14</v>
      </c>
      <c r="J1680" t="s">
        <v>1188</v>
      </c>
      <c r="K1680" s="17" t="s">
        <v>42</v>
      </c>
      <c r="L1680">
        <v>4</v>
      </c>
    </row>
    <row r="1681" spans="1:12" x14ac:dyDescent="0.25">
      <c r="A1681" t="s">
        <v>498</v>
      </c>
      <c r="B1681" t="s">
        <v>1221</v>
      </c>
      <c r="C1681" t="s">
        <v>618</v>
      </c>
      <c r="D1681" t="s">
        <v>46</v>
      </c>
      <c r="E1681">
        <v>44</v>
      </c>
      <c r="F1681" t="s">
        <v>666</v>
      </c>
      <c r="G1681" t="s">
        <v>212</v>
      </c>
      <c r="H1681" t="s">
        <v>4323</v>
      </c>
      <c r="I1681" s="1" t="d">
        <v>2005-08-26</v>
      </c>
      <c r="J1681" t="s">
        <v>501</v>
      </c>
      <c r="K1681" s="17" t="s">
        <v>207</v>
      </c>
      <c r="L1681">
        <v>3</v>
      </c>
    </row>
    <row r="1682" spans="1:12" x14ac:dyDescent="0.25">
      <c r="A1682" t="s">
        <v>4324</v>
      </c>
      <c r="B1682" t="s">
        <v>1437</v>
      </c>
      <c r="C1682" t="s">
        <v>204</v>
      </c>
      <c r="D1682" t="s">
        <v>23</v>
      </c>
      <c r="E1682">
        <v>29</v>
      </c>
      <c r="F1682" t="s">
        <v>649</v>
      </c>
      <c r="G1682" t="s">
        <v>387</v>
      </c>
      <c r="H1682" s="2">
        <v>167024</v>
      </c>
      <c r="I1682" s="1" t="d">
        <v>2012-02-27</v>
      </c>
      <c r="J1682" t="s">
        <v>4325</v>
      </c>
      <c r="K1682" s="17" t="s">
        <v>50</v>
      </c>
      <c r="L1682">
        <v>4</v>
      </c>
    </row>
    <row r="1683" spans="1:12" x14ac:dyDescent="0.25">
      <c r="A1683" t="s">
        <v>4326</v>
      </c>
      <c r="B1683" t="s">
        <v>1516</v>
      </c>
      <c r="C1683" t="s">
        <v>427</v>
      </c>
      <c r="D1683" t="s">
        <v>46</v>
      </c>
      <c r="E1683">
        <v>35</v>
      </c>
      <c r="G1683" t="s">
        <v>357</v>
      </c>
      <c r="H1683" t="s">
        <v>4327</v>
      </c>
      <c r="I1683" s="1" t="d">
        <v>2015-02-08</v>
      </c>
      <c r="J1683" t="s">
        <v>3675</v>
      </c>
      <c r="K1683" s="17" t="s">
        <v>71</v>
      </c>
      <c r="L1683">
        <v>3</v>
      </c>
    </row>
    <row r="1684" spans="1:12" x14ac:dyDescent="0.25">
      <c r="A1684" t="s">
        <v>4328</v>
      </c>
      <c r="B1684" t="s">
        <v>180</v>
      </c>
      <c r="C1684" t="s">
        <v>103</v>
      </c>
      <c r="D1684" t="s">
        <v>23</v>
      </c>
      <c r="E1684">
        <v>33</v>
      </c>
      <c r="F1684" t="s">
        <v>38</v>
      </c>
      <c r="G1684" t="s">
        <v>357</v>
      </c>
      <c r="H1684" t="s">
        <v>4329</v>
      </c>
      <c r="I1684" s="1" t="d">
        <v>2014-12-02</v>
      </c>
      <c r="J1684" t="s">
        <v>2784</v>
      </c>
      <c r="K1684" s="17" t="s">
        <v>100</v>
      </c>
      <c r="L1684">
        <v>5</v>
      </c>
    </row>
    <row r="1685" spans="1:12" x14ac:dyDescent="0.25">
      <c r="A1685" t="s">
        <v>4330</v>
      </c>
      <c r="B1685" t="s">
        <v>3058</v>
      </c>
      <c r="C1685" t="s">
        <v>1538</v>
      </c>
      <c r="D1685" t="s">
        <v>46</v>
      </c>
      <c r="E1685">
        <v>29</v>
      </c>
      <c r="F1685" t="s">
        <v>258</v>
      </c>
      <c r="G1685" t="s">
        <v>95</v>
      </c>
      <c r="H1685" s="2">
        <v>45846</v>
      </c>
      <c r="I1685" s="1" t="d">
        <v>2010-02-01</v>
      </c>
      <c r="J1685" t="s">
        <v>4331</v>
      </c>
      <c r="K1685" s="17" t="s">
        <v>90</v>
      </c>
      <c r="L1685">
        <v>4</v>
      </c>
    </row>
    <row r="1686" spans="1:12" x14ac:dyDescent="0.25">
      <c r="A1686" t="s">
        <v>3851</v>
      </c>
      <c r="B1686" t="s">
        <v>3852</v>
      </c>
      <c r="C1686" t="s">
        <v>93</v>
      </c>
      <c r="D1686" t="s">
        <v>9527</v>
      </c>
      <c r="E1686">
        <v>36</v>
      </c>
      <c r="F1686" t="s">
        <v>146</v>
      </c>
      <c r="G1686" t="s">
        <v>407</v>
      </c>
      <c r="I1686" s="1" t="d">
        <v>2011-01-16</v>
      </c>
      <c r="J1686" t="s">
        <v>3853</v>
      </c>
      <c r="K1686" s="17" t="s">
        <v>42</v>
      </c>
      <c r="L1686">
        <v>5</v>
      </c>
    </row>
    <row r="1687" spans="1:12" x14ac:dyDescent="0.25">
      <c r="A1687" t="s">
        <v>4332</v>
      </c>
      <c r="B1687" t="s">
        <v>2041</v>
      </c>
      <c r="C1687" t="s">
        <v>135</v>
      </c>
      <c r="D1687" t="s">
        <v>46</v>
      </c>
      <c r="E1687">
        <v>26</v>
      </c>
      <c r="F1687" t="s">
        <v>126</v>
      </c>
      <c r="G1687" t="s">
        <v>912</v>
      </c>
      <c r="H1687" t="s">
        <v>4333</v>
      </c>
      <c r="I1687" s="1" t="d">
        <v>2021-05-05</v>
      </c>
      <c r="J1687" t="s">
        <v>4334</v>
      </c>
      <c r="K1687" s="17" t="s">
        <v>118</v>
      </c>
      <c r="L1687">
        <v>3</v>
      </c>
    </row>
    <row r="1688" spans="1:12" x14ac:dyDescent="0.25">
      <c r="A1688" t="s">
        <v>4335</v>
      </c>
      <c r="B1688" t="s">
        <v>841</v>
      </c>
      <c r="C1688" t="s">
        <v>624</v>
      </c>
      <c r="D1688" t="s">
        <v>46</v>
      </c>
      <c r="E1688">
        <v>40</v>
      </c>
      <c r="F1688" t="s">
        <v>759</v>
      </c>
      <c r="G1688" t="s">
        <v>48</v>
      </c>
      <c r="H1688">
        <v>40850</v>
      </c>
      <c r="I1688" s="1" t="d">
        <v>2022-08-04</v>
      </c>
      <c r="J1688" t="s">
        <v>4336</v>
      </c>
      <c r="K1688" s="17" t="s">
        <v>90</v>
      </c>
      <c r="L1688">
        <v>5</v>
      </c>
    </row>
    <row r="1689" spans="1:12" x14ac:dyDescent="0.25">
      <c r="A1689" t="s">
        <v>4337</v>
      </c>
      <c r="B1689" t="s">
        <v>808</v>
      </c>
      <c r="C1689" t="s">
        <v>758</v>
      </c>
      <c r="D1689" t="s">
        <v>23</v>
      </c>
      <c r="E1689">
        <v>47</v>
      </c>
      <c r="F1689" t="s">
        <v>645</v>
      </c>
      <c r="G1689" t="s">
        <v>641</v>
      </c>
      <c r="J1689" t="s">
        <v>3036</v>
      </c>
      <c r="K1689" s="17" t="s">
        <v>58</v>
      </c>
      <c r="L1689">
        <v>4</v>
      </c>
    </row>
    <row r="1690" spans="1:12" x14ac:dyDescent="0.25">
      <c r="A1690" t="s">
        <v>4338</v>
      </c>
      <c r="B1690" t="s">
        <v>563</v>
      </c>
      <c r="C1690" t="s">
        <v>1538</v>
      </c>
      <c r="D1690" t="s">
        <v>9527</v>
      </c>
      <c r="E1690">
        <v>47</v>
      </c>
      <c r="F1690" t="s">
        <v>522</v>
      </c>
      <c r="G1690" t="s">
        <v>82</v>
      </c>
      <c r="H1690" t="s">
        <v>4339</v>
      </c>
      <c r="I1690" s="1" t="d">
        <v>2009-07-04</v>
      </c>
      <c r="J1690" t="s">
        <v>1539</v>
      </c>
      <c r="K1690" s="17" t="s">
        <v>71</v>
      </c>
      <c r="L1690">
        <v>3</v>
      </c>
    </row>
    <row r="1691" spans="1:12" x14ac:dyDescent="0.25">
      <c r="A1691" t="s">
        <v>4340</v>
      </c>
      <c r="B1691" t="s">
        <v>499</v>
      </c>
      <c r="C1691" t="s">
        <v>1320</v>
      </c>
      <c r="D1691" t="s">
        <v>23</v>
      </c>
      <c r="E1691">
        <v>60</v>
      </c>
      <c r="F1691" t="s">
        <v>114</v>
      </c>
      <c r="G1691" t="s">
        <v>48</v>
      </c>
      <c r="H1691" t="s">
        <v>4341</v>
      </c>
      <c r="I1691" s="1" t="d">
        <v>2006-11-16</v>
      </c>
      <c r="J1691" t="s">
        <v>592</v>
      </c>
      <c r="K1691" s="17" t="s">
        <v>184</v>
      </c>
      <c r="L1691">
        <v>4</v>
      </c>
    </row>
    <row r="1692" spans="1:12" x14ac:dyDescent="0.25">
      <c r="A1692" t="s">
        <v>4342</v>
      </c>
      <c r="B1692" t="s">
        <v>630</v>
      </c>
      <c r="C1692" t="s">
        <v>14</v>
      </c>
      <c r="D1692" t="s">
        <v>23</v>
      </c>
      <c r="E1692">
        <v>25</v>
      </c>
      <c r="F1692" t="s">
        <v>122</v>
      </c>
      <c r="G1692" t="s">
        <v>69</v>
      </c>
      <c r="H1692" t="s">
        <v>4343</v>
      </c>
      <c r="I1692" s="1" t="d">
        <v>2024-08-09</v>
      </c>
      <c r="J1692" t="s">
        <v>2293</v>
      </c>
      <c r="K1692" s="17" t="s">
        <v>42</v>
      </c>
      <c r="L1692">
        <v>3</v>
      </c>
    </row>
    <row r="1693" spans="1:12" x14ac:dyDescent="0.25">
      <c r="A1693" t="s">
        <v>4344</v>
      </c>
      <c r="B1693" t="s">
        <v>44</v>
      </c>
      <c r="C1693" t="s">
        <v>535</v>
      </c>
      <c r="D1693" t="s">
        <v>23</v>
      </c>
      <c r="E1693">
        <v>41</v>
      </c>
      <c r="F1693" t="s">
        <v>1889</v>
      </c>
      <c r="G1693" t="s">
        <v>500</v>
      </c>
      <c r="H1693" t="s">
        <v>4345</v>
      </c>
      <c r="J1693" t="s">
        <v>3296</v>
      </c>
      <c r="K1693" s="17" t="s">
        <v>58</v>
      </c>
      <c r="L1693">
        <v>2</v>
      </c>
    </row>
    <row r="1694" spans="1:12" x14ac:dyDescent="0.25">
      <c r="A1694" t="s">
        <v>4346</v>
      </c>
      <c r="B1694" t="s">
        <v>456</v>
      </c>
      <c r="C1694" t="s">
        <v>158</v>
      </c>
      <c r="D1694" t="s">
        <v>9527</v>
      </c>
      <c r="E1694">
        <v>42</v>
      </c>
      <c r="F1694" t="s">
        <v>978</v>
      </c>
      <c r="G1694" t="s">
        <v>191</v>
      </c>
      <c r="H1694">
        <v>87831</v>
      </c>
      <c r="I1694" s="1" t="d">
        <v>2011-06-27</v>
      </c>
      <c r="J1694" t="s">
        <v>976</v>
      </c>
      <c r="K1694" s="17" t="s">
        <v>42</v>
      </c>
      <c r="L1694">
        <v>3</v>
      </c>
    </row>
    <row r="1695" spans="1:12" x14ac:dyDescent="0.25">
      <c r="A1695" t="s">
        <v>4347</v>
      </c>
      <c r="B1695" t="s">
        <v>4348</v>
      </c>
      <c r="C1695" t="s">
        <v>107</v>
      </c>
      <c r="D1695" t="s">
        <v>23</v>
      </c>
      <c r="E1695">
        <v>31</v>
      </c>
      <c r="F1695" t="s">
        <v>190</v>
      </c>
      <c r="G1695" t="s">
        <v>39</v>
      </c>
      <c r="I1695" s="1" t="d">
        <v>2012-05-23</v>
      </c>
      <c r="J1695" t="s">
        <v>3168</v>
      </c>
      <c r="K1695" s="17" t="s">
        <v>90</v>
      </c>
      <c r="L1695">
        <v>5</v>
      </c>
    </row>
    <row r="1696" spans="1:12" x14ac:dyDescent="0.25">
      <c r="A1696" t="s">
        <v>4349</v>
      </c>
      <c r="B1696" t="s">
        <v>4350</v>
      </c>
      <c r="C1696" t="s">
        <v>1182</v>
      </c>
      <c r="D1696" t="s">
        <v>9527</v>
      </c>
      <c r="E1696">
        <v>34</v>
      </c>
      <c r="F1696" t="s">
        <v>1851</v>
      </c>
      <c r="G1696" t="s">
        <v>217</v>
      </c>
      <c r="H1696" s="2">
        <v>92773</v>
      </c>
      <c r="I1696" s="1" t="d">
        <v>2012-04-28</v>
      </c>
      <c r="J1696" t="s">
        <v>4311</v>
      </c>
      <c r="K1696" s="17" t="s">
        <v>149</v>
      </c>
      <c r="L1696">
        <v>3</v>
      </c>
    </row>
    <row r="1697" spans="1:12" x14ac:dyDescent="0.25">
      <c r="A1697" t="s">
        <v>4351</v>
      </c>
      <c r="B1697" t="s">
        <v>548</v>
      </c>
      <c r="C1697" t="s">
        <v>291</v>
      </c>
      <c r="D1697" t="s">
        <v>23</v>
      </c>
      <c r="E1697">
        <v>42</v>
      </c>
      <c r="F1697" t="s">
        <v>918</v>
      </c>
      <c r="G1697" t="s">
        <v>127</v>
      </c>
      <c r="H1697" t="s">
        <v>4352</v>
      </c>
      <c r="I1697" s="1" t="d">
        <v>2006-10-13</v>
      </c>
      <c r="J1697" t="s">
        <v>1413</v>
      </c>
      <c r="K1697" s="17" t="s">
        <v>42</v>
      </c>
      <c r="L1697">
        <v>3</v>
      </c>
    </row>
    <row r="1698" spans="1:12" x14ac:dyDescent="0.25">
      <c r="A1698" t="s">
        <v>4353</v>
      </c>
      <c r="B1698" t="s">
        <v>66</v>
      </c>
      <c r="C1698" t="s">
        <v>462</v>
      </c>
      <c r="D1698" t="s">
        <v>46</v>
      </c>
      <c r="E1698">
        <v>43</v>
      </c>
      <c r="G1698" t="s">
        <v>82</v>
      </c>
      <c r="I1698" s="1" t="d">
        <v>2015-02-06</v>
      </c>
      <c r="J1698" t="s">
        <v>1281</v>
      </c>
      <c r="K1698" s="17" t="s">
        <v>207</v>
      </c>
      <c r="L1698">
        <v>4</v>
      </c>
    </row>
    <row r="1699" spans="1:12" x14ac:dyDescent="0.25">
      <c r="A1699" t="s">
        <v>4354</v>
      </c>
      <c r="B1699" t="s">
        <v>1491</v>
      </c>
      <c r="C1699" t="s">
        <v>858</v>
      </c>
      <c r="D1699" t="s">
        <v>23</v>
      </c>
      <c r="E1699">
        <v>39</v>
      </c>
      <c r="F1699" t="s">
        <v>417</v>
      </c>
      <c r="G1699" t="s">
        <v>82</v>
      </c>
      <c r="H1699">
        <v>58265</v>
      </c>
      <c r="I1699" s="1" t="d">
        <v>2019-03-02</v>
      </c>
      <c r="J1699" t="s">
        <v>3565</v>
      </c>
      <c r="K1699" s="17" t="s">
        <v>118</v>
      </c>
      <c r="L1699">
        <v>4</v>
      </c>
    </row>
    <row r="1700" spans="1:12" x14ac:dyDescent="0.25">
      <c r="A1700" t="s">
        <v>4355</v>
      </c>
      <c r="B1700" t="s">
        <v>728</v>
      </c>
      <c r="C1700" t="s">
        <v>107</v>
      </c>
      <c r="D1700" t="s">
        <v>9527</v>
      </c>
      <c r="E1700">
        <v>46</v>
      </c>
      <c r="F1700" t="s">
        <v>62</v>
      </c>
      <c r="G1700" t="s">
        <v>55</v>
      </c>
      <c r="H1700" t="s">
        <v>4356</v>
      </c>
      <c r="I1700" s="1" t="d">
        <v>2013-12-25</v>
      </c>
      <c r="J1700" t="s">
        <v>1840</v>
      </c>
      <c r="K1700" s="17" t="s">
        <v>149</v>
      </c>
      <c r="L1700">
        <v>4</v>
      </c>
    </row>
    <row r="1701" spans="1:12" x14ac:dyDescent="0.25">
      <c r="A1701" t="s">
        <v>4357</v>
      </c>
      <c r="B1701" t="s">
        <v>1301</v>
      </c>
      <c r="C1701" t="s">
        <v>386</v>
      </c>
      <c r="D1701" t="s">
        <v>9527</v>
      </c>
      <c r="E1701">
        <v>36</v>
      </c>
      <c r="F1701" t="s">
        <v>186</v>
      </c>
      <c r="G1701" t="s">
        <v>177</v>
      </c>
      <c r="H1701" t="s">
        <v>4358</v>
      </c>
      <c r="I1701" s="1" t="d">
        <v>2021-02-02</v>
      </c>
      <c r="J1701" t="s">
        <v>4359</v>
      </c>
      <c r="K1701" s="17" t="s">
        <v>71</v>
      </c>
      <c r="L1701">
        <v>3</v>
      </c>
    </row>
    <row r="1702" spans="1:12" x14ac:dyDescent="0.25">
      <c r="A1702" t="s">
        <v>4360</v>
      </c>
      <c r="B1702" t="s">
        <v>652</v>
      </c>
      <c r="C1702" t="s">
        <v>324</v>
      </c>
      <c r="D1702" t="s">
        <v>46</v>
      </c>
      <c r="E1702">
        <v>45</v>
      </c>
      <c r="F1702" t="s">
        <v>211</v>
      </c>
      <c r="G1702" t="s">
        <v>504</v>
      </c>
      <c r="H1702" s="2">
        <v>46945</v>
      </c>
      <c r="I1702" s="1" t="d">
        <v>2010-09-03</v>
      </c>
      <c r="J1702" t="s">
        <v>4361</v>
      </c>
      <c r="K1702" s="17" t="s">
        <v>149</v>
      </c>
      <c r="L1702">
        <v>3</v>
      </c>
    </row>
    <row r="1703" spans="1:12" x14ac:dyDescent="0.25">
      <c r="A1703" t="s">
        <v>4362</v>
      </c>
      <c r="B1703" t="s">
        <v>410</v>
      </c>
      <c r="C1703" t="s">
        <v>36</v>
      </c>
      <c r="D1703" t="s">
        <v>46</v>
      </c>
      <c r="E1703">
        <v>45</v>
      </c>
      <c r="F1703" t="s">
        <v>253</v>
      </c>
      <c r="G1703" t="s">
        <v>159</v>
      </c>
      <c r="H1703" t="s">
        <v>4363</v>
      </c>
      <c r="I1703" s="1" t="d">
        <v>2005-04-16</v>
      </c>
      <c r="J1703" t="s">
        <v>2559</v>
      </c>
      <c r="K1703" s="17" t="s">
        <v>118</v>
      </c>
      <c r="L1703">
        <v>4</v>
      </c>
    </row>
    <row r="1704" spans="1:12" x14ac:dyDescent="0.25">
      <c r="A1704" t="s">
        <v>4364</v>
      </c>
      <c r="B1704" t="s">
        <v>773</v>
      </c>
      <c r="C1704" t="s">
        <v>540</v>
      </c>
      <c r="D1704" t="s">
        <v>46</v>
      </c>
      <c r="E1704">
        <v>38</v>
      </c>
      <c r="F1704" t="s">
        <v>211</v>
      </c>
      <c r="G1704" t="s">
        <v>387</v>
      </c>
      <c r="H1704" s="2">
        <v>147238</v>
      </c>
      <c r="I1704" s="1" t="d">
        <v>2024-08-05</v>
      </c>
      <c r="J1704" t="s">
        <v>1989</v>
      </c>
      <c r="K1704" s="17" t="s">
        <v>118</v>
      </c>
      <c r="L1704">
        <v>5</v>
      </c>
    </row>
    <row r="1705" spans="1:12" x14ac:dyDescent="0.25">
      <c r="A1705" t="s">
        <v>4365</v>
      </c>
      <c r="B1705" t="s">
        <v>340</v>
      </c>
      <c r="C1705" t="s">
        <v>665</v>
      </c>
      <c r="D1705" t="s">
        <v>23</v>
      </c>
      <c r="E1705">
        <v>42</v>
      </c>
      <c r="F1705" t="s">
        <v>918</v>
      </c>
      <c r="G1705" t="s">
        <v>115</v>
      </c>
      <c r="H1705" t="s">
        <v>4366</v>
      </c>
      <c r="I1705" s="1" t="d">
        <v>2009-07-26</v>
      </c>
      <c r="J1705" t="s">
        <v>4367</v>
      </c>
      <c r="K1705" s="17" t="s">
        <v>50</v>
      </c>
      <c r="L1705">
        <v>3</v>
      </c>
    </row>
    <row r="1706" spans="1:12" x14ac:dyDescent="0.25">
      <c r="A1706" t="s">
        <v>4368</v>
      </c>
      <c r="B1706" t="s">
        <v>4369</v>
      </c>
      <c r="C1706" t="s">
        <v>830</v>
      </c>
      <c r="D1706" t="s">
        <v>46</v>
      </c>
      <c r="E1706">
        <v>39</v>
      </c>
      <c r="F1706" t="s">
        <v>3101</v>
      </c>
      <c r="G1706" t="s">
        <v>357</v>
      </c>
      <c r="H1706" t="s">
        <v>4370</v>
      </c>
      <c r="I1706" s="1" t="d">
        <v>2020-10-11</v>
      </c>
      <c r="J1706" t="s">
        <v>2113</v>
      </c>
      <c r="K1706" s="17" t="s">
        <v>207</v>
      </c>
      <c r="L1706">
        <v>4</v>
      </c>
    </row>
    <row r="1707" spans="1:12" x14ac:dyDescent="0.25">
      <c r="A1707" t="s">
        <v>4371</v>
      </c>
      <c r="B1707" t="s">
        <v>92</v>
      </c>
      <c r="C1707" t="s">
        <v>2079</v>
      </c>
      <c r="D1707" t="s">
        <v>46</v>
      </c>
      <c r="E1707">
        <v>45</v>
      </c>
      <c r="F1707" t="s">
        <v>645</v>
      </c>
      <c r="G1707" t="s">
        <v>1121</v>
      </c>
      <c r="H1707" t="s">
        <v>4372</v>
      </c>
      <c r="I1707" s="1" t="d">
        <v>2023-07-06</v>
      </c>
      <c r="J1707" t="s">
        <v>581</v>
      </c>
      <c r="K1707" s="17" t="s">
        <v>90</v>
      </c>
      <c r="L1707">
        <v>4</v>
      </c>
    </row>
    <row r="1708" spans="1:12" x14ac:dyDescent="0.25">
      <c r="A1708" t="s">
        <v>4373</v>
      </c>
      <c r="B1708" t="s">
        <v>4374</v>
      </c>
      <c r="C1708" t="s">
        <v>631</v>
      </c>
      <c r="D1708" t="s">
        <v>23</v>
      </c>
      <c r="E1708">
        <v>41</v>
      </c>
      <c r="F1708" t="s">
        <v>245</v>
      </c>
      <c r="G1708" t="s">
        <v>217</v>
      </c>
      <c r="H1708" t="s">
        <v>4375</v>
      </c>
      <c r="I1708" s="1" t="d">
        <v>2014-04-29</v>
      </c>
      <c r="J1708" t="s">
        <v>4376</v>
      </c>
      <c r="K1708" s="17" t="s">
        <v>184</v>
      </c>
      <c r="L1708">
        <v>2</v>
      </c>
    </row>
    <row r="1709" spans="1:12" x14ac:dyDescent="0.25">
      <c r="A1709" t="s">
        <v>4377</v>
      </c>
      <c r="B1709" t="s">
        <v>1096</v>
      </c>
      <c r="C1709" t="s">
        <v>152</v>
      </c>
      <c r="D1709" t="s">
        <v>23</v>
      </c>
      <c r="E1709">
        <v>36</v>
      </c>
      <c r="F1709" t="s">
        <v>68</v>
      </c>
      <c r="G1709" t="s">
        <v>16</v>
      </c>
      <c r="H1709" s="2">
        <v>119970</v>
      </c>
      <c r="I1709" s="1" t="d">
        <v>2016-01-25</v>
      </c>
      <c r="J1709" t="s">
        <v>2506</v>
      </c>
      <c r="K1709" s="17" t="s">
        <v>90</v>
      </c>
      <c r="L1709">
        <v>3</v>
      </c>
    </row>
    <row r="1710" spans="1:12" x14ac:dyDescent="0.25">
      <c r="A1710" t="s">
        <v>4378</v>
      </c>
      <c r="B1710" t="s">
        <v>4379</v>
      </c>
      <c r="C1710" t="s">
        <v>145</v>
      </c>
      <c r="D1710" t="s">
        <v>23</v>
      </c>
      <c r="E1710">
        <v>40</v>
      </c>
      <c r="F1710" t="s">
        <v>94</v>
      </c>
      <c r="G1710" t="s">
        <v>39</v>
      </c>
      <c r="H1710">
        <v>76471</v>
      </c>
      <c r="I1710" s="1" t="d">
        <v>2007-06-05</v>
      </c>
      <c r="J1710" t="s">
        <v>197</v>
      </c>
      <c r="K1710" s="17" t="s">
        <v>184</v>
      </c>
      <c r="L1710">
        <v>5</v>
      </c>
    </row>
    <row r="1711" spans="1:12" x14ac:dyDescent="0.25">
      <c r="A1711" t="s">
        <v>4380</v>
      </c>
      <c r="B1711" t="s">
        <v>134</v>
      </c>
      <c r="C1711" t="s">
        <v>869</v>
      </c>
      <c r="D1711" t="s">
        <v>46</v>
      </c>
      <c r="E1711">
        <v>21</v>
      </c>
      <c r="F1711" t="s">
        <v>230</v>
      </c>
      <c r="G1711" t="s">
        <v>500</v>
      </c>
      <c r="H1711">
        <v>76361</v>
      </c>
      <c r="I1711" s="1" t="d">
        <v>2014-07-31</v>
      </c>
      <c r="J1711" t="s">
        <v>806</v>
      </c>
      <c r="K1711" s="17" t="s">
        <v>184</v>
      </c>
      <c r="L1711">
        <v>4</v>
      </c>
    </row>
    <row r="1712" spans="1:12" x14ac:dyDescent="0.25">
      <c r="A1712" t="s">
        <v>4381</v>
      </c>
      <c r="B1712" t="s">
        <v>376</v>
      </c>
      <c r="C1712" t="s">
        <v>1244</v>
      </c>
      <c r="D1712" t="s">
        <v>46</v>
      </c>
      <c r="E1712">
        <v>39</v>
      </c>
      <c r="F1712" t="s">
        <v>417</v>
      </c>
      <c r="G1712" t="s">
        <v>1199</v>
      </c>
      <c r="H1712" t="s">
        <v>4382</v>
      </c>
      <c r="I1712" s="1" t="d">
        <v>2011-02-23</v>
      </c>
      <c r="J1712" t="s">
        <v>564</v>
      </c>
      <c r="K1712" s="17" t="s">
        <v>19</v>
      </c>
      <c r="L1712">
        <v>4</v>
      </c>
    </row>
    <row r="1713" spans="1:12" x14ac:dyDescent="0.25">
      <c r="A1713" t="s">
        <v>4383</v>
      </c>
      <c r="B1713" t="s">
        <v>1479</v>
      </c>
      <c r="C1713" t="s">
        <v>295</v>
      </c>
      <c r="D1713" t="s">
        <v>46</v>
      </c>
      <c r="E1713">
        <v>26</v>
      </c>
      <c r="F1713" t="s">
        <v>108</v>
      </c>
      <c r="G1713" t="s">
        <v>82</v>
      </c>
      <c r="H1713" s="2">
        <v>83441</v>
      </c>
      <c r="I1713" s="1" t="d">
        <v>2018-11-02</v>
      </c>
      <c r="J1713" t="s">
        <v>4384</v>
      </c>
      <c r="K1713" s="17" t="s">
        <v>42</v>
      </c>
      <c r="L1713">
        <v>3</v>
      </c>
    </row>
    <row r="1714" spans="1:12" x14ac:dyDescent="0.25">
      <c r="A1714" t="s">
        <v>4385</v>
      </c>
      <c r="B1714" t="s">
        <v>841</v>
      </c>
      <c r="C1714" t="s">
        <v>763</v>
      </c>
      <c r="D1714" t="s">
        <v>23</v>
      </c>
      <c r="E1714">
        <v>24</v>
      </c>
      <c r="F1714" t="s">
        <v>4293</v>
      </c>
      <c r="G1714" t="s">
        <v>387</v>
      </c>
      <c r="H1714" t="s">
        <v>4386</v>
      </c>
      <c r="I1714" s="1" t="d">
        <v>2022-08-05</v>
      </c>
      <c r="J1714" t="s">
        <v>2766</v>
      </c>
      <c r="K1714" s="17" t="s">
        <v>118</v>
      </c>
      <c r="L1714">
        <v>3</v>
      </c>
    </row>
    <row r="1715" spans="1:12" x14ac:dyDescent="0.25">
      <c r="A1715" t="s">
        <v>4387</v>
      </c>
      <c r="B1715" t="s">
        <v>448</v>
      </c>
      <c r="C1715" t="s">
        <v>766</v>
      </c>
      <c r="D1715" t="s">
        <v>46</v>
      </c>
      <c r="E1715">
        <v>42</v>
      </c>
      <c r="F1715" t="s">
        <v>122</v>
      </c>
      <c r="G1715" t="s">
        <v>182</v>
      </c>
      <c r="H1715">
        <v>104356</v>
      </c>
      <c r="I1715" s="1" t="d">
        <v>2017-10-01</v>
      </c>
      <c r="J1715" t="s">
        <v>4388</v>
      </c>
      <c r="K1715" s="17" t="s">
        <v>27</v>
      </c>
      <c r="L1715">
        <v>4</v>
      </c>
    </row>
    <row r="1716" spans="1:12" x14ac:dyDescent="0.25">
      <c r="A1716" t="s">
        <v>4389</v>
      </c>
      <c r="B1716" t="s">
        <v>4390</v>
      </c>
      <c r="C1716" t="s">
        <v>665</v>
      </c>
      <c r="D1716" t="s">
        <v>23</v>
      </c>
      <c r="E1716">
        <v>21</v>
      </c>
      <c r="F1716" t="s">
        <v>126</v>
      </c>
      <c r="G1716" t="s">
        <v>48</v>
      </c>
      <c r="H1716" t="s">
        <v>4391</v>
      </c>
      <c r="I1716" s="1" t="d">
        <v>2014-12-29</v>
      </c>
      <c r="J1716" t="s">
        <v>3274</v>
      </c>
      <c r="K1716" s="17" t="s">
        <v>90</v>
      </c>
      <c r="L1716">
        <v>5</v>
      </c>
    </row>
    <row r="1717" spans="1:12" x14ac:dyDescent="0.25">
      <c r="A1717" t="s">
        <v>4392</v>
      </c>
      <c r="B1717" t="s">
        <v>167</v>
      </c>
      <c r="C1717" t="s">
        <v>2242</v>
      </c>
      <c r="D1717" t="s">
        <v>23</v>
      </c>
      <c r="E1717">
        <v>56</v>
      </c>
      <c r="F1717" t="s">
        <v>649</v>
      </c>
      <c r="G1717" t="s">
        <v>39</v>
      </c>
      <c r="H1717" s="2">
        <v>74030</v>
      </c>
      <c r="I1717" s="1" t="d">
        <v>2013-04-11</v>
      </c>
      <c r="J1717" t="s">
        <v>4393</v>
      </c>
      <c r="K1717" s="17" t="s">
        <v>42</v>
      </c>
      <c r="L1717">
        <v>3</v>
      </c>
    </row>
    <row r="1718" spans="1:12" x14ac:dyDescent="0.25">
      <c r="A1718" t="s">
        <v>4394</v>
      </c>
      <c r="B1718" t="s">
        <v>29</v>
      </c>
      <c r="C1718" t="s">
        <v>45</v>
      </c>
      <c r="D1718" t="s">
        <v>46</v>
      </c>
      <c r="E1718">
        <v>40</v>
      </c>
      <c r="F1718" t="s">
        <v>15</v>
      </c>
      <c r="G1718" t="s">
        <v>69</v>
      </c>
      <c r="H1718" t="s">
        <v>4395</v>
      </c>
      <c r="I1718" s="1" t="d">
        <v>2019-10-26</v>
      </c>
      <c r="J1718" t="s">
        <v>1879</v>
      </c>
      <c r="K1718" s="17" t="s">
        <v>27</v>
      </c>
      <c r="L1718">
        <v>3</v>
      </c>
    </row>
    <row r="1719" spans="1:12" x14ac:dyDescent="0.25">
      <c r="A1719" t="s">
        <v>4396</v>
      </c>
      <c r="B1719" t="s">
        <v>323</v>
      </c>
      <c r="C1719" t="s">
        <v>1442</v>
      </c>
      <c r="D1719" t="s">
        <v>46</v>
      </c>
      <c r="E1719">
        <v>47</v>
      </c>
      <c r="F1719" t="s">
        <v>4397</v>
      </c>
      <c r="G1719" t="s">
        <v>177</v>
      </c>
      <c r="H1719" t="s">
        <v>4398</v>
      </c>
      <c r="I1719" s="1" t="d">
        <v>2007-09-23</v>
      </c>
      <c r="J1719" t="s">
        <v>1416</v>
      </c>
      <c r="K1719" s="17" t="s">
        <v>71</v>
      </c>
      <c r="L1719">
        <v>3</v>
      </c>
    </row>
    <row r="1720" spans="1:12" x14ac:dyDescent="0.25">
      <c r="A1720" t="s">
        <v>4399</v>
      </c>
      <c r="B1720" t="s">
        <v>120</v>
      </c>
      <c r="C1720" t="s">
        <v>516</v>
      </c>
      <c r="D1720" t="s">
        <v>46</v>
      </c>
      <c r="E1720">
        <v>55</v>
      </c>
      <c r="F1720" t="s">
        <v>1195</v>
      </c>
      <c r="G1720" t="s">
        <v>32</v>
      </c>
      <c r="H1720" t="s">
        <v>4400</v>
      </c>
      <c r="I1720" s="1" t="d">
        <v>2021-06-14</v>
      </c>
      <c r="J1720" t="s">
        <v>4401</v>
      </c>
      <c r="K1720" s="17" t="s">
        <v>118</v>
      </c>
      <c r="L1720">
        <v>3</v>
      </c>
    </row>
    <row r="1721" spans="1:12" x14ac:dyDescent="0.25">
      <c r="A1721" t="s">
        <v>4402</v>
      </c>
      <c r="B1721" t="s">
        <v>583</v>
      </c>
      <c r="C1721" t="s">
        <v>715</v>
      </c>
      <c r="D1721" t="s">
        <v>23</v>
      </c>
      <c r="E1721">
        <v>36</v>
      </c>
      <c r="F1721" t="s">
        <v>422</v>
      </c>
      <c r="G1721" t="s">
        <v>82</v>
      </c>
      <c r="H1721" s="2">
        <v>71080</v>
      </c>
      <c r="I1721" s="1" t="d">
        <v>2022-10-01</v>
      </c>
      <c r="J1721" t="s">
        <v>4403</v>
      </c>
      <c r="K1721" s="17" t="s">
        <v>50</v>
      </c>
      <c r="L1721">
        <v>4</v>
      </c>
    </row>
    <row r="1722" spans="1:12" x14ac:dyDescent="0.25">
      <c r="A1722" t="s">
        <v>4404</v>
      </c>
      <c r="B1722" t="s">
        <v>728</v>
      </c>
      <c r="C1722" t="s">
        <v>336</v>
      </c>
      <c r="D1722" t="s">
        <v>46</v>
      </c>
      <c r="E1722">
        <v>33</v>
      </c>
      <c r="F1722" t="s">
        <v>169</v>
      </c>
      <c r="G1722" t="s">
        <v>177</v>
      </c>
      <c r="H1722">
        <v>51618</v>
      </c>
      <c r="I1722" s="1" t="d">
        <v>2011-08-01</v>
      </c>
      <c r="J1722" t="s">
        <v>4405</v>
      </c>
      <c r="K1722" s="17" t="s">
        <v>149</v>
      </c>
      <c r="L1722">
        <v>3</v>
      </c>
    </row>
    <row r="1723" spans="1:12" x14ac:dyDescent="0.25">
      <c r="A1723" t="s">
        <v>4406</v>
      </c>
      <c r="B1723" t="s">
        <v>60</v>
      </c>
      <c r="C1723" t="s">
        <v>2572</v>
      </c>
      <c r="D1723" t="s">
        <v>46</v>
      </c>
      <c r="E1723">
        <v>26</v>
      </c>
      <c r="F1723" t="s">
        <v>676</v>
      </c>
      <c r="G1723" t="s">
        <v>1277</v>
      </c>
      <c r="H1723" t="s">
        <v>4407</v>
      </c>
      <c r="J1723" t="s">
        <v>1870</v>
      </c>
      <c r="K1723" s="17" t="s">
        <v>27</v>
      </c>
      <c r="L1723">
        <v>5</v>
      </c>
    </row>
    <row r="1724" spans="1:12" x14ac:dyDescent="0.25">
      <c r="A1724" t="s">
        <v>4408</v>
      </c>
      <c r="B1724" t="s">
        <v>2147</v>
      </c>
      <c r="C1724" t="s">
        <v>135</v>
      </c>
      <c r="D1724" t="s">
        <v>46</v>
      </c>
      <c r="E1724">
        <v>23</v>
      </c>
      <c r="F1724" t="s">
        <v>190</v>
      </c>
      <c r="G1724" t="s">
        <v>170</v>
      </c>
      <c r="H1724">
        <v>50800</v>
      </c>
      <c r="I1724" s="1" t="d">
        <v>2008-04-30</v>
      </c>
      <c r="J1724" t="s">
        <v>3199</v>
      </c>
      <c r="K1724" s="17" t="s">
        <v>71</v>
      </c>
      <c r="L1724">
        <v>2</v>
      </c>
    </row>
    <row r="1725" spans="1:12" x14ac:dyDescent="0.25">
      <c r="A1725" t="s">
        <v>4409</v>
      </c>
      <c r="B1725" t="s">
        <v>426</v>
      </c>
      <c r="C1725" t="s">
        <v>361</v>
      </c>
      <c r="D1725" t="s">
        <v>9527</v>
      </c>
      <c r="E1725">
        <v>37</v>
      </c>
      <c r="F1725" t="s">
        <v>62</v>
      </c>
      <c r="G1725" t="s">
        <v>127</v>
      </c>
      <c r="H1725" t="s">
        <v>4410</v>
      </c>
      <c r="I1725" s="1" t="d">
        <v>2012-03-09</v>
      </c>
      <c r="J1725" t="s">
        <v>3667</v>
      </c>
      <c r="K1725" s="17" t="s">
        <v>34</v>
      </c>
      <c r="L1725">
        <v>5</v>
      </c>
    </row>
    <row r="1726" spans="1:12" x14ac:dyDescent="0.25">
      <c r="A1726" t="s">
        <v>4411</v>
      </c>
      <c r="B1726" t="s">
        <v>439</v>
      </c>
      <c r="C1726" t="s">
        <v>1205</v>
      </c>
      <c r="D1726" t="s">
        <v>9527</v>
      </c>
      <c r="E1726">
        <v>21</v>
      </c>
      <c r="F1726" t="s">
        <v>104</v>
      </c>
      <c r="G1726" t="s">
        <v>1117</v>
      </c>
      <c r="I1726" s="1" t="d">
        <v>2011-12-20</v>
      </c>
      <c r="J1726" t="s">
        <v>4412</v>
      </c>
      <c r="K1726" s="17" t="s">
        <v>100</v>
      </c>
      <c r="L1726">
        <v>4</v>
      </c>
    </row>
    <row r="1727" spans="1:12" x14ac:dyDescent="0.25">
      <c r="A1727" t="s">
        <v>4413</v>
      </c>
      <c r="B1727" t="s">
        <v>906</v>
      </c>
      <c r="C1727" t="s">
        <v>521</v>
      </c>
      <c r="D1727" t="s">
        <v>46</v>
      </c>
      <c r="E1727">
        <v>43</v>
      </c>
      <c r="F1727" t="s">
        <v>54</v>
      </c>
      <c r="G1727" t="s">
        <v>177</v>
      </c>
      <c r="H1727" t="s">
        <v>4414</v>
      </c>
      <c r="I1727" s="1" t="d">
        <v>2015-10-21</v>
      </c>
      <c r="J1727" t="s">
        <v>1609</v>
      </c>
      <c r="K1727" s="17" t="s">
        <v>42</v>
      </c>
      <c r="L1727">
        <v>5</v>
      </c>
    </row>
    <row r="1728" spans="1:12" x14ac:dyDescent="0.25">
      <c r="A1728" t="s">
        <v>4415</v>
      </c>
      <c r="B1728" t="s">
        <v>174</v>
      </c>
      <c r="C1728" t="s">
        <v>135</v>
      </c>
      <c r="D1728" t="s">
        <v>9527</v>
      </c>
      <c r="E1728">
        <v>52</v>
      </c>
      <c r="F1728" t="s">
        <v>2090</v>
      </c>
      <c r="G1728" t="s">
        <v>55</v>
      </c>
      <c r="I1728" s="1" t="d">
        <v>2014-05-15</v>
      </c>
      <c r="J1728" t="s">
        <v>4416</v>
      </c>
      <c r="K1728" s="17" t="s">
        <v>42</v>
      </c>
      <c r="L1728">
        <v>3</v>
      </c>
    </row>
    <row r="1729" spans="1:12" x14ac:dyDescent="0.25">
      <c r="A1729" t="s">
        <v>4417</v>
      </c>
      <c r="B1729" t="s">
        <v>630</v>
      </c>
      <c r="C1729" t="s">
        <v>416</v>
      </c>
      <c r="D1729" t="s">
        <v>9527</v>
      </c>
      <c r="E1729">
        <v>37</v>
      </c>
      <c r="F1729" t="s">
        <v>649</v>
      </c>
      <c r="G1729" t="s">
        <v>48</v>
      </c>
      <c r="H1729" s="2">
        <v>76291</v>
      </c>
      <c r="J1729" t="s">
        <v>4418</v>
      </c>
      <c r="K1729" s="17" t="s">
        <v>100</v>
      </c>
      <c r="L1729">
        <v>4</v>
      </c>
    </row>
    <row r="1730" spans="1:12" x14ac:dyDescent="0.25">
      <c r="A1730" t="s">
        <v>4419</v>
      </c>
      <c r="B1730" t="s">
        <v>60</v>
      </c>
      <c r="C1730" t="s">
        <v>552</v>
      </c>
      <c r="D1730" t="s">
        <v>46</v>
      </c>
      <c r="E1730">
        <v>25</v>
      </c>
      <c r="F1730" t="s">
        <v>269</v>
      </c>
      <c r="G1730" t="s">
        <v>39</v>
      </c>
      <c r="H1730">
        <v>44271</v>
      </c>
      <c r="I1730" s="1" t="d">
        <v>2017-10-22</v>
      </c>
      <c r="J1730" t="s">
        <v>4420</v>
      </c>
      <c r="K1730" s="17" t="s">
        <v>50</v>
      </c>
      <c r="L1730">
        <v>3</v>
      </c>
    </row>
    <row r="1731" spans="1:12" x14ac:dyDescent="0.25">
      <c r="A1731" t="s">
        <v>4421</v>
      </c>
      <c r="B1731" t="s">
        <v>563</v>
      </c>
      <c r="C1731" t="s">
        <v>2613</v>
      </c>
      <c r="D1731" t="s">
        <v>23</v>
      </c>
      <c r="E1731">
        <v>40</v>
      </c>
      <c r="F1731" t="s">
        <v>2065</v>
      </c>
      <c r="G1731" t="s">
        <v>170</v>
      </c>
      <c r="H1731" t="s">
        <v>4422</v>
      </c>
      <c r="I1731" s="1" t="d">
        <v>2021-09-23</v>
      </c>
      <c r="J1731" t="s">
        <v>4423</v>
      </c>
      <c r="K1731" s="17" t="s">
        <v>100</v>
      </c>
      <c r="L1731">
        <v>3</v>
      </c>
    </row>
    <row r="1732" spans="1:12" x14ac:dyDescent="0.25">
      <c r="A1732" t="s">
        <v>4424</v>
      </c>
      <c r="B1732" t="s">
        <v>323</v>
      </c>
      <c r="C1732" t="s">
        <v>244</v>
      </c>
      <c r="D1732" t="s">
        <v>23</v>
      </c>
      <c r="E1732">
        <v>48</v>
      </c>
      <c r="F1732" t="s">
        <v>645</v>
      </c>
      <c r="G1732" t="s">
        <v>69</v>
      </c>
      <c r="H1732" t="s">
        <v>4425</v>
      </c>
      <c r="I1732" s="1" t="d">
        <v>2023-08-29</v>
      </c>
      <c r="J1732" t="s">
        <v>3709</v>
      </c>
      <c r="K1732" s="17" t="s">
        <v>370</v>
      </c>
      <c r="L1732">
        <v>3</v>
      </c>
    </row>
    <row r="1733" spans="1:12" x14ac:dyDescent="0.25">
      <c r="A1733" t="s">
        <v>4426</v>
      </c>
      <c r="B1733" t="s">
        <v>2095</v>
      </c>
      <c r="C1733" t="s">
        <v>135</v>
      </c>
      <c r="D1733" t="s">
        <v>46</v>
      </c>
      <c r="E1733">
        <v>35</v>
      </c>
      <c r="F1733" t="s">
        <v>365</v>
      </c>
      <c r="G1733" t="s">
        <v>177</v>
      </c>
      <c r="H1733">
        <v>51423</v>
      </c>
      <c r="I1733" s="1" t="d">
        <v>2024-10-21</v>
      </c>
      <c r="J1733" t="s">
        <v>4427</v>
      </c>
      <c r="K1733" s="17" t="s">
        <v>19</v>
      </c>
      <c r="L1733">
        <v>3</v>
      </c>
    </row>
    <row r="1734" spans="1:12" x14ac:dyDescent="0.25">
      <c r="A1734" t="s">
        <v>4428</v>
      </c>
      <c r="B1734" t="s">
        <v>3743</v>
      </c>
      <c r="C1734" t="s">
        <v>521</v>
      </c>
      <c r="D1734" t="s">
        <v>23</v>
      </c>
      <c r="E1734">
        <v>44</v>
      </c>
      <c r="F1734" t="s">
        <v>114</v>
      </c>
      <c r="G1734" t="s">
        <v>4429</v>
      </c>
      <c r="H1734" s="2">
        <v>92754</v>
      </c>
      <c r="I1734" s="1" t="d">
        <v>2017-06-27</v>
      </c>
      <c r="J1734" t="s">
        <v>4430</v>
      </c>
      <c r="K1734" s="17" t="s">
        <v>90</v>
      </c>
      <c r="L1734">
        <v>5</v>
      </c>
    </row>
    <row r="1735" spans="1:12" x14ac:dyDescent="0.25">
      <c r="A1735" t="s">
        <v>4431</v>
      </c>
      <c r="B1735" t="s">
        <v>1689</v>
      </c>
      <c r="C1735" t="s">
        <v>1668</v>
      </c>
      <c r="D1735" t="s">
        <v>9527</v>
      </c>
      <c r="E1735">
        <v>58</v>
      </c>
      <c r="F1735" t="s">
        <v>47</v>
      </c>
      <c r="G1735" t="s">
        <v>55</v>
      </c>
      <c r="H1735" t="s">
        <v>4432</v>
      </c>
      <c r="I1735" s="1" t="d">
        <v>2007-03-30</v>
      </c>
      <c r="J1735" t="s">
        <v>1037</v>
      </c>
      <c r="K1735" s="17" t="s">
        <v>100</v>
      </c>
      <c r="L1735">
        <v>4</v>
      </c>
    </row>
    <row r="1736" spans="1:12" x14ac:dyDescent="0.25">
      <c r="A1736" t="s">
        <v>4433</v>
      </c>
      <c r="B1736" t="s">
        <v>262</v>
      </c>
      <c r="C1736" t="s">
        <v>555</v>
      </c>
      <c r="D1736" t="s">
        <v>9527</v>
      </c>
      <c r="E1736">
        <v>44</v>
      </c>
      <c r="F1736" t="s">
        <v>47</v>
      </c>
      <c r="G1736" t="s">
        <v>3541</v>
      </c>
      <c r="I1736" s="1" t="d">
        <v>2021-04-14</v>
      </c>
      <c r="J1736" t="s">
        <v>4434</v>
      </c>
      <c r="K1736" s="17" t="s">
        <v>100</v>
      </c>
      <c r="L1736">
        <v>4</v>
      </c>
    </row>
    <row r="1737" spans="1:12" x14ac:dyDescent="0.25">
      <c r="A1737" t="s">
        <v>4435</v>
      </c>
      <c r="B1737" t="s">
        <v>355</v>
      </c>
      <c r="C1737" t="s">
        <v>1770</v>
      </c>
      <c r="D1737" t="s">
        <v>46</v>
      </c>
      <c r="E1737">
        <v>47</v>
      </c>
      <c r="G1737" t="s">
        <v>407</v>
      </c>
      <c r="I1737" s="1" t="d">
        <v>2015-05-03</v>
      </c>
      <c r="J1737" t="s">
        <v>2195</v>
      </c>
      <c r="K1737" s="17" t="s">
        <v>184</v>
      </c>
      <c r="L1737">
        <v>4</v>
      </c>
    </row>
    <row r="1738" spans="1:12" x14ac:dyDescent="0.25">
      <c r="A1738" t="s">
        <v>4436</v>
      </c>
      <c r="B1738" t="s">
        <v>13</v>
      </c>
      <c r="C1738" t="s">
        <v>61</v>
      </c>
      <c r="D1738" t="s">
        <v>9527</v>
      </c>
      <c r="E1738">
        <v>31</v>
      </c>
      <c r="F1738" t="s">
        <v>666</v>
      </c>
      <c r="G1738" t="s">
        <v>147</v>
      </c>
      <c r="H1738">
        <v>72358</v>
      </c>
      <c r="I1738" s="1" t="d">
        <v>2022-11-10</v>
      </c>
      <c r="J1738" t="s">
        <v>3705</v>
      </c>
      <c r="K1738" s="17" t="s">
        <v>90</v>
      </c>
      <c r="L1738">
        <v>3</v>
      </c>
    </row>
    <row r="1739" spans="1:12" x14ac:dyDescent="0.25">
      <c r="A1739" t="s">
        <v>4437</v>
      </c>
      <c r="B1739" t="s">
        <v>659</v>
      </c>
      <c r="C1739" t="s">
        <v>4438</v>
      </c>
      <c r="D1739" t="s">
        <v>9527</v>
      </c>
      <c r="E1739">
        <v>22</v>
      </c>
      <c r="F1739" t="s">
        <v>752</v>
      </c>
      <c r="G1739" t="s">
        <v>504</v>
      </c>
      <c r="H1739" s="2">
        <v>84474</v>
      </c>
      <c r="I1739" s="1" t="d">
        <v>2014-10-03</v>
      </c>
      <c r="J1739" t="s">
        <v>856</v>
      </c>
      <c r="K1739" s="17" t="s">
        <v>100</v>
      </c>
      <c r="L1739">
        <v>3</v>
      </c>
    </row>
    <row r="1740" spans="1:12" x14ac:dyDescent="0.25">
      <c r="A1740" t="s">
        <v>4439</v>
      </c>
      <c r="B1740" t="s">
        <v>1842</v>
      </c>
      <c r="C1740" t="s">
        <v>1472</v>
      </c>
      <c r="D1740" t="s">
        <v>46</v>
      </c>
      <c r="E1740">
        <v>25</v>
      </c>
      <c r="F1740" t="s">
        <v>216</v>
      </c>
      <c r="G1740" t="s">
        <v>88</v>
      </c>
      <c r="H1740">
        <v>63278</v>
      </c>
      <c r="I1740" s="1" t="d">
        <v>2019-03-26</v>
      </c>
      <c r="J1740" t="s">
        <v>1507</v>
      </c>
      <c r="K1740" s="17" t="s">
        <v>100</v>
      </c>
      <c r="L1740">
        <v>4</v>
      </c>
    </row>
    <row r="1741" spans="1:12" x14ac:dyDescent="0.25">
      <c r="A1741" t="s">
        <v>4440</v>
      </c>
      <c r="B1741" t="s">
        <v>718</v>
      </c>
      <c r="C1741" t="s">
        <v>295</v>
      </c>
      <c r="D1741" t="s">
        <v>46</v>
      </c>
      <c r="E1741">
        <v>24</v>
      </c>
      <c r="F1741" t="s">
        <v>75</v>
      </c>
      <c r="G1741" t="s">
        <v>182</v>
      </c>
      <c r="J1741" t="s">
        <v>722</v>
      </c>
      <c r="K1741" s="17" t="s">
        <v>370</v>
      </c>
      <c r="L1741">
        <v>5</v>
      </c>
    </row>
    <row r="1742" spans="1:12" x14ac:dyDescent="0.25">
      <c r="A1742" t="s">
        <v>4441</v>
      </c>
      <c r="B1742" t="s">
        <v>833</v>
      </c>
      <c r="C1742" t="s">
        <v>175</v>
      </c>
      <c r="D1742" t="s">
        <v>9527</v>
      </c>
      <c r="E1742">
        <v>28</v>
      </c>
      <c r="F1742" t="s">
        <v>15</v>
      </c>
      <c r="G1742" t="s">
        <v>288</v>
      </c>
      <c r="H1742" s="2">
        <v>73576</v>
      </c>
      <c r="I1742" s="1" t="d">
        <v>2015-07-16</v>
      </c>
      <c r="J1742" t="s">
        <v>2145</v>
      </c>
      <c r="K1742" s="17" t="s">
        <v>71</v>
      </c>
      <c r="L1742">
        <v>4</v>
      </c>
    </row>
    <row r="1743" spans="1:12" x14ac:dyDescent="0.25">
      <c r="A1743" t="s">
        <v>4442</v>
      </c>
      <c r="B1743" t="s">
        <v>79</v>
      </c>
      <c r="C1743" t="s">
        <v>710</v>
      </c>
      <c r="D1743" t="s">
        <v>9527</v>
      </c>
      <c r="E1743">
        <v>32</v>
      </c>
      <c r="F1743" t="s">
        <v>918</v>
      </c>
      <c r="G1743" t="s">
        <v>337</v>
      </c>
      <c r="H1743" s="2">
        <v>64930</v>
      </c>
      <c r="I1743" s="1" t="d">
        <v>2023-05-16</v>
      </c>
      <c r="J1743" t="s">
        <v>4443</v>
      </c>
      <c r="K1743" s="17" t="s">
        <v>370</v>
      </c>
      <c r="L1743">
        <v>3</v>
      </c>
    </row>
    <row r="1744" spans="1:12" x14ac:dyDescent="0.25">
      <c r="A1744" t="s">
        <v>4444</v>
      </c>
      <c r="B1744" t="s">
        <v>86</v>
      </c>
      <c r="C1744" t="s">
        <v>175</v>
      </c>
      <c r="D1744" t="s">
        <v>9527</v>
      </c>
      <c r="E1744">
        <v>22</v>
      </c>
      <c r="G1744" t="s">
        <v>82</v>
      </c>
      <c r="I1744" s="1" t="d">
        <v>2017-03-28</v>
      </c>
      <c r="J1744" t="s">
        <v>4445</v>
      </c>
      <c r="K1744" s="17" t="s">
        <v>27</v>
      </c>
      <c r="L1744">
        <v>3</v>
      </c>
    </row>
    <row r="1745" spans="1:12" x14ac:dyDescent="0.25">
      <c r="A1745" t="s">
        <v>4446</v>
      </c>
      <c r="B1745" t="s">
        <v>167</v>
      </c>
      <c r="C1745" t="s">
        <v>516</v>
      </c>
      <c r="D1745" t="s">
        <v>23</v>
      </c>
      <c r="E1745">
        <v>28</v>
      </c>
      <c r="F1745" t="s">
        <v>296</v>
      </c>
      <c r="G1745" t="s">
        <v>205</v>
      </c>
      <c r="H1745" t="s">
        <v>4447</v>
      </c>
      <c r="I1745" s="1" t="d">
        <v>2019-10-04</v>
      </c>
      <c r="J1745" t="s">
        <v>2671</v>
      </c>
      <c r="K1745" s="17" t="s">
        <v>207</v>
      </c>
      <c r="L1745">
        <v>1</v>
      </c>
    </row>
    <row r="1746" spans="1:12" x14ac:dyDescent="0.25">
      <c r="A1746" t="s">
        <v>4448</v>
      </c>
      <c r="B1746" t="s">
        <v>808</v>
      </c>
      <c r="C1746" t="s">
        <v>140</v>
      </c>
      <c r="D1746" t="s">
        <v>46</v>
      </c>
      <c r="E1746">
        <v>52</v>
      </c>
      <c r="F1746" t="s">
        <v>31</v>
      </c>
      <c r="G1746" t="s">
        <v>191</v>
      </c>
      <c r="H1746" s="2">
        <v>43659</v>
      </c>
      <c r="I1746" s="1" t="d">
        <v>2022-03-26</v>
      </c>
      <c r="J1746" t="s">
        <v>2159</v>
      </c>
      <c r="K1746" s="17" t="s">
        <v>207</v>
      </c>
      <c r="L1746">
        <v>3</v>
      </c>
    </row>
    <row r="1747" spans="1:12" x14ac:dyDescent="0.25">
      <c r="A1747" t="s">
        <v>4449</v>
      </c>
      <c r="B1747" t="s">
        <v>394</v>
      </c>
      <c r="C1747" t="s">
        <v>1657</v>
      </c>
      <c r="D1747" t="s">
        <v>9527</v>
      </c>
      <c r="E1747">
        <v>29</v>
      </c>
      <c r="G1747" t="s">
        <v>16</v>
      </c>
      <c r="H1747" t="s">
        <v>4450</v>
      </c>
      <c r="I1747" s="1" t="d">
        <v>2021-10-20</v>
      </c>
      <c r="J1747" t="s">
        <v>1903</v>
      </c>
      <c r="K1747" s="17" t="s">
        <v>42</v>
      </c>
      <c r="L1747">
        <v>3</v>
      </c>
    </row>
    <row r="1748" spans="1:12" x14ac:dyDescent="0.25">
      <c r="A1748" t="s">
        <v>4451</v>
      </c>
      <c r="B1748" t="s">
        <v>2147</v>
      </c>
      <c r="C1748" t="s">
        <v>1205</v>
      </c>
      <c r="D1748" t="s">
        <v>9527</v>
      </c>
      <c r="E1748">
        <v>38</v>
      </c>
      <c r="F1748" t="s">
        <v>253</v>
      </c>
      <c r="G1748" t="s">
        <v>159</v>
      </c>
      <c r="I1748" s="1" t="d">
        <v>2018-02-28</v>
      </c>
      <c r="J1748" t="s">
        <v>4452</v>
      </c>
      <c r="K1748" s="17" t="s">
        <v>118</v>
      </c>
      <c r="L1748">
        <v>3</v>
      </c>
    </row>
    <row r="1749" spans="1:12" x14ac:dyDescent="0.25">
      <c r="A1749" t="s">
        <v>4453</v>
      </c>
      <c r="B1749" t="s">
        <v>180</v>
      </c>
      <c r="C1749" t="s">
        <v>2231</v>
      </c>
      <c r="D1749" t="s">
        <v>23</v>
      </c>
      <c r="E1749">
        <v>31</v>
      </c>
      <c r="F1749" t="s">
        <v>589</v>
      </c>
      <c r="G1749" t="s">
        <v>297</v>
      </c>
      <c r="H1749" t="s">
        <v>4454</v>
      </c>
      <c r="I1749" s="1" t="d">
        <v>2012-01-26</v>
      </c>
      <c r="J1749" t="s">
        <v>2784</v>
      </c>
      <c r="K1749" s="17" t="s">
        <v>149</v>
      </c>
      <c r="L1749">
        <v>4</v>
      </c>
    </row>
    <row r="1750" spans="1:12" x14ac:dyDescent="0.25">
      <c r="A1750" t="s">
        <v>4455</v>
      </c>
      <c r="B1750" t="s">
        <v>248</v>
      </c>
      <c r="C1750" t="s">
        <v>210</v>
      </c>
      <c r="D1750" t="s">
        <v>23</v>
      </c>
      <c r="E1750">
        <v>52</v>
      </c>
      <c r="F1750" t="s">
        <v>253</v>
      </c>
      <c r="G1750" t="s">
        <v>351</v>
      </c>
      <c r="H1750" t="s">
        <v>4456</v>
      </c>
      <c r="I1750" s="1" t="d">
        <v>2005-09-09</v>
      </c>
      <c r="J1750" t="s">
        <v>4457</v>
      </c>
      <c r="K1750" s="17" t="s">
        <v>184</v>
      </c>
      <c r="L1750">
        <v>2</v>
      </c>
    </row>
    <row r="1751" spans="1:12" x14ac:dyDescent="0.25">
      <c r="A1751" t="s">
        <v>4458</v>
      </c>
      <c r="B1751" t="s">
        <v>1096</v>
      </c>
      <c r="C1751" t="s">
        <v>474</v>
      </c>
      <c r="D1751" t="s">
        <v>9527</v>
      </c>
      <c r="E1751">
        <v>36</v>
      </c>
      <c r="F1751" t="s">
        <v>720</v>
      </c>
      <c r="G1751" t="s">
        <v>115</v>
      </c>
      <c r="H1751" s="2">
        <v>59887</v>
      </c>
      <c r="I1751" s="1" t="d">
        <v>2006-11-26</v>
      </c>
      <c r="J1751" t="s">
        <v>3212</v>
      </c>
      <c r="K1751" s="17" t="s">
        <v>34</v>
      </c>
      <c r="L1751">
        <v>4</v>
      </c>
    </row>
    <row r="1752" spans="1:12" x14ac:dyDescent="0.25">
      <c r="A1752" t="s">
        <v>4459</v>
      </c>
      <c r="B1752" t="s">
        <v>652</v>
      </c>
      <c r="C1752" t="s">
        <v>210</v>
      </c>
      <c r="D1752" t="s">
        <v>9527</v>
      </c>
      <c r="E1752">
        <v>24</v>
      </c>
      <c r="F1752" t="s">
        <v>411</v>
      </c>
      <c r="G1752" t="s">
        <v>16</v>
      </c>
      <c r="H1752" t="s">
        <v>4460</v>
      </c>
      <c r="I1752" s="1" t="d">
        <v>2010-07-06</v>
      </c>
      <c r="J1752" t="s">
        <v>4461</v>
      </c>
      <c r="K1752" s="17" t="s">
        <v>34</v>
      </c>
      <c r="L1752">
        <v>4</v>
      </c>
    </row>
    <row r="1753" spans="1:12" x14ac:dyDescent="0.25">
      <c r="A1753" t="s">
        <v>4462</v>
      </c>
      <c r="B1753" t="s">
        <v>355</v>
      </c>
      <c r="C1753" t="s">
        <v>195</v>
      </c>
      <c r="D1753" t="s">
        <v>9527</v>
      </c>
      <c r="E1753">
        <v>41</v>
      </c>
      <c r="F1753" t="s">
        <v>1107</v>
      </c>
      <c r="G1753" t="s">
        <v>297</v>
      </c>
      <c r="H1753" t="s">
        <v>4463</v>
      </c>
      <c r="I1753" s="1" t="d">
        <v>2009-12-10</v>
      </c>
      <c r="J1753" t="s">
        <v>4464</v>
      </c>
      <c r="K1753" s="17" t="s">
        <v>207</v>
      </c>
      <c r="L1753">
        <v>5</v>
      </c>
    </row>
    <row r="1754" spans="1:12" x14ac:dyDescent="0.25">
      <c r="A1754" t="s">
        <v>4465</v>
      </c>
      <c r="B1754" t="s">
        <v>112</v>
      </c>
      <c r="C1754" t="s">
        <v>225</v>
      </c>
      <c r="D1754" t="s">
        <v>23</v>
      </c>
      <c r="E1754">
        <v>44</v>
      </c>
      <c r="F1754" t="s">
        <v>81</v>
      </c>
      <c r="G1754" t="s">
        <v>504</v>
      </c>
      <c r="H1754">
        <v>49105</v>
      </c>
      <c r="I1754" s="1" t="d">
        <v>2018-03-23</v>
      </c>
      <c r="J1754" t="s">
        <v>1574</v>
      </c>
      <c r="K1754" s="17" t="s">
        <v>27</v>
      </c>
      <c r="L1754">
        <v>3</v>
      </c>
    </row>
    <row r="1755" spans="1:12" x14ac:dyDescent="0.25">
      <c r="A1755" t="s">
        <v>4466</v>
      </c>
      <c r="B1755" t="s">
        <v>60</v>
      </c>
      <c r="C1755" t="s">
        <v>395</v>
      </c>
      <c r="D1755" t="s">
        <v>9527</v>
      </c>
      <c r="E1755">
        <v>42</v>
      </c>
      <c r="G1755" t="s">
        <v>177</v>
      </c>
      <c r="H1755">
        <v>45899</v>
      </c>
      <c r="I1755" s="1" t="d">
        <v>2024-12-31</v>
      </c>
      <c r="J1755" t="s">
        <v>697</v>
      </c>
      <c r="K1755" s="17" t="s">
        <v>100</v>
      </c>
      <c r="L1755">
        <v>4</v>
      </c>
    </row>
    <row r="1756" spans="1:12" x14ac:dyDescent="0.25">
      <c r="A1756" t="s">
        <v>4467</v>
      </c>
      <c r="B1756" t="s">
        <v>1096</v>
      </c>
      <c r="C1756" t="s">
        <v>53</v>
      </c>
      <c r="D1756" t="s">
        <v>23</v>
      </c>
      <c r="E1756">
        <v>21</v>
      </c>
      <c r="F1756" t="s">
        <v>15</v>
      </c>
      <c r="G1756" t="s">
        <v>182</v>
      </c>
      <c r="H1756" s="2">
        <v>149845</v>
      </c>
      <c r="I1756" s="1" t="d">
        <v>2020-10-20</v>
      </c>
      <c r="J1756" t="s">
        <v>1682</v>
      </c>
      <c r="K1756" s="17" t="s">
        <v>19</v>
      </c>
      <c r="L1756">
        <v>2</v>
      </c>
    </row>
    <row r="1757" spans="1:12" x14ac:dyDescent="0.25">
      <c r="A1757" t="s">
        <v>4468</v>
      </c>
      <c r="B1757" t="s">
        <v>157</v>
      </c>
      <c r="C1757" t="s">
        <v>1517</v>
      </c>
      <c r="D1757" t="s">
        <v>9527</v>
      </c>
      <c r="E1757">
        <v>21</v>
      </c>
      <c r="F1757" t="s">
        <v>216</v>
      </c>
      <c r="G1757" t="s">
        <v>115</v>
      </c>
      <c r="H1757">
        <v>68470</v>
      </c>
      <c r="J1757" t="s">
        <v>4469</v>
      </c>
      <c r="K1757" s="17" t="s">
        <v>370</v>
      </c>
      <c r="L1757">
        <v>5</v>
      </c>
    </row>
    <row r="1758" spans="1:12" x14ac:dyDescent="0.25">
      <c r="A1758" t="s">
        <v>4470</v>
      </c>
      <c r="B1758" t="s">
        <v>410</v>
      </c>
      <c r="C1758" t="s">
        <v>210</v>
      </c>
      <c r="D1758" t="s">
        <v>46</v>
      </c>
      <c r="E1758">
        <v>48</v>
      </c>
      <c r="F1758" t="s">
        <v>350</v>
      </c>
      <c r="G1758" t="s">
        <v>504</v>
      </c>
      <c r="H1758" t="s">
        <v>4471</v>
      </c>
      <c r="I1758" s="1" t="d">
        <v>2012-04-19</v>
      </c>
      <c r="J1758" t="s">
        <v>4472</v>
      </c>
      <c r="K1758" s="17" t="s">
        <v>42</v>
      </c>
      <c r="L1758">
        <v>4</v>
      </c>
    </row>
    <row r="1759" spans="1:12" x14ac:dyDescent="0.25">
      <c r="A1759" t="s">
        <v>4473</v>
      </c>
      <c r="B1759" t="s">
        <v>812</v>
      </c>
      <c r="C1759" t="s">
        <v>386</v>
      </c>
      <c r="D1759" t="s">
        <v>46</v>
      </c>
      <c r="E1759">
        <v>49</v>
      </c>
      <c r="F1759" t="s">
        <v>230</v>
      </c>
      <c r="G1759" t="s">
        <v>88</v>
      </c>
      <c r="J1759" t="s">
        <v>3618</v>
      </c>
      <c r="K1759" s="17" t="s">
        <v>207</v>
      </c>
      <c r="L1759">
        <v>5</v>
      </c>
    </row>
    <row r="1760" spans="1:12" x14ac:dyDescent="0.25">
      <c r="A1760" t="s">
        <v>4474</v>
      </c>
      <c r="B1760" t="s">
        <v>294</v>
      </c>
      <c r="C1760" t="s">
        <v>618</v>
      </c>
      <c r="D1760" t="s">
        <v>23</v>
      </c>
      <c r="E1760">
        <v>44</v>
      </c>
      <c r="G1760" t="s">
        <v>1285</v>
      </c>
      <c r="H1760">
        <v>66736</v>
      </c>
      <c r="J1760" t="s">
        <v>4475</v>
      </c>
      <c r="K1760" s="17" t="s">
        <v>50</v>
      </c>
      <c r="L1760">
        <v>2</v>
      </c>
    </row>
    <row r="1761" spans="1:12" x14ac:dyDescent="0.25">
      <c r="A1761" t="s">
        <v>4476</v>
      </c>
      <c r="B1761" t="s">
        <v>664</v>
      </c>
      <c r="C1761" t="s">
        <v>988</v>
      </c>
      <c r="D1761" t="s">
        <v>46</v>
      </c>
      <c r="E1761">
        <v>41</v>
      </c>
      <c r="F1761" t="s">
        <v>24</v>
      </c>
      <c r="G1761" t="s">
        <v>212</v>
      </c>
      <c r="H1761" t="s">
        <v>4477</v>
      </c>
      <c r="I1761" s="1" t="d">
        <v>2012-01-30</v>
      </c>
      <c r="J1761" t="s">
        <v>3238</v>
      </c>
      <c r="K1761" s="17" t="s">
        <v>27</v>
      </c>
      <c r="L1761">
        <v>1</v>
      </c>
    </row>
    <row r="1762" spans="1:12" x14ac:dyDescent="0.25">
      <c r="A1762" t="s">
        <v>4478</v>
      </c>
      <c r="B1762" t="s">
        <v>199</v>
      </c>
      <c r="C1762" t="s">
        <v>268</v>
      </c>
      <c r="D1762" t="s">
        <v>23</v>
      </c>
      <c r="E1762">
        <v>36</v>
      </c>
      <c r="G1762" t="s">
        <v>217</v>
      </c>
      <c r="H1762" t="s">
        <v>4479</v>
      </c>
      <c r="I1762" s="1" t="d">
        <v>2011-03-17</v>
      </c>
      <c r="J1762" t="s">
        <v>4480</v>
      </c>
      <c r="K1762" s="17" t="s">
        <v>71</v>
      </c>
      <c r="L1762">
        <v>4</v>
      </c>
    </row>
    <row r="1763" spans="1:12" x14ac:dyDescent="0.25">
      <c r="A1763" t="s">
        <v>4481</v>
      </c>
      <c r="B1763" t="s">
        <v>262</v>
      </c>
      <c r="C1763" t="s">
        <v>751</v>
      </c>
      <c r="D1763" t="s">
        <v>46</v>
      </c>
      <c r="E1763">
        <v>36</v>
      </c>
      <c r="F1763" t="s">
        <v>319</v>
      </c>
      <c r="G1763" t="s">
        <v>55</v>
      </c>
      <c r="H1763" s="2">
        <v>53396</v>
      </c>
      <c r="I1763" s="1" t="d">
        <v>2010-12-06</v>
      </c>
      <c r="J1763" t="s">
        <v>4482</v>
      </c>
      <c r="K1763" s="17" t="s">
        <v>370</v>
      </c>
      <c r="L1763">
        <v>5</v>
      </c>
    </row>
    <row r="1764" spans="1:12" x14ac:dyDescent="0.25">
      <c r="A1764" t="s">
        <v>4483</v>
      </c>
      <c r="B1764" t="s">
        <v>144</v>
      </c>
      <c r="C1764" t="s">
        <v>4484</v>
      </c>
      <c r="D1764" t="s">
        <v>46</v>
      </c>
      <c r="E1764">
        <v>39</v>
      </c>
      <c r="G1764" t="s">
        <v>16</v>
      </c>
      <c r="H1764" t="s">
        <v>4485</v>
      </c>
      <c r="I1764" s="1" t="d">
        <v>2012-09-05</v>
      </c>
      <c r="J1764" t="s">
        <v>2637</v>
      </c>
      <c r="K1764" s="17" t="s">
        <v>149</v>
      </c>
      <c r="L1764">
        <v>3</v>
      </c>
    </row>
    <row r="1765" spans="1:12" x14ac:dyDescent="0.25">
      <c r="A1765" t="s">
        <v>4486</v>
      </c>
      <c r="B1765" t="s">
        <v>1769</v>
      </c>
      <c r="C1765" t="s">
        <v>386</v>
      </c>
      <c r="D1765" t="s">
        <v>9527</v>
      </c>
      <c r="E1765">
        <v>34</v>
      </c>
      <c r="F1765" t="s">
        <v>196</v>
      </c>
      <c r="G1765" t="s">
        <v>39</v>
      </c>
      <c r="H1765" t="s">
        <v>4487</v>
      </c>
      <c r="I1765" s="1" t="d">
        <v>2017-12-31</v>
      </c>
      <c r="J1765" t="s">
        <v>4038</v>
      </c>
      <c r="K1765" s="17" t="s">
        <v>50</v>
      </c>
      <c r="L1765">
        <v>3</v>
      </c>
    </row>
    <row r="1766" spans="1:12" x14ac:dyDescent="0.25">
      <c r="A1766" t="s">
        <v>4488</v>
      </c>
      <c r="B1766" t="s">
        <v>846</v>
      </c>
      <c r="C1766" t="s">
        <v>858</v>
      </c>
      <c r="D1766" t="s">
        <v>46</v>
      </c>
      <c r="E1766">
        <v>21</v>
      </c>
      <c r="F1766" t="s">
        <v>15</v>
      </c>
      <c r="G1766" t="s">
        <v>115</v>
      </c>
      <c r="H1766">
        <v>96064</v>
      </c>
      <c r="I1766" s="1" t="d">
        <v>2012-09-04</v>
      </c>
      <c r="J1766" t="s">
        <v>4489</v>
      </c>
      <c r="K1766" s="17" t="s">
        <v>100</v>
      </c>
      <c r="L1766">
        <v>3</v>
      </c>
    </row>
    <row r="1767" spans="1:12" x14ac:dyDescent="0.25">
      <c r="A1767" t="s">
        <v>4490</v>
      </c>
      <c r="B1767" t="s">
        <v>804</v>
      </c>
      <c r="C1767" t="s">
        <v>1520</v>
      </c>
      <c r="D1767" t="s">
        <v>23</v>
      </c>
      <c r="E1767">
        <v>46</v>
      </c>
      <c r="F1767" t="s">
        <v>356</v>
      </c>
      <c r="G1767" t="s">
        <v>170</v>
      </c>
      <c r="H1767">
        <v>88238</v>
      </c>
      <c r="I1767" s="1" t="d">
        <v>2020-05-30</v>
      </c>
      <c r="J1767" t="s">
        <v>1047</v>
      </c>
      <c r="K1767" s="17" t="s">
        <v>19</v>
      </c>
      <c r="L1767">
        <v>4</v>
      </c>
    </row>
    <row r="1768" spans="1:12" x14ac:dyDescent="0.25">
      <c r="A1768" t="s">
        <v>4491</v>
      </c>
      <c r="B1768" t="s">
        <v>833</v>
      </c>
      <c r="C1768" t="s">
        <v>1463</v>
      </c>
      <c r="D1768" t="s">
        <v>9527</v>
      </c>
      <c r="E1768">
        <v>31</v>
      </c>
      <c r="F1768" t="s">
        <v>759</v>
      </c>
      <c r="G1768" t="s">
        <v>39</v>
      </c>
      <c r="H1768" t="s">
        <v>4492</v>
      </c>
      <c r="I1768" s="1" t="d">
        <v>2007-04-18</v>
      </c>
      <c r="J1768" t="s">
        <v>1956</v>
      </c>
      <c r="K1768" s="17" t="s">
        <v>207</v>
      </c>
      <c r="L1768">
        <v>2</v>
      </c>
    </row>
    <row r="1769" spans="1:12" x14ac:dyDescent="0.25">
      <c r="A1769" t="s">
        <v>4493</v>
      </c>
      <c r="B1769" t="s">
        <v>874</v>
      </c>
      <c r="C1769" t="s">
        <v>210</v>
      </c>
      <c r="D1769" t="s">
        <v>9527</v>
      </c>
      <c r="E1769">
        <v>47</v>
      </c>
      <c r="F1769" t="s">
        <v>645</v>
      </c>
      <c r="G1769" t="s">
        <v>297</v>
      </c>
      <c r="H1769">
        <v>68075</v>
      </c>
      <c r="I1769" s="1" t="d">
        <v>2007-02-12</v>
      </c>
      <c r="J1769" t="s">
        <v>3128</v>
      </c>
      <c r="K1769" s="17" t="s">
        <v>90</v>
      </c>
      <c r="L1769">
        <v>3</v>
      </c>
    </row>
    <row r="1770" spans="1:12" x14ac:dyDescent="0.25">
      <c r="A1770" t="s">
        <v>4494</v>
      </c>
      <c r="B1770" t="s">
        <v>804</v>
      </c>
      <c r="C1770" t="s">
        <v>152</v>
      </c>
      <c r="D1770" t="s">
        <v>23</v>
      </c>
      <c r="E1770">
        <v>39</v>
      </c>
      <c r="F1770" t="s">
        <v>4495</v>
      </c>
      <c r="G1770" t="s">
        <v>39</v>
      </c>
      <c r="H1770" t="s">
        <v>4496</v>
      </c>
      <c r="I1770" s="1" t="d">
        <v>2021-09-15</v>
      </c>
      <c r="J1770" t="s">
        <v>3655</v>
      </c>
      <c r="K1770" s="17" t="s">
        <v>50</v>
      </c>
      <c r="L1770">
        <v>4</v>
      </c>
    </row>
    <row r="1771" spans="1:12" x14ac:dyDescent="0.25">
      <c r="A1771" t="s">
        <v>4497</v>
      </c>
      <c r="B1771" t="s">
        <v>648</v>
      </c>
      <c r="C1771" t="s">
        <v>295</v>
      </c>
      <c r="D1771" t="s">
        <v>46</v>
      </c>
      <c r="E1771">
        <v>29</v>
      </c>
      <c r="F1771" t="s">
        <v>169</v>
      </c>
      <c r="G1771" t="s">
        <v>39</v>
      </c>
      <c r="H1771" t="s">
        <v>4498</v>
      </c>
      <c r="I1771" s="1" t="d">
        <v>2024-01-07</v>
      </c>
      <c r="J1771" t="s">
        <v>1435</v>
      </c>
      <c r="K1771" s="17" t="s">
        <v>100</v>
      </c>
      <c r="L1771">
        <v>3</v>
      </c>
    </row>
    <row r="1772" spans="1:12" x14ac:dyDescent="0.25">
      <c r="A1772" t="s">
        <v>4499</v>
      </c>
      <c r="B1772" t="s">
        <v>311</v>
      </c>
      <c r="C1772" t="s">
        <v>175</v>
      </c>
      <c r="D1772" t="s">
        <v>46</v>
      </c>
      <c r="E1772">
        <v>30</v>
      </c>
      <c r="F1772" t="s">
        <v>47</v>
      </c>
      <c r="G1772" t="s">
        <v>88</v>
      </c>
      <c r="H1772" t="s">
        <v>4500</v>
      </c>
      <c r="I1772" s="1" t="d">
        <v>2005-08-13</v>
      </c>
      <c r="J1772" t="s">
        <v>1720</v>
      </c>
      <c r="K1772" s="17" t="s">
        <v>100</v>
      </c>
      <c r="L1772">
        <v>3</v>
      </c>
    </row>
    <row r="1773" spans="1:12" x14ac:dyDescent="0.25">
      <c r="A1773" t="s">
        <v>3262</v>
      </c>
      <c r="B1773" t="s">
        <v>548</v>
      </c>
      <c r="C1773" t="s">
        <v>61</v>
      </c>
      <c r="D1773" t="s">
        <v>23</v>
      </c>
      <c r="E1773">
        <v>23</v>
      </c>
      <c r="F1773" t="s">
        <v>417</v>
      </c>
      <c r="G1773" t="s">
        <v>115</v>
      </c>
      <c r="H1773" t="s">
        <v>3263</v>
      </c>
      <c r="I1773" s="1" t="d">
        <v>2011-05-25</v>
      </c>
      <c r="J1773" t="s">
        <v>791</v>
      </c>
      <c r="K1773" s="17" t="s">
        <v>58</v>
      </c>
      <c r="L1773">
        <v>4</v>
      </c>
    </row>
    <row r="1774" spans="1:12" x14ac:dyDescent="0.25">
      <c r="A1774" t="s">
        <v>4501</v>
      </c>
      <c r="B1774" t="s">
        <v>1738</v>
      </c>
      <c r="C1774" t="s">
        <v>758</v>
      </c>
      <c r="D1774" t="s">
        <v>23</v>
      </c>
      <c r="E1774">
        <v>44</v>
      </c>
      <c r="F1774" t="s">
        <v>190</v>
      </c>
      <c r="G1774" t="s">
        <v>170</v>
      </c>
      <c r="H1774">
        <v>48384</v>
      </c>
      <c r="I1774" s="1" t="d">
        <v>2008-05-31</v>
      </c>
      <c r="J1774" t="s">
        <v>3036</v>
      </c>
      <c r="K1774" s="17" t="s">
        <v>50</v>
      </c>
      <c r="L1774">
        <v>3</v>
      </c>
    </row>
    <row r="1775" spans="1:12" x14ac:dyDescent="0.25">
      <c r="A1775" t="s">
        <v>4502</v>
      </c>
      <c r="B1775" t="s">
        <v>862</v>
      </c>
      <c r="C1775" t="s">
        <v>858</v>
      </c>
      <c r="D1775" t="s">
        <v>46</v>
      </c>
      <c r="E1775">
        <v>32</v>
      </c>
      <c r="F1775" t="s">
        <v>589</v>
      </c>
      <c r="G1775" t="s">
        <v>159</v>
      </c>
      <c r="H1775" s="2">
        <v>58106</v>
      </c>
      <c r="I1775" s="1" t="d">
        <v>2008-08-11</v>
      </c>
      <c r="J1775" t="s">
        <v>4503</v>
      </c>
      <c r="K1775" s="17" t="s">
        <v>118</v>
      </c>
      <c r="L1775">
        <v>5</v>
      </c>
    </row>
    <row r="1776" spans="1:12" x14ac:dyDescent="0.25">
      <c r="A1776" t="s">
        <v>4504</v>
      </c>
      <c r="B1776" t="s">
        <v>21</v>
      </c>
      <c r="C1776" t="s">
        <v>1205</v>
      </c>
      <c r="D1776" t="s">
        <v>46</v>
      </c>
      <c r="E1776">
        <v>21</v>
      </c>
      <c r="F1776" t="s">
        <v>216</v>
      </c>
      <c r="G1776" t="s">
        <v>842</v>
      </c>
      <c r="H1776" t="s">
        <v>4505</v>
      </c>
      <c r="I1776" s="1" t="d">
        <v>2008-09-09</v>
      </c>
      <c r="J1776" t="s">
        <v>4250</v>
      </c>
      <c r="K1776" s="17" t="s">
        <v>42</v>
      </c>
      <c r="L1776">
        <v>3</v>
      </c>
    </row>
    <row r="1777" spans="1:12" x14ac:dyDescent="0.25">
      <c r="A1777" t="s">
        <v>4506</v>
      </c>
      <c r="B1777" t="s">
        <v>394</v>
      </c>
      <c r="C1777" t="s">
        <v>195</v>
      </c>
      <c r="D1777" t="s">
        <v>46</v>
      </c>
      <c r="E1777">
        <v>36</v>
      </c>
      <c r="F1777" t="s">
        <v>114</v>
      </c>
      <c r="G1777" t="s">
        <v>88</v>
      </c>
      <c r="H1777">
        <v>105579</v>
      </c>
      <c r="I1777" s="1" t="d">
        <v>2015-04-12</v>
      </c>
      <c r="J1777" t="s">
        <v>2869</v>
      </c>
      <c r="K1777" s="17" t="s">
        <v>100</v>
      </c>
      <c r="L1777">
        <v>2</v>
      </c>
    </row>
    <row r="1778" spans="1:12" x14ac:dyDescent="0.25">
      <c r="A1778" t="s">
        <v>4507</v>
      </c>
      <c r="B1778" t="s">
        <v>670</v>
      </c>
      <c r="C1778" t="s">
        <v>525</v>
      </c>
      <c r="D1778" t="s">
        <v>23</v>
      </c>
      <c r="E1778">
        <v>37</v>
      </c>
      <c r="F1778" t="s">
        <v>373</v>
      </c>
      <c r="G1778" t="s">
        <v>16</v>
      </c>
      <c r="I1778" s="1" t="d">
        <v>2021-04-25</v>
      </c>
      <c r="J1778" t="s">
        <v>4508</v>
      </c>
      <c r="K1778" s="17" t="s">
        <v>19</v>
      </c>
      <c r="L1778">
        <v>4</v>
      </c>
    </row>
    <row r="1779" spans="1:12" x14ac:dyDescent="0.25">
      <c r="A1779" t="s">
        <v>4509</v>
      </c>
      <c r="B1779" t="s">
        <v>931</v>
      </c>
      <c r="C1779" t="s">
        <v>1337</v>
      </c>
      <c r="D1779" t="s">
        <v>46</v>
      </c>
      <c r="E1779">
        <v>42</v>
      </c>
      <c r="F1779" t="s">
        <v>406</v>
      </c>
      <c r="G1779" t="s">
        <v>1703</v>
      </c>
      <c r="H1779" t="s">
        <v>4510</v>
      </c>
      <c r="I1779" s="1" t="d">
        <v>2008-08-22</v>
      </c>
      <c r="J1779" t="s">
        <v>1387</v>
      </c>
      <c r="K1779" s="17" t="s">
        <v>58</v>
      </c>
      <c r="L1779">
        <v>4</v>
      </c>
    </row>
    <row r="1780" spans="1:12" x14ac:dyDescent="0.25">
      <c r="A1780" t="s">
        <v>4511</v>
      </c>
      <c r="B1780" t="s">
        <v>750</v>
      </c>
      <c r="C1780" t="s">
        <v>324</v>
      </c>
      <c r="D1780" t="s">
        <v>9527</v>
      </c>
      <c r="E1780">
        <v>42</v>
      </c>
      <c r="F1780" t="s">
        <v>576</v>
      </c>
      <c r="G1780" t="s">
        <v>328</v>
      </c>
      <c r="H1780" s="2">
        <v>81571</v>
      </c>
      <c r="J1780" t="s">
        <v>3022</v>
      </c>
      <c r="K1780" s="17" t="s">
        <v>58</v>
      </c>
      <c r="L1780">
        <v>4</v>
      </c>
    </row>
    <row r="1781" spans="1:12" x14ac:dyDescent="0.25">
      <c r="A1781" t="s">
        <v>4512</v>
      </c>
      <c r="B1781" t="s">
        <v>180</v>
      </c>
      <c r="C1781" t="s">
        <v>381</v>
      </c>
      <c r="D1781" t="s">
        <v>23</v>
      </c>
      <c r="E1781">
        <v>34</v>
      </c>
      <c r="F1781" t="s">
        <v>31</v>
      </c>
      <c r="G1781" t="s">
        <v>55</v>
      </c>
      <c r="H1781" t="s">
        <v>4513</v>
      </c>
      <c r="I1781" s="1" t="d">
        <v>2007-03-03</v>
      </c>
      <c r="J1781" t="s">
        <v>2340</v>
      </c>
      <c r="K1781" s="17" t="s">
        <v>184</v>
      </c>
      <c r="L1781">
        <v>4</v>
      </c>
    </row>
    <row r="1782" spans="1:12" x14ac:dyDescent="0.25">
      <c r="A1782" t="s">
        <v>4514</v>
      </c>
      <c r="B1782" t="s">
        <v>4369</v>
      </c>
      <c r="C1782" t="s">
        <v>30</v>
      </c>
      <c r="D1782" t="s">
        <v>9527</v>
      </c>
      <c r="E1782">
        <v>31</v>
      </c>
      <c r="F1782" t="s">
        <v>399</v>
      </c>
      <c r="G1782" t="s">
        <v>63</v>
      </c>
      <c r="I1782" s="1" t="d">
        <v>2023-07-11</v>
      </c>
      <c r="J1782" t="s">
        <v>1391</v>
      </c>
      <c r="K1782" s="17" t="s">
        <v>100</v>
      </c>
      <c r="L1782">
        <v>5</v>
      </c>
    </row>
    <row r="1783" spans="1:12" x14ac:dyDescent="0.25">
      <c r="A1783" t="s">
        <v>4515</v>
      </c>
      <c r="B1783" t="s">
        <v>130</v>
      </c>
      <c r="C1783" t="s">
        <v>763</v>
      </c>
      <c r="D1783" t="s">
        <v>23</v>
      </c>
      <c r="E1783">
        <v>32</v>
      </c>
      <c r="F1783" t="s">
        <v>264</v>
      </c>
      <c r="G1783" t="s">
        <v>82</v>
      </c>
      <c r="H1783">
        <v>77349</v>
      </c>
      <c r="I1783" s="1" t="d">
        <v>2023-11-12</v>
      </c>
      <c r="J1783" t="s">
        <v>3621</v>
      </c>
      <c r="K1783" s="17" t="s">
        <v>149</v>
      </c>
      <c r="L1783">
        <v>3</v>
      </c>
    </row>
    <row r="1784" spans="1:12" x14ac:dyDescent="0.25">
      <c r="A1784" t="s">
        <v>4516</v>
      </c>
      <c r="B1784" t="s">
        <v>37</v>
      </c>
      <c r="C1784" t="s">
        <v>4517</v>
      </c>
      <c r="D1784" t="s">
        <v>9527</v>
      </c>
      <c r="E1784">
        <v>31</v>
      </c>
      <c r="F1784" t="s">
        <v>176</v>
      </c>
      <c r="G1784" t="s">
        <v>205</v>
      </c>
      <c r="H1784" t="s">
        <v>4518</v>
      </c>
      <c r="I1784" s="1" t="d">
        <v>2024-04-01</v>
      </c>
      <c r="J1784" t="s">
        <v>2753</v>
      </c>
      <c r="K1784" s="17" t="s">
        <v>370</v>
      </c>
      <c r="L1784">
        <v>4</v>
      </c>
    </row>
    <row r="1785" spans="1:12" x14ac:dyDescent="0.25">
      <c r="A1785" t="s">
        <v>4519</v>
      </c>
      <c r="B1785" t="s">
        <v>4520</v>
      </c>
      <c r="C1785" t="s">
        <v>152</v>
      </c>
      <c r="D1785" t="s">
        <v>23</v>
      </c>
      <c r="E1785">
        <v>23</v>
      </c>
      <c r="F1785" t="s">
        <v>258</v>
      </c>
      <c r="G1785" t="s">
        <v>1121</v>
      </c>
      <c r="H1785" s="2">
        <v>132917</v>
      </c>
      <c r="I1785" s="1" t="d">
        <v>2020-12-21</v>
      </c>
      <c r="J1785" t="s">
        <v>4521</v>
      </c>
      <c r="K1785" s="17" t="s">
        <v>184</v>
      </c>
      <c r="L1785">
        <v>1</v>
      </c>
    </row>
    <row r="1786" spans="1:12" x14ac:dyDescent="0.25">
      <c r="A1786" t="s">
        <v>4522</v>
      </c>
      <c r="B1786" t="s">
        <v>1689</v>
      </c>
      <c r="C1786" t="s">
        <v>988</v>
      </c>
      <c r="D1786" t="s">
        <v>46</v>
      </c>
      <c r="E1786">
        <v>35</v>
      </c>
      <c r="F1786" t="s">
        <v>411</v>
      </c>
      <c r="G1786" t="s">
        <v>387</v>
      </c>
      <c r="H1786">
        <v>127038</v>
      </c>
      <c r="I1786" s="1" t="d">
        <v>2017-12-08</v>
      </c>
      <c r="J1786" t="s">
        <v>3858</v>
      </c>
      <c r="K1786" s="17" t="s">
        <v>118</v>
      </c>
      <c r="L1786">
        <v>4</v>
      </c>
    </row>
    <row r="1787" spans="1:12" x14ac:dyDescent="0.25">
      <c r="A1787" t="s">
        <v>4523</v>
      </c>
      <c r="B1787" t="s">
        <v>2847</v>
      </c>
      <c r="C1787" t="s">
        <v>263</v>
      </c>
      <c r="D1787" t="s">
        <v>23</v>
      </c>
      <c r="E1787">
        <v>42</v>
      </c>
      <c r="F1787" t="s">
        <v>108</v>
      </c>
      <c r="G1787" t="s">
        <v>239</v>
      </c>
      <c r="I1787" s="1" t="d">
        <v>2012-11-09</v>
      </c>
      <c r="J1787" t="s">
        <v>3099</v>
      </c>
      <c r="K1787" s="17" t="s">
        <v>50</v>
      </c>
      <c r="L1787">
        <v>3</v>
      </c>
    </row>
    <row r="1788" spans="1:12" x14ac:dyDescent="0.25">
      <c r="A1788" t="s">
        <v>4524</v>
      </c>
      <c r="B1788" t="s">
        <v>548</v>
      </c>
      <c r="C1788" t="s">
        <v>1734</v>
      </c>
      <c r="D1788" t="s">
        <v>46</v>
      </c>
      <c r="E1788">
        <v>37</v>
      </c>
      <c r="F1788" t="s">
        <v>196</v>
      </c>
      <c r="G1788" t="s">
        <v>55</v>
      </c>
      <c r="H1788">
        <v>42527</v>
      </c>
      <c r="I1788" s="1" t="d">
        <v>2019-08-03</v>
      </c>
      <c r="J1788" t="s">
        <v>1835</v>
      </c>
      <c r="K1788" s="17" t="s">
        <v>34</v>
      </c>
      <c r="L1788">
        <v>5</v>
      </c>
    </row>
    <row r="1789" spans="1:12" x14ac:dyDescent="0.25">
      <c r="A1789" t="s">
        <v>4525</v>
      </c>
      <c r="B1789" t="s">
        <v>174</v>
      </c>
      <c r="C1789" t="s">
        <v>1943</v>
      </c>
      <c r="D1789" t="s">
        <v>9527</v>
      </c>
      <c r="E1789">
        <v>40</v>
      </c>
      <c r="F1789" t="s">
        <v>153</v>
      </c>
      <c r="G1789" t="s">
        <v>177</v>
      </c>
      <c r="I1789" s="1" t="d">
        <v>2014-02-01</v>
      </c>
      <c r="J1789" t="s">
        <v>1946</v>
      </c>
      <c r="K1789" s="17" t="s">
        <v>184</v>
      </c>
      <c r="L1789">
        <v>2</v>
      </c>
    </row>
    <row r="1790" spans="1:12" x14ac:dyDescent="0.25">
      <c r="A1790" t="s">
        <v>4526</v>
      </c>
      <c r="B1790" t="s">
        <v>102</v>
      </c>
      <c r="C1790" t="s">
        <v>30</v>
      </c>
      <c r="D1790" t="s">
        <v>46</v>
      </c>
      <c r="E1790">
        <v>30</v>
      </c>
      <c r="F1790" t="s">
        <v>31</v>
      </c>
      <c r="G1790" t="s">
        <v>191</v>
      </c>
      <c r="H1790" t="s">
        <v>4527</v>
      </c>
      <c r="I1790" s="1" t="d">
        <v>2016-05-14</v>
      </c>
      <c r="J1790" t="s">
        <v>1321</v>
      </c>
      <c r="K1790" s="17" t="s">
        <v>34</v>
      </c>
      <c r="L1790">
        <v>1</v>
      </c>
    </row>
    <row r="1791" spans="1:12" x14ac:dyDescent="0.25">
      <c r="A1791" t="s">
        <v>4528</v>
      </c>
      <c r="B1791" t="s">
        <v>499</v>
      </c>
      <c r="C1791" t="s">
        <v>145</v>
      </c>
      <c r="D1791" t="s">
        <v>46</v>
      </c>
      <c r="E1791">
        <v>33</v>
      </c>
      <c r="G1791" t="s">
        <v>55</v>
      </c>
      <c r="H1791" t="s">
        <v>4529</v>
      </c>
      <c r="I1791" s="1" t="d">
        <v>2009-09-09</v>
      </c>
      <c r="J1791" t="s">
        <v>3184</v>
      </c>
      <c r="K1791" s="17" t="s">
        <v>19</v>
      </c>
      <c r="L1791">
        <v>3</v>
      </c>
    </row>
    <row r="1792" spans="1:12" x14ac:dyDescent="0.25">
      <c r="A1792" t="s">
        <v>4530</v>
      </c>
      <c r="B1792" t="s">
        <v>2856</v>
      </c>
      <c r="C1792" t="s">
        <v>869</v>
      </c>
      <c r="D1792" t="s">
        <v>46</v>
      </c>
      <c r="E1792">
        <v>21</v>
      </c>
      <c r="F1792" t="s">
        <v>146</v>
      </c>
      <c r="G1792" t="s">
        <v>1866</v>
      </c>
      <c r="H1792">
        <v>999999</v>
      </c>
      <c r="I1792" s="1" t="d">
        <v>2020-11-15</v>
      </c>
      <c r="J1792" t="s">
        <v>2826</v>
      </c>
      <c r="K1792" s="17" t="s">
        <v>184</v>
      </c>
      <c r="L1792">
        <v>4</v>
      </c>
    </row>
    <row r="1793" spans="1:12" x14ac:dyDescent="0.25">
      <c r="A1793" t="s">
        <v>4531</v>
      </c>
      <c r="B1793" t="s">
        <v>906</v>
      </c>
      <c r="C1793" t="s">
        <v>858</v>
      </c>
      <c r="D1793" t="s">
        <v>9527</v>
      </c>
      <c r="E1793">
        <v>36</v>
      </c>
      <c r="F1793" t="s">
        <v>47</v>
      </c>
      <c r="G1793" t="s">
        <v>1277</v>
      </c>
      <c r="H1793" s="2">
        <v>45603</v>
      </c>
      <c r="I1793" s="1" t="d">
        <v>2007-10-04</v>
      </c>
      <c r="J1793" t="s">
        <v>1757</v>
      </c>
      <c r="K1793" s="17" t="s">
        <v>149</v>
      </c>
      <c r="L1793">
        <v>3</v>
      </c>
    </row>
    <row r="1794" spans="1:12" x14ac:dyDescent="0.25">
      <c r="A1794" t="s">
        <v>4532</v>
      </c>
      <c r="B1794" t="s">
        <v>130</v>
      </c>
      <c r="C1794" t="s">
        <v>516</v>
      </c>
      <c r="D1794" t="s">
        <v>46</v>
      </c>
      <c r="E1794">
        <v>61</v>
      </c>
      <c r="F1794" t="s">
        <v>589</v>
      </c>
      <c r="G1794" t="s">
        <v>191</v>
      </c>
      <c r="H1794" t="s">
        <v>4533</v>
      </c>
      <c r="I1794" s="1" t="d">
        <v>2008-03-12</v>
      </c>
      <c r="J1794" t="s">
        <v>2597</v>
      </c>
      <c r="K1794" s="17" t="s">
        <v>90</v>
      </c>
      <c r="L1794">
        <v>2</v>
      </c>
    </row>
    <row r="1795" spans="1:12" x14ac:dyDescent="0.25">
      <c r="A1795" t="s">
        <v>4534</v>
      </c>
      <c r="B1795" t="s">
        <v>4535</v>
      </c>
      <c r="C1795" t="s">
        <v>2246</v>
      </c>
      <c r="D1795" t="s">
        <v>23</v>
      </c>
      <c r="E1795">
        <v>44</v>
      </c>
      <c r="F1795" t="s">
        <v>406</v>
      </c>
      <c r="G1795" t="s">
        <v>278</v>
      </c>
      <c r="H1795" s="2">
        <v>64486</v>
      </c>
      <c r="I1795" s="1" t="d">
        <v>2009-12-24</v>
      </c>
      <c r="J1795" t="s">
        <v>497</v>
      </c>
      <c r="K1795" s="17" t="s">
        <v>149</v>
      </c>
      <c r="L1795">
        <v>3</v>
      </c>
    </row>
    <row r="1796" spans="1:12" x14ac:dyDescent="0.25">
      <c r="A1796" t="s">
        <v>4536</v>
      </c>
      <c r="B1796" t="s">
        <v>130</v>
      </c>
      <c r="C1796" t="s">
        <v>268</v>
      </c>
      <c r="D1796" t="s">
        <v>46</v>
      </c>
      <c r="E1796">
        <v>36</v>
      </c>
      <c r="F1796" t="s">
        <v>859</v>
      </c>
      <c r="G1796" t="s">
        <v>283</v>
      </c>
      <c r="H1796" t="s">
        <v>4537</v>
      </c>
      <c r="I1796" s="1" t="d">
        <v>2006-11-28</v>
      </c>
      <c r="J1796" t="s">
        <v>3223</v>
      </c>
      <c r="K1796" s="17" t="s">
        <v>370</v>
      </c>
      <c r="L1796">
        <v>2</v>
      </c>
    </row>
    <row r="1797" spans="1:12" x14ac:dyDescent="0.25">
      <c r="A1797" t="s">
        <v>4538</v>
      </c>
      <c r="B1797" t="s">
        <v>1350</v>
      </c>
      <c r="C1797" t="s">
        <v>1964</v>
      </c>
      <c r="D1797" t="s">
        <v>23</v>
      </c>
      <c r="E1797">
        <v>23</v>
      </c>
      <c r="F1797" t="s">
        <v>649</v>
      </c>
      <c r="G1797" t="s">
        <v>903</v>
      </c>
      <c r="H1797">
        <v>65505</v>
      </c>
      <c r="I1797" s="1" t="d">
        <v>2006-05-01</v>
      </c>
      <c r="J1797" t="s">
        <v>4152</v>
      </c>
      <c r="K1797" s="17" t="s">
        <v>118</v>
      </c>
      <c r="L1797">
        <v>3</v>
      </c>
    </row>
    <row r="1798" spans="1:12" x14ac:dyDescent="0.25">
      <c r="A1798" t="s">
        <v>4539</v>
      </c>
      <c r="B1798" t="s">
        <v>2856</v>
      </c>
      <c r="C1798" t="s">
        <v>140</v>
      </c>
      <c r="D1798" t="s">
        <v>46</v>
      </c>
      <c r="E1798">
        <v>23</v>
      </c>
      <c r="F1798" t="s">
        <v>264</v>
      </c>
      <c r="G1798" t="s">
        <v>69</v>
      </c>
      <c r="H1798" s="2">
        <v>91002</v>
      </c>
      <c r="I1798" s="1" t="d">
        <v>2018-09-14</v>
      </c>
      <c r="J1798" t="s">
        <v>513</v>
      </c>
      <c r="K1798" s="17" t="s">
        <v>42</v>
      </c>
      <c r="L1798">
        <v>3</v>
      </c>
    </row>
    <row r="1799" spans="1:12" x14ac:dyDescent="0.25">
      <c r="A1799" t="s">
        <v>4540</v>
      </c>
      <c r="B1799" t="s">
        <v>439</v>
      </c>
      <c r="C1799" t="s">
        <v>966</v>
      </c>
      <c r="D1799" t="s">
        <v>46</v>
      </c>
      <c r="E1799">
        <v>24</v>
      </c>
      <c r="F1799" t="s">
        <v>974</v>
      </c>
      <c r="G1799" t="s">
        <v>782</v>
      </c>
      <c r="H1799" t="s">
        <v>4541</v>
      </c>
      <c r="I1799" s="1" t="d">
        <v>2013-09-10</v>
      </c>
      <c r="J1799" t="s">
        <v>3289</v>
      </c>
      <c r="K1799" s="17" t="s">
        <v>34</v>
      </c>
      <c r="L1799">
        <v>5</v>
      </c>
    </row>
    <row r="1800" spans="1:12" x14ac:dyDescent="0.25">
      <c r="A1800" t="s">
        <v>4542</v>
      </c>
      <c r="B1800" t="s">
        <v>1441</v>
      </c>
      <c r="C1800" t="s">
        <v>827</v>
      </c>
      <c r="D1800" t="s">
        <v>9527</v>
      </c>
      <c r="E1800">
        <v>46</v>
      </c>
      <c r="F1800" t="s">
        <v>645</v>
      </c>
      <c r="G1800" t="s">
        <v>95</v>
      </c>
      <c r="H1800">
        <v>40973</v>
      </c>
      <c r="I1800" s="1" t="d">
        <v>2022-01-21</v>
      </c>
      <c r="J1800" t="s">
        <v>1527</v>
      </c>
      <c r="K1800" s="17" t="s">
        <v>149</v>
      </c>
      <c r="L1800">
        <v>5</v>
      </c>
    </row>
    <row r="1801" spans="1:12" x14ac:dyDescent="0.25">
      <c r="A1801" t="s">
        <v>4543</v>
      </c>
      <c r="B1801" t="s">
        <v>4544</v>
      </c>
      <c r="C1801" t="s">
        <v>729</v>
      </c>
      <c r="D1801" t="s">
        <v>23</v>
      </c>
      <c r="E1801">
        <v>21</v>
      </c>
      <c r="F1801" t="s">
        <v>94</v>
      </c>
      <c r="G1801" t="s">
        <v>39</v>
      </c>
      <c r="H1801" t="s">
        <v>4545</v>
      </c>
      <c r="I1801" s="1" t="d">
        <v>2017-02-26</v>
      </c>
      <c r="J1801" t="s">
        <v>1684</v>
      </c>
      <c r="K1801" s="17" t="s">
        <v>100</v>
      </c>
      <c r="L1801">
        <v>2</v>
      </c>
    </row>
    <row r="1802" spans="1:12" x14ac:dyDescent="0.25">
      <c r="A1802" t="s">
        <v>4546</v>
      </c>
      <c r="B1802" t="s">
        <v>804</v>
      </c>
      <c r="C1802" t="s">
        <v>1901</v>
      </c>
      <c r="D1802" t="s">
        <v>23</v>
      </c>
      <c r="E1802">
        <v>44</v>
      </c>
      <c r="F1802" t="s">
        <v>196</v>
      </c>
      <c r="G1802" t="s">
        <v>115</v>
      </c>
      <c r="H1802">
        <v>50121</v>
      </c>
      <c r="I1802" s="1" t="d">
        <v>2018-01-03</v>
      </c>
      <c r="J1802" t="s">
        <v>1369</v>
      </c>
      <c r="K1802" s="17" t="s">
        <v>90</v>
      </c>
      <c r="L1802">
        <v>5</v>
      </c>
    </row>
    <row r="1803" spans="1:12" x14ac:dyDescent="0.25">
      <c r="A1803" t="s">
        <v>4547</v>
      </c>
      <c r="B1803" t="s">
        <v>2190</v>
      </c>
      <c r="C1803" t="s">
        <v>696</v>
      </c>
      <c r="D1803" t="s">
        <v>9527</v>
      </c>
      <c r="E1803">
        <v>40</v>
      </c>
      <c r="F1803" t="s">
        <v>38</v>
      </c>
      <c r="G1803" t="s">
        <v>212</v>
      </c>
      <c r="H1803">
        <v>61305</v>
      </c>
      <c r="I1803" s="1" t="d">
        <v>2019-04-13</v>
      </c>
      <c r="J1803" t="s">
        <v>4548</v>
      </c>
      <c r="K1803" s="17" t="s">
        <v>207</v>
      </c>
      <c r="L1803">
        <v>3</v>
      </c>
    </row>
    <row r="1804" spans="1:12" x14ac:dyDescent="0.25">
      <c r="A1804" t="s">
        <v>4549</v>
      </c>
      <c r="B1804" t="s">
        <v>4550</v>
      </c>
      <c r="C1804" t="s">
        <v>1356</v>
      </c>
      <c r="D1804" t="s">
        <v>9527</v>
      </c>
      <c r="E1804">
        <v>28</v>
      </c>
      <c r="F1804" t="s">
        <v>978</v>
      </c>
      <c r="G1804" t="s">
        <v>88</v>
      </c>
      <c r="H1804" s="2">
        <v>106784</v>
      </c>
      <c r="I1804" s="1" t="d">
        <v>2017-08-20</v>
      </c>
      <c r="J1804" t="s">
        <v>4551</v>
      </c>
      <c r="K1804" s="17" t="s">
        <v>58</v>
      </c>
      <c r="L1804">
        <v>4</v>
      </c>
    </row>
    <row r="1805" spans="1:12" x14ac:dyDescent="0.25">
      <c r="A1805" t="s">
        <v>4552</v>
      </c>
      <c r="B1805" t="s">
        <v>4553</v>
      </c>
      <c r="C1805" t="s">
        <v>2391</v>
      </c>
      <c r="D1805" t="s">
        <v>46</v>
      </c>
      <c r="E1805">
        <v>52</v>
      </c>
      <c r="F1805" t="s">
        <v>1116</v>
      </c>
      <c r="G1805" t="s">
        <v>48</v>
      </c>
      <c r="H1805" t="s">
        <v>4554</v>
      </c>
      <c r="I1805" s="1" t="d">
        <v>2011-06-09</v>
      </c>
      <c r="J1805" t="s">
        <v>3278</v>
      </c>
      <c r="K1805" s="17" t="s">
        <v>90</v>
      </c>
      <c r="L1805">
        <v>3</v>
      </c>
    </row>
    <row r="1806" spans="1:12" x14ac:dyDescent="0.25">
      <c r="A1806" t="s">
        <v>4555</v>
      </c>
      <c r="B1806" t="s">
        <v>1784</v>
      </c>
      <c r="C1806" t="s">
        <v>2778</v>
      </c>
      <c r="D1806" t="s">
        <v>9527</v>
      </c>
      <c r="E1806">
        <v>37</v>
      </c>
      <c r="F1806" t="s">
        <v>649</v>
      </c>
      <c r="G1806" t="s">
        <v>177</v>
      </c>
      <c r="H1806" s="2">
        <v>60837</v>
      </c>
      <c r="I1806" s="1" t="d">
        <v>2019-08-21</v>
      </c>
      <c r="J1806" t="s">
        <v>4556</v>
      </c>
      <c r="K1806" s="17" t="s">
        <v>27</v>
      </c>
      <c r="L1806">
        <v>3</v>
      </c>
    </row>
    <row r="1807" spans="1:12" x14ac:dyDescent="0.25">
      <c r="A1807" t="s">
        <v>4557</v>
      </c>
      <c r="B1807" t="s">
        <v>906</v>
      </c>
      <c r="C1807" t="s">
        <v>135</v>
      </c>
      <c r="D1807" t="s">
        <v>9527</v>
      </c>
      <c r="E1807">
        <v>45</v>
      </c>
      <c r="F1807" t="s">
        <v>200</v>
      </c>
      <c r="G1807" t="s">
        <v>82</v>
      </c>
      <c r="H1807">
        <v>79456</v>
      </c>
      <c r="I1807" s="1" t="d">
        <v>2024-06-22</v>
      </c>
      <c r="J1807" t="s">
        <v>707</v>
      </c>
      <c r="K1807" s="17" t="s">
        <v>58</v>
      </c>
      <c r="L1807">
        <v>4</v>
      </c>
    </row>
    <row r="1808" spans="1:12" x14ac:dyDescent="0.25">
      <c r="A1808" t="s">
        <v>4558</v>
      </c>
      <c r="B1808" t="s">
        <v>410</v>
      </c>
      <c r="C1808" t="s">
        <v>766</v>
      </c>
      <c r="D1808" t="s">
        <v>46</v>
      </c>
      <c r="E1808">
        <v>33</v>
      </c>
      <c r="F1808" t="s">
        <v>81</v>
      </c>
      <c r="G1808" t="s">
        <v>177</v>
      </c>
      <c r="H1808">
        <v>46666</v>
      </c>
      <c r="I1808" s="1" t="d">
        <v>2019-06-28</v>
      </c>
      <c r="J1808" t="s">
        <v>767</v>
      </c>
      <c r="K1808" s="17" t="s">
        <v>58</v>
      </c>
      <c r="L1808">
        <v>5</v>
      </c>
    </row>
    <row r="1809" spans="1:12" x14ac:dyDescent="0.25">
      <c r="A1809" t="s">
        <v>4559</v>
      </c>
      <c r="B1809" t="s">
        <v>999</v>
      </c>
      <c r="C1809" t="s">
        <v>805</v>
      </c>
      <c r="D1809" t="s">
        <v>9527</v>
      </c>
      <c r="E1809">
        <v>34</v>
      </c>
      <c r="F1809" t="s">
        <v>169</v>
      </c>
      <c r="G1809" t="s">
        <v>170</v>
      </c>
      <c r="H1809">
        <v>52810</v>
      </c>
      <c r="I1809" s="1" t="d">
        <v>2022-06-09</v>
      </c>
      <c r="J1809" t="s">
        <v>1525</v>
      </c>
      <c r="K1809" s="17" t="s">
        <v>58</v>
      </c>
      <c r="L1809">
        <v>3</v>
      </c>
    </row>
    <row r="1810" spans="1:12" x14ac:dyDescent="0.25">
      <c r="A1810" t="s">
        <v>4560</v>
      </c>
      <c r="B1810" t="s">
        <v>228</v>
      </c>
      <c r="C1810" t="s">
        <v>103</v>
      </c>
      <c r="D1810" t="s">
        <v>23</v>
      </c>
      <c r="E1810">
        <v>47</v>
      </c>
      <c r="F1810" t="s">
        <v>411</v>
      </c>
      <c r="G1810" t="s">
        <v>82</v>
      </c>
      <c r="H1810" t="s">
        <v>4561</v>
      </c>
      <c r="I1810" s="1" t="d">
        <v>2022-12-07</v>
      </c>
      <c r="J1810" t="s">
        <v>57</v>
      </c>
      <c r="K1810" s="17" t="s">
        <v>149</v>
      </c>
      <c r="L1810">
        <v>3</v>
      </c>
    </row>
    <row r="1811" spans="1:12" x14ac:dyDescent="0.25">
      <c r="A1811" t="s">
        <v>4562</v>
      </c>
      <c r="B1811" t="s">
        <v>410</v>
      </c>
      <c r="C1811" t="s">
        <v>2548</v>
      </c>
      <c r="D1811" t="s">
        <v>46</v>
      </c>
      <c r="E1811">
        <v>61</v>
      </c>
      <c r="F1811" t="s">
        <v>122</v>
      </c>
      <c r="G1811" t="s">
        <v>82</v>
      </c>
      <c r="H1811" t="s">
        <v>4563</v>
      </c>
      <c r="I1811" s="1" t="d">
        <v>2021-09-19</v>
      </c>
      <c r="J1811" t="s">
        <v>3946</v>
      </c>
      <c r="K1811" s="17" t="s">
        <v>42</v>
      </c>
      <c r="L1811">
        <v>3</v>
      </c>
    </row>
    <row r="1812" spans="1:12" x14ac:dyDescent="0.25">
      <c r="A1812" t="s">
        <v>4564</v>
      </c>
      <c r="B1812" t="s">
        <v>167</v>
      </c>
      <c r="C1812" t="s">
        <v>4565</v>
      </c>
      <c r="D1812" t="s">
        <v>23</v>
      </c>
      <c r="E1812">
        <v>38</v>
      </c>
      <c r="F1812" t="s">
        <v>1183</v>
      </c>
      <c r="G1812" t="s">
        <v>278</v>
      </c>
      <c r="H1812" t="s">
        <v>4566</v>
      </c>
      <c r="J1812" t="s">
        <v>4475</v>
      </c>
      <c r="K1812" s="17" t="s">
        <v>149</v>
      </c>
      <c r="L1812">
        <v>4</v>
      </c>
    </row>
    <row r="1813" spans="1:12" x14ac:dyDescent="0.25">
      <c r="A1813" t="s">
        <v>4567</v>
      </c>
      <c r="B1813" t="s">
        <v>789</v>
      </c>
      <c r="C1813" t="s">
        <v>453</v>
      </c>
      <c r="D1813" t="s">
        <v>23</v>
      </c>
      <c r="E1813">
        <v>49</v>
      </c>
      <c r="G1813" t="s">
        <v>48</v>
      </c>
      <c r="H1813" t="s">
        <v>4568</v>
      </c>
      <c r="I1813" s="1" t="d">
        <v>2015-04-07</v>
      </c>
      <c r="J1813" t="s">
        <v>1278</v>
      </c>
      <c r="K1813" s="17" t="s">
        <v>34</v>
      </c>
      <c r="L1813">
        <v>5</v>
      </c>
    </row>
    <row r="1814" spans="1:12" x14ac:dyDescent="0.25">
      <c r="A1814" t="s">
        <v>4569</v>
      </c>
      <c r="B1814" t="s">
        <v>906</v>
      </c>
      <c r="C1814" t="s">
        <v>4570</v>
      </c>
      <c r="D1814" t="s">
        <v>23</v>
      </c>
      <c r="E1814">
        <v>38</v>
      </c>
      <c r="F1814" t="s">
        <v>296</v>
      </c>
      <c r="G1814" t="s">
        <v>1215</v>
      </c>
      <c r="H1814" t="s">
        <v>4571</v>
      </c>
      <c r="I1814" s="1" t="d">
        <v>2010-10-26</v>
      </c>
      <c r="J1814" t="s">
        <v>3187</v>
      </c>
      <c r="K1814" s="17" t="s">
        <v>19</v>
      </c>
      <c r="L1814">
        <v>5</v>
      </c>
    </row>
    <row r="1815" spans="1:12" x14ac:dyDescent="0.25">
      <c r="A1815" t="s">
        <v>4572</v>
      </c>
      <c r="B1815" t="s">
        <v>4573</v>
      </c>
      <c r="C1815" t="s">
        <v>181</v>
      </c>
      <c r="D1815" t="s">
        <v>9527</v>
      </c>
      <c r="E1815">
        <v>53</v>
      </c>
      <c r="F1815" t="s">
        <v>911</v>
      </c>
      <c r="G1815" t="s">
        <v>182</v>
      </c>
      <c r="H1815" t="s">
        <v>4574</v>
      </c>
      <c r="I1815" s="1" t="d">
        <v>2008-04-15</v>
      </c>
      <c r="J1815" t="s">
        <v>3307</v>
      </c>
      <c r="K1815" s="17" t="s">
        <v>58</v>
      </c>
      <c r="L1815">
        <v>4</v>
      </c>
    </row>
    <row r="1816" spans="1:12" x14ac:dyDescent="0.25">
      <c r="A1816" t="s">
        <v>4575</v>
      </c>
      <c r="B1816" t="s">
        <v>594</v>
      </c>
      <c r="C1816" t="s">
        <v>1901</v>
      </c>
      <c r="D1816" t="s">
        <v>9527</v>
      </c>
      <c r="E1816">
        <v>32</v>
      </c>
      <c r="F1816" t="s">
        <v>417</v>
      </c>
      <c r="G1816" t="s">
        <v>164</v>
      </c>
      <c r="I1816" s="1" t="d">
        <v>2010-08-20</v>
      </c>
      <c r="J1816" t="s">
        <v>3861</v>
      </c>
      <c r="K1816" s="17" t="s">
        <v>100</v>
      </c>
      <c r="L1816">
        <v>1</v>
      </c>
    </row>
    <row r="1817" spans="1:12" x14ac:dyDescent="0.25">
      <c r="A1817" t="s">
        <v>4576</v>
      </c>
      <c r="B1817" t="s">
        <v>709</v>
      </c>
      <c r="C1817" t="s">
        <v>898</v>
      </c>
      <c r="D1817" t="s">
        <v>23</v>
      </c>
      <c r="E1817">
        <v>37</v>
      </c>
      <c r="G1817" t="s">
        <v>32</v>
      </c>
      <c r="H1817" t="s">
        <v>4577</v>
      </c>
      <c r="I1817" s="1" t="d">
        <v>2008-05-14</v>
      </c>
      <c r="J1817" t="s">
        <v>3875</v>
      </c>
      <c r="K1817" s="17" t="s">
        <v>50</v>
      </c>
      <c r="L1817">
        <v>4</v>
      </c>
    </row>
    <row r="1818" spans="1:12" x14ac:dyDescent="0.25">
      <c r="A1818" t="s">
        <v>4578</v>
      </c>
      <c r="B1818" t="s">
        <v>1512</v>
      </c>
      <c r="C1818" t="s">
        <v>14</v>
      </c>
      <c r="D1818" t="s">
        <v>23</v>
      </c>
      <c r="E1818">
        <v>45</v>
      </c>
      <c r="F1818" t="s">
        <v>859</v>
      </c>
      <c r="G1818" t="s">
        <v>842</v>
      </c>
      <c r="I1818" s="1" t="d">
        <v>2021-11-25</v>
      </c>
      <c r="J1818" t="s">
        <v>2731</v>
      </c>
      <c r="K1818" s="17" t="s">
        <v>19</v>
      </c>
      <c r="L1818">
        <v>3</v>
      </c>
    </row>
    <row r="1819" spans="1:12" x14ac:dyDescent="0.25">
      <c r="A1819" t="s">
        <v>4579</v>
      </c>
      <c r="B1819" t="s">
        <v>1775</v>
      </c>
      <c r="C1819" t="s">
        <v>521</v>
      </c>
      <c r="D1819" t="s">
        <v>46</v>
      </c>
      <c r="E1819">
        <v>51</v>
      </c>
      <c r="F1819" t="s">
        <v>62</v>
      </c>
      <c r="G1819" t="s">
        <v>39</v>
      </c>
      <c r="H1819" t="s">
        <v>4580</v>
      </c>
      <c r="I1819" s="1" t="d">
        <v>2009-11-04</v>
      </c>
      <c r="J1819" t="s">
        <v>813</v>
      </c>
      <c r="K1819" s="17" t="s">
        <v>58</v>
      </c>
      <c r="L1819">
        <v>4</v>
      </c>
    </row>
    <row r="1820" spans="1:12" x14ac:dyDescent="0.25">
      <c r="A1820" t="s">
        <v>4581</v>
      </c>
      <c r="B1820" t="s">
        <v>404</v>
      </c>
      <c r="C1820" t="s">
        <v>244</v>
      </c>
      <c r="D1820" t="s">
        <v>23</v>
      </c>
      <c r="E1820">
        <v>23</v>
      </c>
      <c r="F1820" t="s">
        <v>200</v>
      </c>
      <c r="G1820" t="s">
        <v>39</v>
      </c>
      <c r="I1820" s="1" t="d">
        <v>2015-03-10</v>
      </c>
      <c r="J1820" t="s">
        <v>3637</v>
      </c>
      <c r="K1820" s="17" t="s">
        <v>184</v>
      </c>
      <c r="L1820">
        <v>5</v>
      </c>
    </row>
    <row r="1821" spans="1:12" x14ac:dyDescent="0.25">
      <c r="A1821" t="s">
        <v>4582</v>
      </c>
      <c r="B1821" t="s">
        <v>1368</v>
      </c>
      <c r="C1821" t="s">
        <v>45</v>
      </c>
      <c r="D1821" t="s">
        <v>9527</v>
      </c>
      <c r="E1821">
        <v>64</v>
      </c>
      <c r="F1821" t="s">
        <v>211</v>
      </c>
      <c r="G1821" t="s">
        <v>95</v>
      </c>
      <c r="H1821" s="2">
        <v>53475</v>
      </c>
      <c r="I1821" s="1" t="d">
        <v>2022-06-25</v>
      </c>
      <c r="J1821" t="s">
        <v>1981</v>
      </c>
      <c r="K1821" s="17" t="s">
        <v>207</v>
      </c>
      <c r="L1821">
        <v>3</v>
      </c>
    </row>
    <row r="1822" spans="1:12" x14ac:dyDescent="0.25">
      <c r="A1822" t="s">
        <v>2341</v>
      </c>
      <c r="B1822" t="s">
        <v>862</v>
      </c>
      <c r="C1822" t="s">
        <v>1356</v>
      </c>
      <c r="D1822" t="s">
        <v>9527</v>
      </c>
      <c r="E1822">
        <v>21</v>
      </c>
      <c r="F1822" t="s">
        <v>264</v>
      </c>
      <c r="G1822" t="s">
        <v>191</v>
      </c>
      <c r="H1822">
        <v>74001</v>
      </c>
      <c r="I1822" s="1" t="d">
        <v>2015-07-19</v>
      </c>
      <c r="J1822" t="s">
        <v>2342</v>
      </c>
      <c r="K1822" s="17" t="s">
        <v>34</v>
      </c>
      <c r="L1822">
        <v>3</v>
      </c>
    </row>
    <row r="1823" spans="1:12" x14ac:dyDescent="0.25">
      <c r="A1823" t="s">
        <v>4583</v>
      </c>
      <c r="B1823" t="s">
        <v>833</v>
      </c>
      <c r="C1823" t="s">
        <v>699</v>
      </c>
      <c r="D1823" t="s">
        <v>46</v>
      </c>
      <c r="E1823">
        <v>38</v>
      </c>
      <c r="F1823" t="s">
        <v>365</v>
      </c>
      <c r="G1823" t="s">
        <v>39</v>
      </c>
      <c r="H1823">
        <v>50516</v>
      </c>
      <c r="I1823" s="1" t="d">
        <v>2018-12-16</v>
      </c>
      <c r="J1823" t="s">
        <v>1410</v>
      </c>
      <c r="K1823" s="17" t="s">
        <v>27</v>
      </c>
      <c r="L1823">
        <v>1</v>
      </c>
    </row>
    <row r="1824" spans="1:12" x14ac:dyDescent="0.25">
      <c r="A1824" t="s">
        <v>4584</v>
      </c>
      <c r="B1824" t="s">
        <v>4585</v>
      </c>
      <c r="C1824" t="s">
        <v>244</v>
      </c>
      <c r="D1824" t="s">
        <v>9527</v>
      </c>
      <c r="E1824">
        <v>46</v>
      </c>
      <c r="F1824" t="s">
        <v>2275</v>
      </c>
      <c r="G1824" t="s">
        <v>39</v>
      </c>
      <c r="H1824" t="s">
        <v>4586</v>
      </c>
      <c r="I1824" s="1" t="d">
        <v>2015-11-11</v>
      </c>
      <c r="J1824" t="s">
        <v>1628</v>
      </c>
      <c r="K1824" s="17" t="s">
        <v>27</v>
      </c>
      <c r="L1824">
        <v>2</v>
      </c>
    </row>
    <row r="1825" spans="1:12" x14ac:dyDescent="0.25">
      <c r="A1825" t="s">
        <v>4587</v>
      </c>
      <c r="B1825" t="s">
        <v>426</v>
      </c>
      <c r="C1825" t="s">
        <v>67</v>
      </c>
      <c r="D1825" t="s">
        <v>9527</v>
      </c>
      <c r="E1825">
        <v>38</v>
      </c>
      <c r="F1825" t="s">
        <v>522</v>
      </c>
      <c r="G1825" t="s">
        <v>25</v>
      </c>
      <c r="H1825" t="s">
        <v>4588</v>
      </c>
      <c r="I1825" s="1" t="d">
        <v>2019-11-20</v>
      </c>
      <c r="J1825" t="s">
        <v>1529</v>
      </c>
      <c r="K1825" s="17" t="s">
        <v>34</v>
      </c>
      <c r="L1825">
        <v>5</v>
      </c>
    </row>
    <row r="1826" spans="1:12" x14ac:dyDescent="0.25">
      <c r="A1826" t="s">
        <v>4589</v>
      </c>
      <c r="B1826" t="s">
        <v>311</v>
      </c>
      <c r="C1826" t="s">
        <v>739</v>
      </c>
      <c r="D1826" t="s">
        <v>9527</v>
      </c>
      <c r="E1826">
        <v>40</v>
      </c>
      <c r="F1826" t="s">
        <v>94</v>
      </c>
      <c r="G1826" t="s">
        <v>170</v>
      </c>
      <c r="H1826" t="s">
        <v>4590</v>
      </c>
      <c r="I1826" s="1" t="d">
        <v>2014-08-05</v>
      </c>
      <c r="J1826" t="s">
        <v>2377</v>
      </c>
      <c r="K1826" s="17" t="s">
        <v>184</v>
      </c>
      <c r="L1826">
        <v>1</v>
      </c>
    </row>
    <row r="1827" spans="1:12" x14ac:dyDescent="0.25">
      <c r="A1827" t="s">
        <v>4591</v>
      </c>
      <c r="B1827" t="s">
        <v>709</v>
      </c>
      <c r="C1827" t="s">
        <v>805</v>
      </c>
      <c r="D1827" t="s">
        <v>9527</v>
      </c>
      <c r="E1827">
        <v>55</v>
      </c>
      <c r="F1827" t="s">
        <v>365</v>
      </c>
      <c r="G1827" t="s">
        <v>39</v>
      </c>
      <c r="I1827" s="1" t="d">
        <v>2019-09-10</v>
      </c>
      <c r="J1827" t="s">
        <v>4592</v>
      </c>
      <c r="K1827" s="17" t="s">
        <v>207</v>
      </c>
      <c r="L1827">
        <v>4</v>
      </c>
    </row>
    <row r="1828" spans="1:12" x14ac:dyDescent="0.25">
      <c r="A1828" t="s">
        <v>4593</v>
      </c>
      <c r="B1828" t="s">
        <v>130</v>
      </c>
      <c r="C1828" t="s">
        <v>2432</v>
      </c>
      <c r="D1828" t="s">
        <v>46</v>
      </c>
      <c r="E1828">
        <v>29</v>
      </c>
      <c r="F1828" t="s">
        <v>190</v>
      </c>
      <c r="G1828" t="s">
        <v>191</v>
      </c>
      <c r="I1828" s="1" t="d">
        <v>2019-11-10</v>
      </c>
      <c r="J1828" t="s">
        <v>4594</v>
      </c>
      <c r="K1828" s="17" t="s">
        <v>34</v>
      </c>
      <c r="L1828">
        <v>3</v>
      </c>
    </row>
    <row r="1829" spans="1:12" x14ac:dyDescent="0.25">
      <c r="A1829" t="s">
        <v>4595</v>
      </c>
      <c r="B1829" t="s">
        <v>1842</v>
      </c>
      <c r="C1829" t="s">
        <v>1734</v>
      </c>
      <c r="D1829" t="s">
        <v>23</v>
      </c>
      <c r="E1829">
        <v>39</v>
      </c>
      <c r="F1829" t="s">
        <v>230</v>
      </c>
      <c r="G1829" t="s">
        <v>351</v>
      </c>
      <c r="H1829" t="s">
        <v>4596</v>
      </c>
      <c r="I1829" s="1" t="d">
        <v>2019-03-27</v>
      </c>
      <c r="J1829" t="s">
        <v>1928</v>
      </c>
      <c r="K1829" s="17" t="s">
        <v>184</v>
      </c>
      <c r="L1829">
        <v>5</v>
      </c>
    </row>
    <row r="1830" spans="1:12" x14ac:dyDescent="0.25">
      <c r="A1830" t="s">
        <v>4597</v>
      </c>
      <c r="B1830" t="s">
        <v>1512</v>
      </c>
      <c r="C1830" t="s">
        <v>1657</v>
      </c>
      <c r="D1830" t="s">
        <v>46</v>
      </c>
      <c r="E1830">
        <v>31</v>
      </c>
      <c r="F1830" t="s">
        <v>1307</v>
      </c>
      <c r="G1830" t="s">
        <v>48</v>
      </c>
      <c r="H1830" t="s">
        <v>4598</v>
      </c>
      <c r="I1830" s="1" t="d">
        <v>2006-10-15</v>
      </c>
      <c r="J1830" t="s">
        <v>3792</v>
      </c>
      <c r="K1830" s="17" t="s">
        <v>58</v>
      </c>
      <c r="L1830">
        <v>4</v>
      </c>
    </row>
    <row r="1831" spans="1:12" x14ac:dyDescent="0.25">
      <c r="A1831" t="s">
        <v>4599</v>
      </c>
      <c r="B1831" t="s">
        <v>1896</v>
      </c>
      <c r="C1831" t="s">
        <v>22</v>
      </c>
      <c r="D1831" t="s">
        <v>46</v>
      </c>
      <c r="E1831">
        <v>36</v>
      </c>
      <c r="F1831" t="s">
        <v>2065</v>
      </c>
      <c r="G1831" t="s">
        <v>500</v>
      </c>
      <c r="I1831" s="1" t="d">
        <v>2020-12-27</v>
      </c>
      <c r="J1831" t="s">
        <v>3052</v>
      </c>
      <c r="K1831" s="17" t="s">
        <v>42</v>
      </c>
      <c r="L1831">
        <v>3</v>
      </c>
    </row>
    <row r="1832" spans="1:12" x14ac:dyDescent="0.25">
      <c r="A1832" t="s">
        <v>4600</v>
      </c>
      <c r="B1832" t="s">
        <v>999</v>
      </c>
      <c r="C1832" t="s">
        <v>1564</v>
      </c>
      <c r="D1832" t="s">
        <v>46</v>
      </c>
      <c r="E1832">
        <v>31</v>
      </c>
      <c r="F1832" t="s">
        <v>365</v>
      </c>
      <c r="G1832" t="s">
        <v>1719</v>
      </c>
      <c r="H1832" s="2">
        <v>50597</v>
      </c>
      <c r="I1832" s="1" t="d">
        <v>2011-11-29</v>
      </c>
      <c r="J1832" t="s">
        <v>271</v>
      </c>
      <c r="K1832" s="17" t="s">
        <v>71</v>
      </c>
      <c r="L1832">
        <v>5</v>
      </c>
    </row>
    <row r="1833" spans="1:12" x14ac:dyDescent="0.25">
      <c r="A1833" t="s">
        <v>4601</v>
      </c>
      <c r="B1833" t="s">
        <v>718</v>
      </c>
      <c r="C1833" t="s">
        <v>395</v>
      </c>
      <c r="D1833" t="s">
        <v>23</v>
      </c>
      <c r="E1833">
        <v>28</v>
      </c>
      <c r="G1833" t="s">
        <v>55</v>
      </c>
      <c r="H1833">
        <v>50995</v>
      </c>
      <c r="I1833" s="1" t="d">
        <v>2007-10-30</v>
      </c>
      <c r="J1833" t="s">
        <v>856</v>
      </c>
      <c r="K1833" s="17" t="s">
        <v>27</v>
      </c>
      <c r="L1833">
        <v>3</v>
      </c>
    </row>
    <row r="1834" spans="1:12" x14ac:dyDescent="0.25">
      <c r="A1834" t="s">
        <v>4602</v>
      </c>
      <c r="B1834" t="s">
        <v>1181</v>
      </c>
      <c r="C1834" t="s">
        <v>684</v>
      </c>
      <c r="D1834" t="s">
        <v>46</v>
      </c>
      <c r="E1834">
        <v>42</v>
      </c>
      <c r="F1834" t="s">
        <v>186</v>
      </c>
      <c r="G1834" t="s">
        <v>141</v>
      </c>
      <c r="H1834" s="2">
        <v>95563</v>
      </c>
      <c r="I1834" s="1" t="d">
        <v>2022-08-21</v>
      </c>
      <c r="J1834" t="s">
        <v>4603</v>
      </c>
      <c r="K1834" s="17" t="s">
        <v>34</v>
      </c>
      <c r="L1834">
        <v>4</v>
      </c>
    </row>
    <row r="1835" spans="1:12" x14ac:dyDescent="0.25">
      <c r="A1835" t="s">
        <v>4604</v>
      </c>
      <c r="B1835" t="s">
        <v>2272</v>
      </c>
      <c r="C1835" t="s">
        <v>268</v>
      </c>
      <c r="D1835" t="s">
        <v>9527</v>
      </c>
      <c r="E1835">
        <v>42</v>
      </c>
      <c r="F1835" t="s">
        <v>532</v>
      </c>
      <c r="G1835" t="s">
        <v>907</v>
      </c>
      <c r="H1835" t="s">
        <v>4605</v>
      </c>
      <c r="I1835" s="1" t="d">
        <v>2013-12-06</v>
      </c>
      <c r="J1835" t="s">
        <v>3223</v>
      </c>
      <c r="K1835" s="17" t="s">
        <v>27</v>
      </c>
      <c r="L1835">
        <v>3</v>
      </c>
    </row>
    <row r="1836" spans="1:12" x14ac:dyDescent="0.25">
      <c r="A1836" t="s">
        <v>4606</v>
      </c>
      <c r="B1836" t="s">
        <v>3988</v>
      </c>
      <c r="C1836" t="s">
        <v>135</v>
      </c>
      <c r="D1836" t="s">
        <v>9527</v>
      </c>
      <c r="E1836">
        <v>35</v>
      </c>
      <c r="F1836" t="s">
        <v>269</v>
      </c>
      <c r="G1836" t="s">
        <v>115</v>
      </c>
      <c r="H1836" t="s">
        <v>4607</v>
      </c>
      <c r="I1836" s="1" t="d">
        <v>2019-06-13</v>
      </c>
      <c r="J1836" t="s">
        <v>4608</v>
      </c>
      <c r="K1836" s="17" t="s">
        <v>34</v>
      </c>
      <c r="L1836">
        <v>4</v>
      </c>
    </row>
    <row r="1837" spans="1:12" x14ac:dyDescent="0.25">
      <c r="A1837" t="s">
        <v>4609</v>
      </c>
      <c r="B1837" t="s">
        <v>180</v>
      </c>
      <c r="C1837" t="s">
        <v>268</v>
      </c>
      <c r="D1837" t="s">
        <v>23</v>
      </c>
      <c r="E1837">
        <v>35</v>
      </c>
      <c r="F1837" t="s">
        <v>122</v>
      </c>
      <c r="G1837" t="s">
        <v>39</v>
      </c>
      <c r="H1837" t="s">
        <v>4610</v>
      </c>
      <c r="I1837" s="1" t="d">
        <v>2009-01-24</v>
      </c>
      <c r="J1837" t="s">
        <v>4611</v>
      </c>
      <c r="K1837" s="17" t="s">
        <v>34</v>
      </c>
      <c r="L1837">
        <v>3</v>
      </c>
    </row>
    <row r="1838" spans="1:12" x14ac:dyDescent="0.25">
      <c r="A1838" t="s">
        <v>4612</v>
      </c>
      <c r="B1838" t="s">
        <v>2147</v>
      </c>
      <c r="C1838" t="s">
        <v>751</v>
      </c>
      <c r="D1838" t="s">
        <v>46</v>
      </c>
      <c r="E1838">
        <v>33</v>
      </c>
      <c r="F1838" t="s">
        <v>2065</v>
      </c>
      <c r="G1838" t="s">
        <v>407</v>
      </c>
      <c r="H1838">
        <v>197189</v>
      </c>
      <c r="I1838" s="1" t="d">
        <v>2006-02-01</v>
      </c>
      <c r="J1838" t="s">
        <v>4613</v>
      </c>
      <c r="K1838" s="17" t="s">
        <v>34</v>
      </c>
      <c r="L1838">
        <v>3</v>
      </c>
    </row>
    <row r="1839" spans="1:12" x14ac:dyDescent="0.25">
      <c r="A1839" t="s">
        <v>3590</v>
      </c>
      <c r="B1839" t="s">
        <v>21</v>
      </c>
      <c r="C1839" t="s">
        <v>747</v>
      </c>
      <c r="D1839" t="s">
        <v>9527</v>
      </c>
      <c r="E1839">
        <v>21</v>
      </c>
      <c r="F1839" t="s">
        <v>350</v>
      </c>
      <c r="G1839" t="s">
        <v>387</v>
      </c>
      <c r="H1839" t="s">
        <v>3591</v>
      </c>
      <c r="I1839" s="1" t="d">
        <v>2023-03-10</v>
      </c>
      <c r="J1839" t="s">
        <v>1089</v>
      </c>
      <c r="K1839" s="17" t="s">
        <v>100</v>
      </c>
      <c r="L1839">
        <v>4</v>
      </c>
    </row>
    <row r="1840" spans="1:12" x14ac:dyDescent="0.25">
      <c r="A1840" t="s">
        <v>4614</v>
      </c>
      <c r="B1840" t="s">
        <v>4615</v>
      </c>
      <c r="C1840" t="s">
        <v>618</v>
      </c>
      <c r="D1840" t="s">
        <v>9527</v>
      </c>
      <c r="E1840">
        <v>37</v>
      </c>
      <c r="F1840" t="s">
        <v>2065</v>
      </c>
      <c r="G1840" t="s">
        <v>115</v>
      </c>
      <c r="H1840">
        <v>102260</v>
      </c>
      <c r="I1840" s="1" t="d">
        <v>2019-03-21</v>
      </c>
      <c r="J1840" t="s">
        <v>642</v>
      </c>
      <c r="K1840" s="17" t="s">
        <v>184</v>
      </c>
      <c r="L1840">
        <v>2</v>
      </c>
    </row>
    <row r="1841" spans="1:12" x14ac:dyDescent="0.25">
      <c r="A1841" t="s">
        <v>4616</v>
      </c>
      <c r="B1841" t="s">
        <v>652</v>
      </c>
      <c r="C1841" t="s">
        <v>747</v>
      </c>
      <c r="D1841" t="s">
        <v>9527</v>
      </c>
      <c r="E1841">
        <v>38</v>
      </c>
      <c r="F1841" t="s">
        <v>645</v>
      </c>
      <c r="G1841" t="s">
        <v>115</v>
      </c>
      <c r="H1841" t="s">
        <v>4617</v>
      </c>
      <c r="I1841" s="1" t="d">
        <v>2021-01-09</v>
      </c>
      <c r="J1841" t="s">
        <v>1566</v>
      </c>
      <c r="K1841" s="17" t="s">
        <v>90</v>
      </c>
      <c r="L1841">
        <v>4</v>
      </c>
    </row>
    <row r="1842" spans="1:12" x14ac:dyDescent="0.25">
      <c r="A1842" t="s">
        <v>4618</v>
      </c>
      <c r="B1842" t="s">
        <v>2431</v>
      </c>
      <c r="C1842" t="s">
        <v>2428</v>
      </c>
      <c r="D1842" t="s">
        <v>46</v>
      </c>
      <c r="E1842">
        <v>58</v>
      </c>
      <c r="F1842" t="s">
        <v>373</v>
      </c>
      <c r="G1842" t="s">
        <v>39</v>
      </c>
      <c r="I1842" s="1" t="d">
        <v>2008-03-30</v>
      </c>
      <c r="J1842" t="s">
        <v>2208</v>
      </c>
      <c r="K1842" s="17" t="s">
        <v>50</v>
      </c>
      <c r="L1842">
        <v>2</v>
      </c>
    </row>
    <row r="1843" spans="1:12" x14ac:dyDescent="0.25">
      <c r="A1843" t="s">
        <v>4619</v>
      </c>
      <c r="B1843" t="s">
        <v>2095</v>
      </c>
      <c r="C1843" t="s">
        <v>508</v>
      </c>
      <c r="D1843" t="s">
        <v>46</v>
      </c>
      <c r="E1843">
        <v>34</v>
      </c>
      <c r="F1843" t="s">
        <v>759</v>
      </c>
      <c r="G1843" t="s">
        <v>191</v>
      </c>
      <c r="H1843">
        <v>48304</v>
      </c>
      <c r="I1843" s="1" t="d">
        <v>2005-06-01</v>
      </c>
      <c r="J1843" t="s">
        <v>3028</v>
      </c>
      <c r="K1843" s="17" t="s">
        <v>207</v>
      </c>
      <c r="L1843">
        <v>3</v>
      </c>
    </row>
    <row r="1844" spans="1:12" x14ac:dyDescent="0.25">
      <c r="A1844" t="s">
        <v>4620</v>
      </c>
      <c r="B1844" t="s">
        <v>1336</v>
      </c>
      <c r="C1844" t="s">
        <v>1881</v>
      </c>
      <c r="D1844" t="s">
        <v>9527</v>
      </c>
      <c r="E1844">
        <v>37</v>
      </c>
      <c r="F1844" t="s">
        <v>190</v>
      </c>
      <c r="G1844" t="s">
        <v>82</v>
      </c>
      <c r="H1844" s="2">
        <v>46465</v>
      </c>
      <c r="I1844" s="1" t="d">
        <v>2017-06-16</v>
      </c>
      <c r="J1844" t="s">
        <v>155</v>
      </c>
      <c r="K1844" s="17" t="s">
        <v>149</v>
      </c>
      <c r="L1844">
        <v>4</v>
      </c>
    </row>
    <row r="1845" spans="1:12" x14ac:dyDescent="0.25">
      <c r="A1845" t="s">
        <v>4621</v>
      </c>
      <c r="B1845" t="s">
        <v>410</v>
      </c>
      <c r="C1845" t="s">
        <v>189</v>
      </c>
      <c r="D1845" t="s">
        <v>46</v>
      </c>
      <c r="E1845">
        <v>59</v>
      </c>
      <c r="F1845" t="s">
        <v>126</v>
      </c>
      <c r="G1845" t="s">
        <v>39</v>
      </c>
      <c r="H1845" s="2">
        <v>69968</v>
      </c>
      <c r="I1845" s="1" t="d">
        <v>2008-06-26</v>
      </c>
      <c r="J1845" t="s">
        <v>2735</v>
      </c>
      <c r="K1845" s="17" t="s">
        <v>100</v>
      </c>
      <c r="L1845">
        <v>5</v>
      </c>
    </row>
    <row r="1846" spans="1:12" x14ac:dyDescent="0.25">
      <c r="A1846" t="s">
        <v>4622</v>
      </c>
      <c r="B1846" t="s">
        <v>2147</v>
      </c>
      <c r="C1846" t="s">
        <v>449</v>
      </c>
      <c r="D1846" t="s">
        <v>46</v>
      </c>
      <c r="E1846">
        <v>39</v>
      </c>
      <c r="G1846" t="s">
        <v>88</v>
      </c>
      <c r="H1846" t="s">
        <v>4623</v>
      </c>
      <c r="I1846" s="1" t="d">
        <v>2009-07-23</v>
      </c>
      <c r="J1846" t="s">
        <v>2980</v>
      </c>
      <c r="K1846" s="17" t="s">
        <v>184</v>
      </c>
      <c r="L1846">
        <v>4</v>
      </c>
    </row>
    <row r="1847" spans="1:12" x14ac:dyDescent="0.25">
      <c r="A1847" t="s">
        <v>4624</v>
      </c>
      <c r="B1847" t="s">
        <v>709</v>
      </c>
      <c r="C1847" t="s">
        <v>624</v>
      </c>
      <c r="D1847" t="s">
        <v>46</v>
      </c>
      <c r="E1847">
        <v>45</v>
      </c>
      <c r="F1847" t="s">
        <v>216</v>
      </c>
      <c r="G1847" t="s">
        <v>69</v>
      </c>
      <c r="I1847" s="1" t="d">
        <v>2024-11-05</v>
      </c>
      <c r="J1847" t="s">
        <v>839</v>
      </c>
      <c r="K1847" s="17" t="s">
        <v>50</v>
      </c>
      <c r="L1847">
        <v>3</v>
      </c>
    </row>
    <row r="1848" spans="1:12" x14ac:dyDescent="0.25">
      <c r="A1848" t="s">
        <v>4625</v>
      </c>
      <c r="B1848" t="s">
        <v>79</v>
      </c>
      <c r="C1848" t="s">
        <v>766</v>
      </c>
      <c r="D1848" t="s">
        <v>9527</v>
      </c>
      <c r="E1848">
        <v>39</v>
      </c>
      <c r="F1848" t="s">
        <v>108</v>
      </c>
      <c r="G1848" t="s">
        <v>351</v>
      </c>
      <c r="H1848" t="s">
        <v>4626</v>
      </c>
      <c r="I1848" s="1" t="d">
        <v>2024-01-10</v>
      </c>
      <c r="J1848" t="s">
        <v>4627</v>
      </c>
      <c r="K1848" s="17" t="s">
        <v>19</v>
      </c>
      <c r="L1848">
        <v>4</v>
      </c>
    </row>
    <row r="1849" spans="1:12" x14ac:dyDescent="0.25">
      <c r="A1849" t="s">
        <v>4628</v>
      </c>
      <c r="B1849" t="s">
        <v>769</v>
      </c>
      <c r="C1849" t="s">
        <v>3849</v>
      </c>
      <c r="D1849" t="s">
        <v>46</v>
      </c>
      <c r="E1849">
        <v>49</v>
      </c>
      <c r="G1849" t="s">
        <v>127</v>
      </c>
      <c r="H1849" s="2">
        <v>60984</v>
      </c>
      <c r="I1849" s="1" t="d">
        <v>2007-09-21</v>
      </c>
      <c r="J1849" t="s">
        <v>771</v>
      </c>
      <c r="K1849" s="17" t="s">
        <v>207</v>
      </c>
      <c r="L1849">
        <v>3</v>
      </c>
    </row>
    <row r="1850" spans="1:12" x14ac:dyDescent="0.25">
      <c r="A1850" t="s">
        <v>4629</v>
      </c>
      <c r="B1850" t="s">
        <v>130</v>
      </c>
      <c r="C1850" t="s">
        <v>2242</v>
      </c>
      <c r="D1850" t="s">
        <v>23</v>
      </c>
      <c r="E1850">
        <v>41</v>
      </c>
      <c r="F1850" t="s">
        <v>645</v>
      </c>
      <c r="G1850" t="s">
        <v>170</v>
      </c>
      <c r="H1850" s="2">
        <v>38233</v>
      </c>
      <c r="I1850" s="1" t="d">
        <v>2008-09-25</v>
      </c>
      <c r="J1850" t="s">
        <v>3842</v>
      </c>
      <c r="K1850" s="17" t="s">
        <v>207</v>
      </c>
      <c r="L1850">
        <v>4</v>
      </c>
    </row>
    <row r="1851" spans="1:12" x14ac:dyDescent="0.25">
      <c r="A1851" t="s">
        <v>4630</v>
      </c>
      <c r="B1851" t="s">
        <v>4631</v>
      </c>
      <c r="C1851" t="s">
        <v>1442</v>
      </c>
      <c r="D1851" t="s">
        <v>46</v>
      </c>
      <c r="E1851">
        <v>54</v>
      </c>
      <c r="F1851" t="s">
        <v>31</v>
      </c>
      <c r="G1851" t="s">
        <v>182</v>
      </c>
      <c r="H1851" t="s">
        <v>4632</v>
      </c>
      <c r="J1851" t="s">
        <v>2795</v>
      </c>
      <c r="K1851" s="17" t="s">
        <v>71</v>
      </c>
      <c r="L1851">
        <v>3</v>
      </c>
    </row>
    <row r="1852" spans="1:12" x14ac:dyDescent="0.25">
      <c r="A1852" t="s">
        <v>4633</v>
      </c>
      <c r="B1852" t="s">
        <v>659</v>
      </c>
      <c r="C1852" t="s">
        <v>93</v>
      </c>
      <c r="D1852" t="s">
        <v>46</v>
      </c>
      <c r="E1852">
        <v>28</v>
      </c>
      <c r="F1852" t="s">
        <v>319</v>
      </c>
      <c r="G1852" t="s">
        <v>55</v>
      </c>
      <c r="H1852" t="s">
        <v>4634</v>
      </c>
      <c r="J1852" t="s">
        <v>4635</v>
      </c>
      <c r="K1852" s="17" t="s">
        <v>19</v>
      </c>
      <c r="L1852">
        <v>2</v>
      </c>
    </row>
    <row r="1853" spans="1:12" x14ac:dyDescent="0.25">
      <c r="A1853" t="s">
        <v>4636</v>
      </c>
      <c r="B1853" t="s">
        <v>1301</v>
      </c>
      <c r="C1853" t="s">
        <v>1030</v>
      </c>
      <c r="D1853" t="s">
        <v>23</v>
      </c>
      <c r="E1853">
        <v>34</v>
      </c>
      <c r="F1853" t="s">
        <v>153</v>
      </c>
      <c r="G1853" t="s">
        <v>458</v>
      </c>
      <c r="H1853">
        <v>92882</v>
      </c>
      <c r="I1853" s="1" t="d">
        <v>2011-05-25</v>
      </c>
      <c r="J1853" t="s">
        <v>2924</v>
      </c>
      <c r="K1853" s="17" t="s">
        <v>58</v>
      </c>
      <c r="L1853">
        <v>4</v>
      </c>
    </row>
    <row r="1854" spans="1:12" x14ac:dyDescent="0.25">
      <c r="A1854" t="s">
        <v>4637</v>
      </c>
      <c r="B1854" t="s">
        <v>3743</v>
      </c>
      <c r="C1854" t="s">
        <v>361</v>
      </c>
      <c r="D1854" t="s">
        <v>46</v>
      </c>
      <c r="E1854">
        <v>34</v>
      </c>
      <c r="F1854" t="s">
        <v>4638</v>
      </c>
      <c r="G1854" t="s">
        <v>39</v>
      </c>
      <c r="H1854" t="s">
        <v>4639</v>
      </c>
      <c r="I1854" s="1" t="d">
        <v>2014-07-25</v>
      </c>
      <c r="J1854" t="s">
        <v>4430</v>
      </c>
      <c r="K1854" s="17" t="s">
        <v>184</v>
      </c>
      <c r="L1854">
        <v>3</v>
      </c>
    </row>
    <row r="1855" spans="1:12" x14ac:dyDescent="0.25">
      <c r="A1855" t="s">
        <v>4640</v>
      </c>
      <c r="B1855" t="s">
        <v>833</v>
      </c>
      <c r="C1855" t="s">
        <v>1657</v>
      </c>
      <c r="D1855" t="s">
        <v>46</v>
      </c>
      <c r="E1855">
        <v>47</v>
      </c>
      <c r="F1855" t="s">
        <v>75</v>
      </c>
      <c r="G1855" t="s">
        <v>32</v>
      </c>
      <c r="H1855">
        <v>60921</v>
      </c>
      <c r="I1855" s="1" t="d">
        <v>2011-12-01</v>
      </c>
      <c r="J1855" t="s">
        <v>279</v>
      </c>
      <c r="K1855" s="17" t="s">
        <v>27</v>
      </c>
      <c r="L1855">
        <v>3</v>
      </c>
    </row>
    <row r="1856" spans="1:12" x14ac:dyDescent="0.25">
      <c r="A1856" t="s">
        <v>4641</v>
      </c>
      <c r="B1856" t="s">
        <v>874</v>
      </c>
      <c r="C1856" t="s">
        <v>758</v>
      </c>
      <c r="D1856" t="s">
        <v>23</v>
      </c>
      <c r="E1856">
        <v>35</v>
      </c>
      <c r="F1856" t="s">
        <v>406</v>
      </c>
      <c r="G1856" t="s">
        <v>967</v>
      </c>
      <c r="H1856" t="s">
        <v>4642</v>
      </c>
      <c r="I1856" s="1" t="d">
        <v>2023-10-30</v>
      </c>
      <c r="J1856" t="s">
        <v>4643</v>
      </c>
      <c r="K1856" s="17" t="s">
        <v>184</v>
      </c>
      <c r="L1856">
        <v>2</v>
      </c>
    </row>
    <row r="1857" spans="1:12" x14ac:dyDescent="0.25">
      <c r="A1857" t="s">
        <v>4644</v>
      </c>
      <c r="B1857" t="s">
        <v>993</v>
      </c>
      <c r="C1857" t="s">
        <v>858</v>
      </c>
      <c r="D1857" t="s">
        <v>9527</v>
      </c>
      <c r="E1857">
        <v>44</v>
      </c>
      <c r="F1857" t="s">
        <v>196</v>
      </c>
      <c r="G1857" t="s">
        <v>351</v>
      </c>
      <c r="H1857" t="s">
        <v>4645</v>
      </c>
      <c r="I1857" s="1" t="d">
        <v>2008-09-25</v>
      </c>
      <c r="J1857" t="s">
        <v>3582</v>
      </c>
      <c r="K1857" s="17" t="s">
        <v>27</v>
      </c>
      <c r="L1857">
        <v>3</v>
      </c>
    </row>
    <row r="1858" spans="1:12" x14ac:dyDescent="0.25">
      <c r="A1858" t="s">
        <v>4646</v>
      </c>
      <c r="B1858" t="s">
        <v>1172</v>
      </c>
      <c r="C1858" t="s">
        <v>215</v>
      </c>
      <c r="D1858" t="s">
        <v>9527</v>
      </c>
      <c r="E1858">
        <v>22</v>
      </c>
      <c r="F1858" t="s">
        <v>3864</v>
      </c>
      <c r="G1858" t="s">
        <v>32</v>
      </c>
      <c r="H1858">
        <v>77742</v>
      </c>
      <c r="I1858" s="1" t="d">
        <v>2014-10-24</v>
      </c>
      <c r="J1858" t="s">
        <v>1225</v>
      </c>
      <c r="K1858" s="17" t="s">
        <v>27</v>
      </c>
      <c r="L1858">
        <v>5</v>
      </c>
    </row>
    <row r="1859" spans="1:12" x14ac:dyDescent="0.25">
      <c r="A1859" t="s">
        <v>4647</v>
      </c>
      <c r="B1859" t="s">
        <v>833</v>
      </c>
      <c r="C1859" t="s">
        <v>540</v>
      </c>
      <c r="D1859" t="s">
        <v>9527</v>
      </c>
      <c r="E1859">
        <v>52</v>
      </c>
      <c r="F1859" t="s">
        <v>2065</v>
      </c>
      <c r="G1859" t="s">
        <v>500</v>
      </c>
      <c r="H1859">
        <v>104009</v>
      </c>
      <c r="I1859" s="1" t="d">
        <v>2013-11-23</v>
      </c>
      <c r="J1859" t="s">
        <v>4648</v>
      </c>
      <c r="K1859" s="17" t="s">
        <v>184</v>
      </c>
      <c r="L1859">
        <v>4</v>
      </c>
    </row>
    <row r="1860" spans="1:12" x14ac:dyDescent="0.25">
      <c r="A1860" t="s">
        <v>4649</v>
      </c>
      <c r="B1860" t="s">
        <v>92</v>
      </c>
      <c r="C1860" t="s">
        <v>349</v>
      </c>
      <c r="D1860" t="s">
        <v>9527</v>
      </c>
      <c r="E1860">
        <v>51</v>
      </c>
      <c r="F1860" t="s">
        <v>1116</v>
      </c>
      <c r="G1860" t="s">
        <v>39</v>
      </c>
      <c r="H1860" s="2">
        <v>68933</v>
      </c>
      <c r="I1860" s="1" t="d">
        <v>2017-11-19</v>
      </c>
      <c r="J1860" t="s">
        <v>4650</v>
      </c>
      <c r="K1860" s="17" t="s">
        <v>118</v>
      </c>
      <c r="L1860">
        <v>5</v>
      </c>
    </row>
    <row r="1861" spans="1:12" x14ac:dyDescent="0.25">
      <c r="A1861" t="s">
        <v>4651</v>
      </c>
      <c r="B1861" t="s">
        <v>1738</v>
      </c>
      <c r="C1861" t="s">
        <v>453</v>
      </c>
      <c r="D1861" t="s">
        <v>46</v>
      </c>
      <c r="E1861">
        <v>29</v>
      </c>
      <c r="F1861" t="s">
        <v>559</v>
      </c>
      <c r="G1861" t="s">
        <v>1206</v>
      </c>
      <c r="H1861">
        <v>164592</v>
      </c>
      <c r="I1861" s="1" t="d">
        <v>2023-10-30</v>
      </c>
      <c r="J1861" t="s">
        <v>4652</v>
      </c>
      <c r="K1861" s="17" t="s">
        <v>34</v>
      </c>
      <c r="L1861">
        <v>3</v>
      </c>
    </row>
    <row r="1862" spans="1:12" x14ac:dyDescent="0.25">
      <c r="A1862" t="s">
        <v>4653</v>
      </c>
      <c r="B1862" t="s">
        <v>808</v>
      </c>
      <c r="C1862" t="s">
        <v>457</v>
      </c>
      <c r="D1862" t="s">
        <v>9527</v>
      </c>
      <c r="E1862">
        <v>21</v>
      </c>
      <c r="F1862" t="s">
        <v>319</v>
      </c>
      <c r="G1862" t="s">
        <v>82</v>
      </c>
      <c r="H1862" t="s">
        <v>962</v>
      </c>
      <c r="J1862" t="s">
        <v>3261</v>
      </c>
      <c r="K1862" s="17" t="s">
        <v>19</v>
      </c>
      <c r="L1862">
        <v>4</v>
      </c>
    </row>
    <row r="1863" spans="1:12" x14ac:dyDescent="0.25">
      <c r="A1863" t="s">
        <v>4654</v>
      </c>
      <c r="B1863" t="s">
        <v>376</v>
      </c>
      <c r="C1863" t="s">
        <v>4655</v>
      </c>
      <c r="D1863" t="s">
        <v>46</v>
      </c>
      <c r="E1863">
        <v>31</v>
      </c>
      <c r="F1863" t="s">
        <v>918</v>
      </c>
      <c r="G1863" t="s">
        <v>2575</v>
      </c>
      <c r="H1863" t="s">
        <v>4656</v>
      </c>
      <c r="I1863" s="1" t="d">
        <v>2006-04-01</v>
      </c>
      <c r="J1863" t="s">
        <v>4009</v>
      </c>
      <c r="K1863" s="17" t="s">
        <v>370</v>
      </c>
      <c r="L1863">
        <v>3</v>
      </c>
    </row>
    <row r="1864" spans="1:12" x14ac:dyDescent="0.25">
      <c r="A1864" t="s">
        <v>4657</v>
      </c>
      <c r="B1864" t="s">
        <v>86</v>
      </c>
      <c r="C1864" t="s">
        <v>1320</v>
      </c>
      <c r="D1864" t="s">
        <v>9527</v>
      </c>
      <c r="E1864">
        <v>24</v>
      </c>
      <c r="F1864" t="s">
        <v>576</v>
      </c>
      <c r="G1864" t="s">
        <v>351</v>
      </c>
      <c r="H1864" t="s">
        <v>4658</v>
      </c>
      <c r="I1864" s="1" t="d">
        <v>2005-09-07</v>
      </c>
      <c r="J1864" t="s">
        <v>592</v>
      </c>
      <c r="K1864" s="17" t="s">
        <v>27</v>
      </c>
      <c r="L1864">
        <v>4</v>
      </c>
    </row>
    <row r="1865" spans="1:12" x14ac:dyDescent="0.25">
      <c r="A1865" t="s">
        <v>4659</v>
      </c>
      <c r="B1865" t="s">
        <v>323</v>
      </c>
      <c r="C1865" t="s">
        <v>2023</v>
      </c>
      <c r="D1865" t="s">
        <v>46</v>
      </c>
      <c r="E1865">
        <v>37</v>
      </c>
      <c r="F1865" t="s">
        <v>211</v>
      </c>
      <c r="G1865" t="s">
        <v>48</v>
      </c>
      <c r="H1865">
        <v>54593</v>
      </c>
      <c r="I1865" s="1" t="d">
        <v>2017-02-17</v>
      </c>
      <c r="J1865" t="s">
        <v>4660</v>
      </c>
      <c r="K1865" s="17" t="s">
        <v>184</v>
      </c>
      <c r="L1865">
        <v>3</v>
      </c>
    </row>
    <row r="1866" spans="1:12" x14ac:dyDescent="0.25">
      <c r="A1866" t="s">
        <v>4661</v>
      </c>
      <c r="B1866" t="s">
        <v>1124</v>
      </c>
      <c r="C1866" t="s">
        <v>1377</v>
      </c>
      <c r="D1866" t="s">
        <v>9527</v>
      </c>
      <c r="E1866">
        <v>53</v>
      </c>
      <c r="F1866" t="s">
        <v>200</v>
      </c>
      <c r="G1866" t="s">
        <v>39</v>
      </c>
      <c r="H1866" s="2">
        <v>91493</v>
      </c>
      <c r="I1866" s="1" t="d">
        <v>2009-06-15</v>
      </c>
      <c r="J1866" t="s">
        <v>3825</v>
      </c>
      <c r="K1866" s="17" t="s">
        <v>19</v>
      </c>
      <c r="L1866">
        <v>4</v>
      </c>
    </row>
    <row r="1867" spans="1:12" x14ac:dyDescent="0.25">
      <c r="A1867" t="s">
        <v>4662</v>
      </c>
      <c r="B1867" t="s">
        <v>1172</v>
      </c>
      <c r="C1867" t="s">
        <v>715</v>
      </c>
      <c r="D1867" t="s">
        <v>23</v>
      </c>
      <c r="E1867">
        <v>40</v>
      </c>
      <c r="F1867" t="s">
        <v>81</v>
      </c>
      <c r="G1867" t="s">
        <v>1645</v>
      </c>
      <c r="H1867" t="s">
        <v>240</v>
      </c>
      <c r="I1867" s="1" t="d">
        <v>2010-10-29</v>
      </c>
      <c r="J1867" t="s">
        <v>1108</v>
      </c>
      <c r="K1867" s="17" t="s">
        <v>207</v>
      </c>
      <c r="L1867">
        <v>3</v>
      </c>
    </row>
    <row r="1868" spans="1:12" x14ac:dyDescent="0.25">
      <c r="A1868" t="s">
        <v>4663</v>
      </c>
      <c r="B1868" t="s">
        <v>426</v>
      </c>
      <c r="C1868" t="s">
        <v>1520</v>
      </c>
      <c r="D1868" t="s">
        <v>46</v>
      </c>
      <c r="E1868">
        <v>52</v>
      </c>
      <c r="F1868" t="s">
        <v>253</v>
      </c>
      <c r="G1868" t="s">
        <v>55</v>
      </c>
      <c r="H1868" t="s">
        <v>4664</v>
      </c>
      <c r="I1868" s="1" t="d">
        <v>2021-02-17</v>
      </c>
      <c r="J1868" t="s">
        <v>206</v>
      </c>
      <c r="K1868" s="17" t="s">
        <v>50</v>
      </c>
      <c r="L1868">
        <v>4</v>
      </c>
    </row>
    <row r="1869" spans="1:12" x14ac:dyDescent="0.25">
      <c r="A1869" t="s">
        <v>4665</v>
      </c>
      <c r="B1869" t="s">
        <v>323</v>
      </c>
      <c r="C1869" t="s">
        <v>318</v>
      </c>
      <c r="D1869" t="s">
        <v>46</v>
      </c>
      <c r="E1869">
        <v>28</v>
      </c>
      <c r="F1869" t="s">
        <v>522</v>
      </c>
      <c r="G1869" t="s">
        <v>870</v>
      </c>
      <c r="H1869" t="s">
        <v>4666</v>
      </c>
      <c r="I1869" s="1" t="d">
        <v>2007-04-04</v>
      </c>
      <c r="J1869" t="s">
        <v>2792</v>
      </c>
      <c r="K1869" s="17" t="s">
        <v>149</v>
      </c>
      <c r="L1869">
        <v>3</v>
      </c>
    </row>
    <row r="1870" spans="1:12" x14ac:dyDescent="0.25">
      <c r="A1870" t="s">
        <v>4667</v>
      </c>
      <c r="B1870" t="s">
        <v>139</v>
      </c>
      <c r="C1870" t="s">
        <v>1859</v>
      </c>
      <c r="D1870" t="s">
        <v>9527</v>
      </c>
      <c r="E1870">
        <v>54</v>
      </c>
      <c r="F1870" t="s">
        <v>211</v>
      </c>
      <c r="G1870" t="s">
        <v>1719</v>
      </c>
      <c r="H1870" t="s">
        <v>4668</v>
      </c>
      <c r="I1870" s="1" t="d">
        <v>2005-10-17</v>
      </c>
      <c r="J1870" t="s">
        <v>1835</v>
      </c>
      <c r="K1870" s="17" t="s">
        <v>207</v>
      </c>
      <c r="L1870">
        <v>3</v>
      </c>
    </row>
    <row r="1871" spans="1:12" x14ac:dyDescent="0.25">
      <c r="A1871" t="s">
        <v>4669</v>
      </c>
      <c r="B1871" t="s">
        <v>571</v>
      </c>
      <c r="C1871" t="s">
        <v>1146</v>
      </c>
      <c r="D1871" t="s">
        <v>46</v>
      </c>
      <c r="E1871">
        <v>32</v>
      </c>
      <c r="F1871" t="s">
        <v>114</v>
      </c>
      <c r="G1871" t="s">
        <v>170</v>
      </c>
      <c r="I1871" s="1" t="d">
        <v>2016-08-31</v>
      </c>
      <c r="J1871" t="s">
        <v>1875</v>
      </c>
      <c r="K1871" s="17" t="s">
        <v>19</v>
      </c>
      <c r="L1871">
        <v>4</v>
      </c>
    </row>
    <row r="1872" spans="1:12" x14ac:dyDescent="0.25">
      <c r="A1872" t="s">
        <v>4670</v>
      </c>
      <c r="B1872" t="s">
        <v>3186</v>
      </c>
      <c r="C1872" t="s">
        <v>291</v>
      </c>
      <c r="D1872" t="s">
        <v>23</v>
      </c>
      <c r="E1872">
        <v>44</v>
      </c>
      <c r="F1872" t="s">
        <v>589</v>
      </c>
      <c r="G1872" t="s">
        <v>1277</v>
      </c>
      <c r="H1872">
        <v>49613</v>
      </c>
      <c r="I1872" s="1" t="d">
        <v>2019-04-02</v>
      </c>
      <c r="J1872" t="s">
        <v>2073</v>
      </c>
      <c r="K1872" s="17" t="s">
        <v>118</v>
      </c>
      <c r="L1872">
        <v>5</v>
      </c>
    </row>
    <row r="1873" spans="1:12" x14ac:dyDescent="0.25">
      <c r="A1873" t="s">
        <v>4671</v>
      </c>
      <c r="B1873" t="s">
        <v>1644</v>
      </c>
      <c r="C1873" t="s">
        <v>74</v>
      </c>
      <c r="D1873" t="s">
        <v>9527</v>
      </c>
      <c r="E1873">
        <v>23</v>
      </c>
      <c r="F1873" t="s">
        <v>649</v>
      </c>
      <c r="G1873" t="s">
        <v>16</v>
      </c>
      <c r="H1873" t="s">
        <v>4672</v>
      </c>
      <c r="I1873" s="1" t="d">
        <v>2022-10-01</v>
      </c>
      <c r="J1873" t="s">
        <v>4673</v>
      </c>
      <c r="K1873" s="17" t="s">
        <v>100</v>
      </c>
      <c r="L1873">
        <v>4</v>
      </c>
    </row>
    <row r="1874" spans="1:12" x14ac:dyDescent="0.25">
      <c r="A1874" t="s">
        <v>4674</v>
      </c>
      <c r="B1874" t="s">
        <v>162</v>
      </c>
      <c r="C1874" t="s">
        <v>204</v>
      </c>
      <c r="D1874" t="s">
        <v>9527</v>
      </c>
      <c r="E1874">
        <v>36</v>
      </c>
      <c r="F1874" t="s">
        <v>576</v>
      </c>
      <c r="G1874" t="s">
        <v>170</v>
      </c>
      <c r="I1874" s="1" t="d">
        <v>2022-09-04</v>
      </c>
      <c r="J1874" t="s">
        <v>1507</v>
      </c>
      <c r="K1874" s="17" t="s">
        <v>184</v>
      </c>
      <c r="L1874">
        <v>5</v>
      </c>
    </row>
    <row r="1875" spans="1:12" x14ac:dyDescent="0.25">
      <c r="A1875" t="s">
        <v>4675</v>
      </c>
      <c r="B1875" t="s">
        <v>507</v>
      </c>
      <c r="C1875" t="s">
        <v>624</v>
      </c>
      <c r="D1875" t="s">
        <v>46</v>
      </c>
      <c r="E1875">
        <v>31</v>
      </c>
      <c r="F1875" t="s">
        <v>559</v>
      </c>
      <c r="G1875" t="s">
        <v>82</v>
      </c>
      <c r="H1875">
        <v>94241</v>
      </c>
      <c r="I1875" s="1" t="d">
        <v>2007-05-13</v>
      </c>
      <c r="J1875" t="s">
        <v>4676</v>
      </c>
      <c r="K1875" s="17" t="s">
        <v>50</v>
      </c>
      <c r="L1875">
        <v>3</v>
      </c>
    </row>
    <row r="1876" spans="1:12" x14ac:dyDescent="0.25">
      <c r="A1876" t="s">
        <v>2633</v>
      </c>
      <c r="B1876" t="s">
        <v>1154</v>
      </c>
      <c r="C1876" t="s">
        <v>135</v>
      </c>
      <c r="D1876" t="s">
        <v>23</v>
      </c>
      <c r="E1876">
        <v>41</v>
      </c>
      <c r="F1876" t="s">
        <v>31</v>
      </c>
      <c r="G1876" t="s">
        <v>141</v>
      </c>
      <c r="H1876">
        <v>50068</v>
      </c>
      <c r="I1876" s="1" t="d">
        <v>2012-03-06</v>
      </c>
      <c r="J1876" t="s">
        <v>2634</v>
      </c>
      <c r="K1876" s="17" t="s">
        <v>71</v>
      </c>
      <c r="L1876">
        <v>3</v>
      </c>
    </row>
    <row r="1877" spans="1:12" x14ac:dyDescent="0.25">
      <c r="A1877" t="s">
        <v>4677</v>
      </c>
      <c r="B1877" t="s">
        <v>702</v>
      </c>
      <c r="C1877" t="s">
        <v>858</v>
      </c>
      <c r="D1877" t="s">
        <v>9527</v>
      </c>
      <c r="E1877">
        <v>59</v>
      </c>
      <c r="F1877" t="s">
        <v>319</v>
      </c>
      <c r="G1877" t="s">
        <v>39</v>
      </c>
      <c r="I1877" s="1" t="d">
        <v>2011-08-29</v>
      </c>
      <c r="J1877" t="s">
        <v>4678</v>
      </c>
      <c r="K1877" s="17" t="s">
        <v>34</v>
      </c>
      <c r="L1877">
        <v>3</v>
      </c>
    </row>
    <row r="1878" spans="1:12" x14ac:dyDescent="0.25">
      <c r="A1878" t="s">
        <v>4679</v>
      </c>
      <c r="B1878" t="s">
        <v>4235</v>
      </c>
      <c r="C1878" t="s">
        <v>1520</v>
      </c>
      <c r="D1878" t="s">
        <v>23</v>
      </c>
      <c r="E1878">
        <v>55</v>
      </c>
      <c r="F1878" t="s">
        <v>1950</v>
      </c>
      <c r="G1878" t="s">
        <v>3243</v>
      </c>
      <c r="H1878" t="s">
        <v>4680</v>
      </c>
      <c r="I1878" s="1" t="d">
        <v>2021-01-17</v>
      </c>
      <c r="J1878" t="s">
        <v>226</v>
      </c>
      <c r="K1878" s="17" t="s">
        <v>19</v>
      </c>
      <c r="L1878">
        <v>3</v>
      </c>
    </row>
    <row r="1879" spans="1:12" x14ac:dyDescent="0.25">
      <c r="A1879" t="s">
        <v>2339</v>
      </c>
      <c r="B1879" t="s">
        <v>180</v>
      </c>
      <c r="C1879" t="s">
        <v>336</v>
      </c>
      <c r="D1879" t="s">
        <v>23</v>
      </c>
      <c r="E1879">
        <v>55</v>
      </c>
      <c r="F1879" t="s">
        <v>645</v>
      </c>
      <c r="G1879" t="s">
        <v>55</v>
      </c>
      <c r="H1879">
        <v>41701</v>
      </c>
      <c r="I1879" s="1" t="d">
        <v>2014-10-27</v>
      </c>
      <c r="J1879" t="s">
        <v>2340</v>
      </c>
      <c r="K1879" s="17" t="s">
        <v>100</v>
      </c>
      <c r="L1879">
        <v>3</v>
      </c>
    </row>
    <row r="1880" spans="1:12" x14ac:dyDescent="0.25">
      <c r="A1880" t="s">
        <v>4681</v>
      </c>
      <c r="B1880" t="s">
        <v>862</v>
      </c>
      <c r="C1880" t="s">
        <v>869</v>
      </c>
      <c r="D1880" t="s">
        <v>9527</v>
      </c>
      <c r="E1880">
        <v>38</v>
      </c>
      <c r="F1880" t="s">
        <v>559</v>
      </c>
      <c r="G1880" t="s">
        <v>191</v>
      </c>
      <c r="I1880" s="1" t="d">
        <v>2009-05-31</v>
      </c>
      <c r="J1880" t="s">
        <v>3177</v>
      </c>
      <c r="K1880" s="17" t="s">
        <v>27</v>
      </c>
      <c r="L1880">
        <v>3</v>
      </c>
    </row>
    <row r="1881" spans="1:12" x14ac:dyDescent="0.25">
      <c r="A1881" t="s">
        <v>4682</v>
      </c>
      <c r="B1881" t="s">
        <v>162</v>
      </c>
      <c r="C1881" t="s">
        <v>830</v>
      </c>
      <c r="D1881" t="s">
        <v>23</v>
      </c>
      <c r="E1881">
        <v>35</v>
      </c>
      <c r="G1881" t="s">
        <v>141</v>
      </c>
      <c r="H1881" s="2">
        <v>97116</v>
      </c>
      <c r="I1881" s="1" t="d">
        <v>2015-06-19</v>
      </c>
      <c r="J1881" t="s">
        <v>4683</v>
      </c>
      <c r="K1881" s="17" t="s">
        <v>58</v>
      </c>
      <c r="L1881">
        <v>5</v>
      </c>
    </row>
    <row r="1882" spans="1:12" x14ac:dyDescent="0.25">
      <c r="A1882" t="s">
        <v>4684</v>
      </c>
      <c r="B1882" t="s">
        <v>102</v>
      </c>
      <c r="C1882" t="s">
        <v>516</v>
      </c>
      <c r="D1882" t="s">
        <v>9527</v>
      </c>
      <c r="E1882">
        <v>25</v>
      </c>
      <c r="F1882" t="s">
        <v>47</v>
      </c>
      <c r="G1882" t="s">
        <v>16</v>
      </c>
      <c r="H1882" t="s">
        <v>4685</v>
      </c>
      <c r="I1882" s="1" t="d">
        <v>2010-06-14</v>
      </c>
      <c r="J1882" t="s">
        <v>2615</v>
      </c>
      <c r="K1882" s="17" t="s">
        <v>27</v>
      </c>
      <c r="L1882">
        <v>3</v>
      </c>
    </row>
    <row r="1883" spans="1:12" x14ac:dyDescent="0.25">
      <c r="A1883" t="s">
        <v>4686</v>
      </c>
      <c r="B1883" t="s">
        <v>86</v>
      </c>
      <c r="C1883" t="s">
        <v>684</v>
      </c>
      <c r="D1883" t="s">
        <v>23</v>
      </c>
      <c r="E1883">
        <v>36</v>
      </c>
      <c r="F1883" t="s">
        <v>211</v>
      </c>
      <c r="G1883" t="s">
        <v>170</v>
      </c>
      <c r="H1883" t="s">
        <v>1739</v>
      </c>
      <c r="I1883" s="1" t="d">
        <v>2008-02-18</v>
      </c>
      <c r="J1883" t="s">
        <v>89</v>
      </c>
      <c r="K1883" s="17" t="s">
        <v>27</v>
      </c>
      <c r="L1883">
        <v>2</v>
      </c>
    </row>
    <row r="1884" spans="1:12" x14ac:dyDescent="0.25">
      <c r="A1884" t="s">
        <v>4687</v>
      </c>
      <c r="B1884" t="s">
        <v>773</v>
      </c>
      <c r="C1884" t="s">
        <v>1052</v>
      </c>
      <c r="D1884" t="s">
        <v>9527</v>
      </c>
      <c r="E1884">
        <v>42</v>
      </c>
      <c r="F1884" t="s">
        <v>176</v>
      </c>
      <c r="G1884" t="s">
        <v>55</v>
      </c>
      <c r="H1884">
        <v>55662</v>
      </c>
      <c r="I1884" s="1" t="d">
        <v>2007-09-03</v>
      </c>
      <c r="J1884" t="s">
        <v>776</v>
      </c>
      <c r="K1884" s="17" t="s">
        <v>149</v>
      </c>
      <c r="L1884">
        <v>3</v>
      </c>
    </row>
    <row r="1885" spans="1:12" x14ac:dyDescent="0.25">
      <c r="A1885" t="s">
        <v>4688</v>
      </c>
      <c r="B1885" t="s">
        <v>1190</v>
      </c>
      <c r="C1885" t="s">
        <v>36</v>
      </c>
      <c r="D1885" t="s">
        <v>46</v>
      </c>
      <c r="E1885">
        <v>30</v>
      </c>
      <c r="F1885" t="s">
        <v>4689</v>
      </c>
      <c r="G1885" t="s">
        <v>1329</v>
      </c>
      <c r="H1885" s="2">
        <v>54535</v>
      </c>
      <c r="I1885" s="1" t="d">
        <v>2018-01-30</v>
      </c>
      <c r="J1885" t="s">
        <v>4046</v>
      </c>
      <c r="K1885" s="17" t="s">
        <v>50</v>
      </c>
      <c r="L1885">
        <v>4</v>
      </c>
    </row>
    <row r="1886" spans="1:12" x14ac:dyDescent="0.25">
      <c r="A1886" t="s">
        <v>4690</v>
      </c>
      <c r="B1886" t="s">
        <v>37</v>
      </c>
      <c r="C1886" t="s">
        <v>291</v>
      </c>
      <c r="D1886" t="s">
        <v>23</v>
      </c>
      <c r="E1886">
        <v>32</v>
      </c>
      <c r="F1886" t="s">
        <v>108</v>
      </c>
      <c r="G1886" t="s">
        <v>141</v>
      </c>
      <c r="H1886">
        <v>86069</v>
      </c>
      <c r="J1886" t="s">
        <v>4691</v>
      </c>
      <c r="K1886" s="17" t="s">
        <v>90</v>
      </c>
      <c r="L1886">
        <v>3</v>
      </c>
    </row>
    <row r="1887" spans="1:12" x14ac:dyDescent="0.25">
      <c r="A1887" t="s">
        <v>4692</v>
      </c>
      <c r="B1887" t="s">
        <v>936</v>
      </c>
      <c r="C1887" t="s">
        <v>4693</v>
      </c>
      <c r="D1887" t="s">
        <v>9527</v>
      </c>
      <c r="E1887">
        <v>24</v>
      </c>
      <c r="F1887" t="s">
        <v>200</v>
      </c>
      <c r="G1887" t="s">
        <v>82</v>
      </c>
      <c r="H1887">
        <v>86631</v>
      </c>
      <c r="I1887" s="1" t="d">
        <v>2008-06-27</v>
      </c>
      <c r="J1887" t="s">
        <v>4694</v>
      </c>
      <c r="K1887" s="17" t="s">
        <v>100</v>
      </c>
      <c r="L1887">
        <v>2</v>
      </c>
    </row>
    <row r="1888" spans="1:12" x14ac:dyDescent="0.25">
      <c r="A1888" t="s">
        <v>4695</v>
      </c>
      <c r="B1888" t="s">
        <v>144</v>
      </c>
      <c r="C1888" t="s">
        <v>103</v>
      </c>
      <c r="D1888" t="s">
        <v>9527</v>
      </c>
      <c r="E1888">
        <v>36</v>
      </c>
      <c r="F1888" t="s">
        <v>3978</v>
      </c>
      <c r="G1888" t="s">
        <v>170</v>
      </c>
      <c r="H1888">
        <v>84790</v>
      </c>
      <c r="J1888" t="s">
        <v>744</v>
      </c>
      <c r="K1888" s="17" t="s">
        <v>58</v>
      </c>
      <c r="L1888">
        <v>4</v>
      </c>
    </row>
    <row r="1889" spans="1:12" x14ac:dyDescent="0.25">
      <c r="A1889" t="s">
        <v>4696</v>
      </c>
      <c r="B1889" t="s">
        <v>3515</v>
      </c>
      <c r="C1889" t="s">
        <v>599</v>
      </c>
      <c r="D1889" t="s">
        <v>46</v>
      </c>
      <c r="E1889">
        <v>42</v>
      </c>
      <c r="F1889" t="s">
        <v>238</v>
      </c>
      <c r="G1889" t="s">
        <v>48</v>
      </c>
      <c r="I1889" s="1" t="d">
        <v>2019-11-12</v>
      </c>
      <c r="J1889" t="s">
        <v>4697</v>
      </c>
      <c r="K1889" s="17" t="s">
        <v>34</v>
      </c>
      <c r="L1889">
        <v>1</v>
      </c>
    </row>
    <row r="1890" spans="1:12" x14ac:dyDescent="0.25">
      <c r="A1890" t="s">
        <v>4698</v>
      </c>
      <c r="B1890" t="s">
        <v>355</v>
      </c>
      <c r="C1890" t="s">
        <v>36</v>
      </c>
      <c r="D1890" t="s">
        <v>23</v>
      </c>
      <c r="E1890">
        <v>34</v>
      </c>
      <c r="F1890" t="s">
        <v>1107</v>
      </c>
      <c r="G1890" t="s">
        <v>95</v>
      </c>
      <c r="H1890" t="s">
        <v>4699</v>
      </c>
      <c r="I1890" s="1" t="d">
        <v>2020-02-23</v>
      </c>
      <c r="J1890" t="s">
        <v>284</v>
      </c>
      <c r="K1890" s="17" t="s">
        <v>19</v>
      </c>
      <c r="L1890">
        <v>3</v>
      </c>
    </row>
    <row r="1891" spans="1:12" x14ac:dyDescent="0.25">
      <c r="A1891" t="s">
        <v>4700</v>
      </c>
      <c r="B1891" t="s">
        <v>79</v>
      </c>
      <c r="C1891" t="s">
        <v>521</v>
      </c>
      <c r="D1891" t="s">
        <v>9527</v>
      </c>
      <c r="E1891">
        <v>39</v>
      </c>
      <c r="F1891" t="s">
        <v>190</v>
      </c>
      <c r="G1891" t="s">
        <v>115</v>
      </c>
      <c r="H1891">
        <v>56457</v>
      </c>
      <c r="I1891" s="1" t="d">
        <v>2020-04-07</v>
      </c>
      <c r="J1891" t="s">
        <v>3210</v>
      </c>
      <c r="K1891" s="17" t="s">
        <v>90</v>
      </c>
      <c r="L1891">
        <v>4</v>
      </c>
    </row>
    <row r="1892" spans="1:12" x14ac:dyDescent="0.25">
      <c r="A1892" t="s">
        <v>4701</v>
      </c>
      <c r="B1892" t="s">
        <v>37</v>
      </c>
      <c r="C1892" t="s">
        <v>552</v>
      </c>
      <c r="D1892" t="s">
        <v>46</v>
      </c>
      <c r="E1892">
        <v>35</v>
      </c>
      <c r="F1892" t="s">
        <v>411</v>
      </c>
      <c r="G1892" t="s">
        <v>182</v>
      </c>
      <c r="H1892" t="s">
        <v>4702</v>
      </c>
      <c r="I1892" s="1" t="d">
        <v>2015-06-18</v>
      </c>
      <c r="J1892" t="s">
        <v>1789</v>
      </c>
      <c r="K1892" s="17" t="s">
        <v>27</v>
      </c>
      <c r="L1892">
        <v>3</v>
      </c>
    </row>
    <row r="1893" spans="1:12" x14ac:dyDescent="0.25">
      <c r="A1893" t="s">
        <v>4703</v>
      </c>
      <c r="B1893" t="s">
        <v>571</v>
      </c>
      <c r="C1893" t="s">
        <v>1494</v>
      </c>
      <c r="D1893" t="s">
        <v>23</v>
      </c>
      <c r="E1893">
        <v>25</v>
      </c>
      <c r="F1893" t="s">
        <v>417</v>
      </c>
      <c r="G1893" t="s">
        <v>39</v>
      </c>
      <c r="H1893" t="s">
        <v>4704</v>
      </c>
      <c r="I1893" s="1" t="d">
        <v>2022-07-06</v>
      </c>
      <c r="J1893" t="s">
        <v>4705</v>
      </c>
      <c r="K1893" s="17" t="s">
        <v>71</v>
      </c>
      <c r="L1893">
        <v>4</v>
      </c>
    </row>
    <row r="1894" spans="1:12" x14ac:dyDescent="0.25">
      <c r="A1894" t="s">
        <v>3717</v>
      </c>
      <c r="B1894" t="s">
        <v>4210</v>
      </c>
      <c r="C1894" t="s">
        <v>710</v>
      </c>
      <c r="D1894" t="s">
        <v>46</v>
      </c>
      <c r="E1894">
        <v>35</v>
      </c>
      <c r="F1894" t="s">
        <v>196</v>
      </c>
      <c r="G1894" t="s">
        <v>39</v>
      </c>
      <c r="H1894" t="s">
        <v>4706</v>
      </c>
      <c r="I1894" s="1" t="d">
        <v>2009-01-02</v>
      </c>
      <c r="J1894" t="s">
        <v>713</v>
      </c>
      <c r="K1894" s="17" t="s">
        <v>184</v>
      </c>
      <c r="L1894">
        <v>4</v>
      </c>
    </row>
    <row r="1895" spans="1:12" x14ac:dyDescent="0.25">
      <c r="A1895" t="s">
        <v>4707</v>
      </c>
      <c r="B1895" t="s">
        <v>21</v>
      </c>
      <c r="C1895" t="s">
        <v>631</v>
      </c>
      <c r="D1895" t="s">
        <v>46</v>
      </c>
      <c r="E1895">
        <v>45</v>
      </c>
      <c r="F1895" t="s">
        <v>277</v>
      </c>
      <c r="G1895" t="s">
        <v>141</v>
      </c>
      <c r="H1895" t="s">
        <v>4708</v>
      </c>
      <c r="I1895" s="1" t="d">
        <v>2021-12-07</v>
      </c>
      <c r="J1895" t="s">
        <v>4709</v>
      </c>
      <c r="K1895" s="17" t="s">
        <v>71</v>
      </c>
      <c r="L1895">
        <v>4</v>
      </c>
    </row>
    <row r="1896" spans="1:12" x14ac:dyDescent="0.25">
      <c r="A1896" t="s">
        <v>4710</v>
      </c>
      <c r="B1896" t="s">
        <v>394</v>
      </c>
      <c r="C1896" t="s">
        <v>715</v>
      </c>
      <c r="D1896" t="s">
        <v>46</v>
      </c>
      <c r="E1896">
        <v>46</v>
      </c>
      <c r="G1896" t="s">
        <v>39</v>
      </c>
      <c r="H1896" t="s">
        <v>4711</v>
      </c>
      <c r="I1896" s="1" t="d">
        <v>2011-05-16</v>
      </c>
      <c r="J1896" t="s">
        <v>4712</v>
      </c>
      <c r="K1896" s="17" t="s">
        <v>118</v>
      </c>
      <c r="L1896">
        <v>3</v>
      </c>
    </row>
    <row r="1897" spans="1:12" x14ac:dyDescent="0.25">
      <c r="A1897" t="s">
        <v>4713</v>
      </c>
      <c r="B1897" t="s">
        <v>134</v>
      </c>
      <c r="C1897" t="s">
        <v>37</v>
      </c>
      <c r="D1897" t="s">
        <v>23</v>
      </c>
      <c r="E1897">
        <v>45</v>
      </c>
      <c r="F1897" t="s">
        <v>422</v>
      </c>
      <c r="G1897" t="s">
        <v>212</v>
      </c>
      <c r="H1897" s="2">
        <v>84752</v>
      </c>
      <c r="I1897" s="1" t="d">
        <v>2007-09-19</v>
      </c>
      <c r="J1897" t="s">
        <v>4714</v>
      </c>
      <c r="K1897" s="17" t="s">
        <v>58</v>
      </c>
      <c r="L1897">
        <v>3</v>
      </c>
    </row>
    <row r="1898" spans="1:12" x14ac:dyDescent="0.25">
      <c r="A1898" t="s">
        <v>4715</v>
      </c>
      <c r="B1898" t="s">
        <v>482</v>
      </c>
      <c r="C1898" t="s">
        <v>521</v>
      </c>
      <c r="D1898" t="s">
        <v>23</v>
      </c>
      <c r="E1898">
        <v>42</v>
      </c>
      <c r="F1898" t="s">
        <v>296</v>
      </c>
      <c r="G1898" t="s">
        <v>82</v>
      </c>
      <c r="H1898" t="s">
        <v>4716</v>
      </c>
      <c r="I1898" s="1" t="d">
        <v>2012-08-10</v>
      </c>
      <c r="J1898" t="s">
        <v>2508</v>
      </c>
      <c r="K1898" s="17" t="s">
        <v>207</v>
      </c>
      <c r="L1898">
        <v>4</v>
      </c>
    </row>
    <row r="1899" spans="1:12" x14ac:dyDescent="0.25">
      <c r="A1899" t="s">
        <v>4717</v>
      </c>
      <c r="B1899" t="s">
        <v>4718</v>
      </c>
      <c r="C1899" t="s">
        <v>898</v>
      </c>
      <c r="D1899" t="s">
        <v>46</v>
      </c>
      <c r="E1899">
        <v>28</v>
      </c>
      <c r="F1899" t="s">
        <v>190</v>
      </c>
      <c r="G1899" t="s">
        <v>88</v>
      </c>
      <c r="I1899" s="1" t="d">
        <v>2018-06-11</v>
      </c>
      <c r="J1899" t="s">
        <v>716</v>
      </c>
      <c r="K1899" s="17" t="s">
        <v>50</v>
      </c>
      <c r="L1899">
        <v>3</v>
      </c>
    </row>
    <row r="1900" spans="1:12" x14ac:dyDescent="0.25">
      <c r="A1900" t="s">
        <v>4719</v>
      </c>
      <c r="B1900" t="s">
        <v>670</v>
      </c>
      <c r="C1900" t="s">
        <v>584</v>
      </c>
      <c r="D1900" t="s">
        <v>23</v>
      </c>
      <c r="E1900">
        <v>40</v>
      </c>
      <c r="F1900" t="s">
        <v>422</v>
      </c>
      <c r="G1900" t="s">
        <v>526</v>
      </c>
      <c r="H1900">
        <v>74563</v>
      </c>
      <c r="I1900" s="1" t="d">
        <v>2022-05-31</v>
      </c>
      <c r="J1900" t="s">
        <v>4508</v>
      </c>
      <c r="K1900" s="17" t="s">
        <v>19</v>
      </c>
      <c r="L1900">
        <v>3</v>
      </c>
    </row>
    <row r="1901" spans="1:12" x14ac:dyDescent="0.25">
      <c r="A1901" t="s">
        <v>4720</v>
      </c>
      <c r="B1901" t="s">
        <v>1512</v>
      </c>
      <c r="C1901" t="s">
        <v>3075</v>
      </c>
      <c r="D1901" t="s">
        <v>23</v>
      </c>
      <c r="E1901">
        <v>41</v>
      </c>
      <c r="F1901" t="s">
        <v>186</v>
      </c>
      <c r="G1901" t="s">
        <v>39</v>
      </c>
      <c r="H1901">
        <v>80510</v>
      </c>
      <c r="I1901" s="1" t="d">
        <v>2019-10-12</v>
      </c>
      <c r="J1901" t="s">
        <v>3750</v>
      </c>
      <c r="K1901" s="17" t="s">
        <v>71</v>
      </c>
      <c r="L1901">
        <v>3</v>
      </c>
    </row>
    <row r="1902" spans="1:12" x14ac:dyDescent="0.25">
      <c r="A1902" t="s">
        <v>4721</v>
      </c>
      <c r="B1902" t="s">
        <v>248</v>
      </c>
      <c r="C1902" t="s">
        <v>599</v>
      </c>
      <c r="D1902" t="s">
        <v>23</v>
      </c>
      <c r="E1902">
        <v>64</v>
      </c>
      <c r="F1902" t="s">
        <v>589</v>
      </c>
      <c r="G1902" t="s">
        <v>1556</v>
      </c>
      <c r="H1902" t="s">
        <v>4722</v>
      </c>
      <c r="J1902" t="s">
        <v>4723</v>
      </c>
      <c r="K1902" s="17" t="s">
        <v>370</v>
      </c>
      <c r="L1902">
        <v>4</v>
      </c>
    </row>
    <row r="1903" spans="1:12" x14ac:dyDescent="0.25">
      <c r="A1903" t="s">
        <v>4724</v>
      </c>
      <c r="B1903" t="s">
        <v>507</v>
      </c>
      <c r="C1903" t="s">
        <v>572</v>
      </c>
      <c r="D1903" t="s">
        <v>9527</v>
      </c>
      <c r="E1903">
        <v>48</v>
      </c>
      <c r="F1903" t="s">
        <v>918</v>
      </c>
      <c r="G1903" t="s">
        <v>231</v>
      </c>
      <c r="H1903">
        <v>84655</v>
      </c>
      <c r="J1903" t="s">
        <v>2857</v>
      </c>
      <c r="K1903" s="17" t="s">
        <v>90</v>
      </c>
      <c r="L1903">
        <v>4</v>
      </c>
    </row>
    <row r="1904" spans="1:12" x14ac:dyDescent="0.25">
      <c r="A1904" t="s">
        <v>4725</v>
      </c>
      <c r="B1904" t="s">
        <v>1403</v>
      </c>
      <c r="C1904" t="s">
        <v>318</v>
      </c>
      <c r="D1904" t="s">
        <v>46</v>
      </c>
      <c r="E1904">
        <v>42</v>
      </c>
      <c r="F1904" t="s">
        <v>216</v>
      </c>
      <c r="G1904" t="s">
        <v>182</v>
      </c>
      <c r="H1904" t="s">
        <v>4726</v>
      </c>
      <c r="I1904" s="1" t="d">
        <v>2008-11-20</v>
      </c>
      <c r="J1904" t="s">
        <v>3893</v>
      </c>
      <c r="K1904" s="17" t="s">
        <v>90</v>
      </c>
      <c r="L1904">
        <v>3</v>
      </c>
    </row>
    <row r="1905" spans="1:12" x14ac:dyDescent="0.25">
      <c r="A1905" t="s">
        <v>4727</v>
      </c>
      <c r="B1905" t="s">
        <v>1096</v>
      </c>
      <c r="C1905" t="s">
        <v>74</v>
      </c>
      <c r="D1905" t="s">
        <v>9527</v>
      </c>
      <c r="E1905">
        <v>34</v>
      </c>
      <c r="F1905" t="s">
        <v>169</v>
      </c>
      <c r="G1905" t="s">
        <v>500</v>
      </c>
      <c r="H1905">
        <v>59941</v>
      </c>
      <c r="I1905" s="1" t="d">
        <v>2008-12-17</v>
      </c>
      <c r="J1905" t="s">
        <v>4489</v>
      </c>
      <c r="K1905" s="17" t="s">
        <v>58</v>
      </c>
      <c r="L1905">
        <v>3</v>
      </c>
    </row>
    <row r="1906" spans="1:12" x14ac:dyDescent="0.25">
      <c r="A1906" t="s">
        <v>4728</v>
      </c>
      <c r="B1906" t="s">
        <v>335</v>
      </c>
      <c r="C1906" t="s">
        <v>318</v>
      </c>
      <c r="D1906" t="s">
        <v>46</v>
      </c>
      <c r="E1906">
        <v>30</v>
      </c>
      <c r="F1906" t="s">
        <v>2065</v>
      </c>
      <c r="G1906" t="s">
        <v>55</v>
      </c>
      <c r="H1906" t="s">
        <v>4729</v>
      </c>
      <c r="I1906" s="1" t="d">
        <v>2009-01-24</v>
      </c>
      <c r="J1906" t="s">
        <v>4730</v>
      </c>
      <c r="K1906" s="17" t="s">
        <v>100</v>
      </c>
      <c r="L1906">
        <v>3</v>
      </c>
    </row>
    <row r="1907" spans="1:12" x14ac:dyDescent="0.25">
      <c r="A1907" t="s">
        <v>4731</v>
      </c>
      <c r="B1907" t="s">
        <v>4210</v>
      </c>
      <c r="C1907" t="s">
        <v>4732</v>
      </c>
      <c r="D1907" t="s">
        <v>23</v>
      </c>
      <c r="E1907">
        <v>42</v>
      </c>
      <c r="G1907" t="s">
        <v>141</v>
      </c>
      <c r="H1907">
        <v>80951</v>
      </c>
      <c r="I1907" s="1" t="d">
        <v>2017-11-26</v>
      </c>
      <c r="J1907" t="s">
        <v>4733</v>
      </c>
      <c r="K1907" s="17" t="s">
        <v>184</v>
      </c>
      <c r="L1907">
        <v>4</v>
      </c>
    </row>
    <row r="1908" spans="1:12" x14ac:dyDescent="0.25">
      <c r="A1908" t="s">
        <v>4734</v>
      </c>
      <c r="B1908" t="s">
        <v>139</v>
      </c>
      <c r="C1908" t="s">
        <v>1298</v>
      </c>
      <c r="D1908" t="s">
        <v>46</v>
      </c>
      <c r="E1908">
        <v>37</v>
      </c>
      <c r="F1908" t="s">
        <v>114</v>
      </c>
      <c r="G1908" t="s">
        <v>4735</v>
      </c>
      <c r="H1908" t="s">
        <v>4736</v>
      </c>
      <c r="I1908" s="1" t="d">
        <v>2021-12-03</v>
      </c>
      <c r="J1908" t="s">
        <v>142</v>
      </c>
      <c r="K1908" s="17" t="s">
        <v>27</v>
      </c>
      <c r="L1908">
        <v>3</v>
      </c>
    </row>
    <row r="1909" spans="1:12" x14ac:dyDescent="0.25">
      <c r="A1909" t="s">
        <v>4737</v>
      </c>
      <c r="B1909" t="s">
        <v>4072</v>
      </c>
      <c r="C1909" t="s">
        <v>22</v>
      </c>
      <c r="D1909" t="s">
        <v>46</v>
      </c>
      <c r="E1909">
        <v>28</v>
      </c>
      <c r="F1909" t="s">
        <v>108</v>
      </c>
      <c r="G1909" t="s">
        <v>69</v>
      </c>
      <c r="H1909">
        <v>102753</v>
      </c>
      <c r="I1909" s="1" t="d">
        <v>2012-05-11</v>
      </c>
      <c r="J1909" t="s">
        <v>4738</v>
      </c>
      <c r="K1909" s="17" t="s">
        <v>19</v>
      </c>
      <c r="L1909">
        <v>3</v>
      </c>
    </row>
    <row r="1910" spans="1:12" x14ac:dyDescent="0.25">
      <c r="A1910" t="s">
        <v>4739</v>
      </c>
      <c r="B1910" t="s">
        <v>2252</v>
      </c>
      <c r="C1910" t="s">
        <v>1622</v>
      </c>
      <c r="D1910" t="s">
        <v>46</v>
      </c>
      <c r="E1910">
        <v>47</v>
      </c>
      <c r="F1910" t="s">
        <v>68</v>
      </c>
      <c r="G1910" t="s">
        <v>205</v>
      </c>
      <c r="H1910" s="2">
        <v>97729</v>
      </c>
      <c r="J1910" t="s">
        <v>1776</v>
      </c>
      <c r="K1910" s="17" t="s">
        <v>118</v>
      </c>
      <c r="L1910">
        <v>3</v>
      </c>
    </row>
    <row r="1911" spans="1:12" x14ac:dyDescent="0.25">
      <c r="A1911" t="s">
        <v>4740</v>
      </c>
      <c r="B1911" t="s">
        <v>162</v>
      </c>
      <c r="C1911" t="s">
        <v>3035</v>
      </c>
      <c r="D1911" t="s">
        <v>23</v>
      </c>
      <c r="E1911">
        <v>24</v>
      </c>
      <c r="F1911" t="s">
        <v>319</v>
      </c>
      <c r="G1911" t="s">
        <v>131</v>
      </c>
      <c r="H1911" s="2">
        <v>-55981</v>
      </c>
      <c r="J1911" t="s">
        <v>4741</v>
      </c>
      <c r="K1911" s="17" t="s">
        <v>184</v>
      </c>
      <c r="L1911">
        <v>3</v>
      </c>
    </row>
    <row r="1912" spans="1:12" x14ac:dyDescent="0.25">
      <c r="A1912" t="s">
        <v>4742</v>
      </c>
      <c r="B1912" t="s">
        <v>2222</v>
      </c>
      <c r="C1912" t="s">
        <v>474</v>
      </c>
      <c r="D1912" t="s">
        <v>46</v>
      </c>
      <c r="E1912">
        <v>51</v>
      </c>
      <c r="F1912" t="s">
        <v>4743</v>
      </c>
      <c r="G1912" t="s">
        <v>39</v>
      </c>
      <c r="H1912">
        <v>62978</v>
      </c>
      <c r="I1912" s="1" t="d">
        <v>2007-05-23</v>
      </c>
      <c r="J1912" t="s">
        <v>4744</v>
      </c>
      <c r="K1912" s="17" t="s">
        <v>34</v>
      </c>
      <c r="L1912">
        <v>3</v>
      </c>
    </row>
    <row r="1913" spans="1:12" x14ac:dyDescent="0.25">
      <c r="A1913" t="s">
        <v>4745</v>
      </c>
      <c r="B1913" t="s">
        <v>563</v>
      </c>
      <c r="C1913" t="s">
        <v>2778</v>
      </c>
      <c r="D1913" t="s">
        <v>46</v>
      </c>
      <c r="E1913">
        <v>45</v>
      </c>
      <c r="F1913" t="s">
        <v>2771</v>
      </c>
      <c r="G1913" t="s">
        <v>16</v>
      </c>
      <c r="H1913">
        <v>74878</v>
      </c>
      <c r="I1913" s="1" t="d">
        <v>2019-10-17</v>
      </c>
      <c r="J1913" t="s">
        <v>99</v>
      </c>
      <c r="K1913" s="17" t="s">
        <v>184</v>
      </c>
      <c r="L1913">
        <v>4</v>
      </c>
    </row>
    <row r="1914" spans="1:12" x14ac:dyDescent="0.25">
      <c r="A1914" t="s">
        <v>4746</v>
      </c>
      <c r="B1914" t="s">
        <v>1241</v>
      </c>
      <c r="C1914" t="s">
        <v>295</v>
      </c>
      <c r="D1914" t="s">
        <v>9527</v>
      </c>
      <c r="E1914">
        <v>30</v>
      </c>
      <c r="F1914" t="s">
        <v>1839</v>
      </c>
      <c r="G1914" t="s">
        <v>115</v>
      </c>
      <c r="I1914" s="1" t="d">
        <v>2010-02-28</v>
      </c>
      <c r="J1914" t="s">
        <v>2342</v>
      </c>
      <c r="K1914" s="17" t="s">
        <v>34</v>
      </c>
      <c r="L1914">
        <v>3</v>
      </c>
    </row>
    <row r="1915" spans="1:12" x14ac:dyDescent="0.25">
      <c r="A1915" t="s">
        <v>4747</v>
      </c>
      <c r="B1915" t="s">
        <v>686</v>
      </c>
      <c r="C1915" t="s">
        <v>1146</v>
      </c>
      <c r="D1915" t="s">
        <v>46</v>
      </c>
      <c r="E1915">
        <v>26</v>
      </c>
      <c r="F1915" t="s">
        <v>4095</v>
      </c>
      <c r="G1915" t="s">
        <v>115</v>
      </c>
      <c r="H1915" s="2">
        <v>65909</v>
      </c>
      <c r="I1915" s="1" t="d">
        <v>2017-02-26</v>
      </c>
      <c r="J1915" t="s">
        <v>4748</v>
      </c>
      <c r="K1915" s="17" t="s">
        <v>184</v>
      </c>
      <c r="L1915">
        <v>3</v>
      </c>
    </row>
    <row r="1916" spans="1:12" x14ac:dyDescent="0.25">
      <c r="A1916" t="s">
        <v>4749</v>
      </c>
      <c r="B1916" t="s">
        <v>4750</v>
      </c>
      <c r="C1916" t="s">
        <v>457</v>
      </c>
      <c r="D1916" t="s">
        <v>9527</v>
      </c>
      <c r="E1916">
        <v>27</v>
      </c>
      <c r="F1916" t="s">
        <v>186</v>
      </c>
      <c r="G1916" t="s">
        <v>170</v>
      </c>
      <c r="I1916" s="1" t="d">
        <v>2011-12-04</v>
      </c>
      <c r="J1916" t="s">
        <v>4751</v>
      </c>
      <c r="K1916" s="17" t="s">
        <v>50</v>
      </c>
      <c r="L1916">
        <v>1</v>
      </c>
    </row>
    <row r="1917" spans="1:12" x14ac:dyDescent="0.25">
      <c r="A1917" t="s">
        <v>4752</v>
      </c>
      <c r="B1917" t="s">
        <v>86</v>
      </c>
      <c r="C1917" t="s">
        <v>3293</v>
      </c>
      <c r="D1917" t="s">
        <v>23</v>
      </c>
      <c r="E1917">
        <v>54</v>
      </c>
      <c r="F1917" t="s">
        <v>258</v>
      </c>
      <c r="G1917" t="s">
        <v>170</v>
      </c>
      <c r="H1917" s="2">
        <v>46769</v>
      </c>
      <c r="I1917" s="1" t="d">
        <v>2019-09-29</v>
      </c>
      <c r="J1917" t="s">
        <v>4445</v>
      </c>
      <c r="K1917" s="17" t="s">
        <v>118</v>
      </c>
      <c r="L1917">
        <v>4</v>
      </c>
    </row>
    <row r="1918" spans="1:12" x14ac:dyDescent="0.25">
      <c r="A1918" t="s">
        <v>4753</v>
      </c>
      <c r="B1918" t="s">
        <v>221</v>
      </c>
      <c r="C1918" t="s">
        <v>1520</v>
      </c>
      <c r="D1918" t="s">
        <v>9527</v>
      </c>
      <c r="E1918">
        <v>56</v>
      </c>
      <c r="G1918" t="s">
        <v>1215</v>
      </c>
      <c r="H1918" s="2">
        <v>60219</v>
      </c>
      <c r="I1918" s="1" t="d">
        <v>2006-09-22</v>
      </c>
      <c r="J1918" t="s">
        <v>4754</v>
      </c>
      <c r="K1918" s="17" t="s">
        <v>149</v>
      </c>
      <c r="L1918">
        <v>4</v>
      </c>
    </row>
    <row r="1919" spans="1:12" x14ac:dyDescent="0.25">
      <c r="A1919" t="s">
        <v>4755</v>
      </c>
      <c r="B1919" t="s">
        <v>448</v>
      </c>
      <c r="C1919" t="s">
        <v>4756</v>
      </c>
      <c r="D1919" t="s">
        <v>23</v>
      </c>
      <c r="E1919">
        <v>37</v>
      </c>
      <c r="F1919" t="s">
        <v>532</v>
      </c>
      <c r="G1919" t="s">
        <v>16</v>
      </c>
      <c r="I1919" s="1" t="d">
        <v>2012-02-04</v>
      </c>
      <c r="J1919" t="s">
        <v>1497</v>
      </c>
      <c r="K1919" s="17" t="s">
        <v>100</v>
      </c>
      <c r="L1919">
        <v>3</v>
      </c>
    </row>
    <row r="1920" spans="1:12" x14ac:dyDescent="0.25">
      <c r="A1920" t="s">
        <v>4757</v>
      </c>
      <c r="B1920" t="s">
        <v>79</v>
      </c>
      <c r="C1920" t="s">
        <v>1182</v>
      </c>
      <c r="D1920" t="s">
        <v>46</v>
      </c>
      <c r="E1920">
        <v>39</v>
      </c>
      <c r="F1920" t="s">
        <v>918</v>
      </c>
      <c r="G1920" t="s">
        <v>1719</v>
      </c>
      <c r="H1920" t="s">
        <v>4758</v>
      </c>
      <c r="I1920" s="1" t="d">
        <v>2019-10-21</v>
      </c>
      <c r="J1920" t="s">
        <v>77</v>
      </c>
      <c r="K1920" s="17" t="s">
        <v>27</v>
      </c>
      <c r="L1920">
        <v>3</v>
      </c>
    </row>
    <row r="1921" spans="1:12" x14ac:dyDescent="0.25">
      <c r="A1921" t="s">
        <v>4759</v>
      </c>
      <c r="B1921" t="s">
        <v>4760</v>
      </c>
      <c r="C1921" t="s">
        <v>790</v>
      </c>
      <c r="D1921" t="s">
        <v>23</v>
      </c>
      <c r="E1921">
        <v>57</v>
      </c>
      <c r="F1921" t="s">
        <v>169</v>
      </c>
      <c r="G1921" t="s">
        <v>16</v>
      </c>
      <c r="H1921" t="s">
        <v>4761</v>
      </c>
      <c r="I1921" s="1" t="d">
        <v>2019-11-18</v>
      </c>
      <c r="J1921" t="s">
        <v>1773</v>
      </c>
      <c r="K1921" s="17" t="s">
        <v>100</v>
      </c>
      <c r="L1921">
        <v>3</v>
      </c>
    </row>
    <row r="1922" spans="1:12" x14ac:dyDescent="0.25">
      <c r="A1922" t="s">
        <v>4762</v>
      </c>
      <c r="B1922" t="s">
        <v>248</v>
      </c>
      <c r="C1922" t="s">
        <v>2860</v>
      </c>
      <c r="D1922" t="s">
        <v>9527</v>
      </c>
      <c r="E1922">
        <v>26</v>
      </c>
      <c r="F1922" t="s">
        <v>146</v>
      </c>
      <c r="G1922" t="s">
        <v>4763</v>
      </c>
      <c r="H1922">
        <v>85264</v>
      </c>
      <c r="I1922" s="1" t="d">
        <v>2008-10-09</v>
      </c>
      <c r="J1922" t="s">
        <v>2966</v>
      </c>
      <c r="K1922" s="17" t="s">
        <v>118</v>
      </c>
      <c r="L1922">
        <v>3</v>
      </c>
    </row>
    <row r="1923" spans="1:12" x14ac:dyDescent="0.25">
      <c r="A1923" t="s">
        <v>4764</v>
      </c>
      <c r="B1923" t="s">
        <v>563</v>
      </c>
      <c r="C1923" t="s">
        <v>710</v>
      </c>
      <c r="D1923" t="s">
        <v>9527</v>
      </c>
      <c r="E1923">
        <v>37</v>
      </c>
      <c r="F1923" t="s">
        <v>356</v>
      </c>
      <c r="G1923" t="s">
        <v>141</v>
      </c>
      <c r="H1923" t="s">
        <v>4765</v>
      </c>
      <c r="I1923" s="1" t="d">
        <v>2020-07-30</v>
      </c>
      <c r="J1923" t="s">
        <v>4766</v>
      </c>
      <c r="K1923" s="17" t="s">
        <v>71</v>
      </c>
      <c r="L1923">
        <v>4</v>
      </c>
    </row>
    <row r="1924" spans="1:12" x14ac:dyDescent="0.25">
      <c r="A1924" t="s">
        <v>4767</v>
      </c>
      <c r="B1924" t="s">
        <v>881</v>
      </c>
      <c r="C1924" t="s">
        <v>966</v>
      </c>
      <c r="D1924" t="s">
        <v>23</v>
      </c>
      <c r="E1924">
        <v>22</v>
      </c>
      <c r="F1924" t="s">
        <v>15</v>
      </c>
      <c r="G1924" t="s">
        <v>177</v>
      </c>
      <c r="H1924">
        <v>84580</v>
      </c>
      <c r="I1924" s="1" t="d">
        <v>2021-02-05</v>
      </c>
      <c r="J1924" t="s">
        <v>1222</v>
      </c>
      <c r="K1924" s="17" t="s">
        <v>207</v>
      </c>
      <c r="L1924">
        <v>3</v>
      </c>
    </row>
    <row r="1925" spans="1:12" x14ac:dyDescent="0.25">
      <c r="A1925" t="s">
        <v>4768</v>
      </c>
      <c r="B1925" t="s">
        <v>1382</v>
      </c>
      <c r="C1925" t="s">
        <v>158</v>
      </c>
      <c r="D1925" t="s">
        <v>46</v>
      </c>
      <c r="E1925">
        <v>28</v>
      </c>
      <c r="F1925" t="s">
        <v>559</v>
      </c>
      <c r="G1925" t="s">
        <v>48</v>
      </c>
      <c r="H1925">
        <v>100779</v>
      </c>
      <c r="I1925" s="1" t="d">
        <v>2015-04-06</v>
      </c>
      <c r="J1925" t="s">
        <v>4393</v>
      </c>
      <c r="K1925" s="17" t="s">
        <v>71</v>
      </c>
      <c r="L1925">
        <v>4</v>
      </c>
    </row>
    <row r="1926" spans="1:12" x14ac:dyDescent="0.25">
      <c r="A1926" t="s">
        <v>4589</v>
      </c>
      <c r="B1926" t="s">
        <v>448</v>
      </c>
      <c r="C1926" t="s">
        <v>4769</v>
      </c>
      <c r="D1926" t="s">
        <v>9527</v>
      </c>
      <c r="E1926">
        <v>40</v>
      </c>
      <c r="F1926" t="s">
        <v>649</v>
      </c>
      <c r="G1926" t="s">
        <v>191</v>
      </c>
      <c r="H1926" s="2">
        <v>67871</v>
      </c>
      <c r="I1926" s="1" t="d">
        <v>2014-05-08</v>
      </c>
      <c r="J1926" t="s">
        <v>2377</v>
      </c>
      <c r="K1926" s="17" t="s">
        <v>184</v>
      </c>
      <c r="L1926">
        <v>1</v>
      </c>
    </row>
    <row r="1927" spans="1:12" x14ac:dyDescent="0.25">
      <c r="A1927" t="s">
        <v>4770</v>
      </c>
      <c r="B1927" t="s">
        <v>841</v>
      </c>
      <c r="C1927" t="s">
        <v>37</v>
      </c>
      <c r="D1927" t="s">
        <v>46</v>
      </c>
      <c r="E1927">
        <v>47</v>
      </c>
      <c r="F1927" t="s">
        <v>196</v>
      </c>
      <c r="G1927" t="s">
        <v>912</v>
      </c>
      <c r="H1927" t="s">
        <v>4771</v>
      </c>
      <c r="I1927" s="1" t="d">
        <v>2018-04-07</v>
      </c>
      <c r="J1927" t="s">
        <v>2084</v>
      </c>
      <c r="K1927" s="17" t="s">
        <v>149</v>
      </c>
      <c r="L1927">
        <v>4</v>
      </c>
    </row>
    <row r="1928" spans="1:12" x14ac:dyDescent="0.25">
      <c r="A1928" t="s">
        <v>4772</v>
      </c>
      <c r="B1928" t="s">
        <v>571</v>
      </c>
      <c r="C1928" t="s">
        <v>729</v>
      </c>
      <c r="D1928" t="s">
        <v>46</v>
      </c>
      <c r="E1928">
        <v>43</v>
      </c>
      <c r="F1928" t="s">
        <v>253</v>
      </c>
      <c r="G1928" t="s">
        <v>212</v>
      </c>
      <c r="H1928" t="s">
        <v>4773</v>
      </c>
      <c r="I1928" s="1" t="d">
        <v>2015-10-21</v>
      </c>
      <c r="J1928" t="s">
        <v>3171</v>
      </c>
      <c r="K1928" s="17" t="s">
        <v>184</v>
      </c>
      <c r="L1928">
        <v>3</v>
      </c>
    </row>
    <row r="1929" spans="1:12" x14ac:dyDescent="0.25">
      <c r="A1929" t="s">
        <v>4774</v>
      </c>
      <c r="B1929" t="s">
        <v>4775</v>
      </c>
      <c r="C1929" t="s">
        <v>540</v>
      </c>
      <c r="D1929" t="s">
        <v>46</v>
      </c>
      <c r="E1929">
        <v>29</v>
      </c>
      <c r="F1929" t="s">
        <v>559</v>
      </c>
      <c r="G1929" t="s">
        <v>212</v>
      </c>
      <c r="H1929" s="2">
        <v>114982</v>
      </c>
      <c r="I1929" s="1" t="d">
        <v>2020-04-07</v>
      </c>
      <c r="J1929" t="s">
        <v>4776</v>
      </c>
      <c r="K1929" s="17" t="s">
        <v>207</v>
      </c>
      <c r="L1929">
        <v>4</v>
      </c>
    </row>
    <row r="1930" spans="1:12" x14ac:dyDescent="0.25">
      <c r="A1930" t="s">
        <v>4777</v>
      </c>
      <c r="B1930" t="s">
        <v>3785</v>
      </c>
      <c r="C1930" t="s">
        <v>181</v>
      </c>
      <c r="D1930" t="s">
        <v>23</v>
      </c>
      <c r="E1930">
        <v>46</v>
      </c>
      <c r="F1930" t="s">
        <v>978</v>
      </c>
      <c r="G1930" t="s">
        <v>69</v>
      </c>
      <c r="H1930" s="2">
        <v>106614</v>
      </c>
      <c r="I1930" s="1" t="d">
        <v>2011-08-29</v>
      </c>
      <c r="J1930" t="s">
        <v>2478</v>
      </c>
      <c r="K1930" s="17" t="s">
        <v>100</v>
      </c>
      <c r="L1930">
        <v>2</v>
      </c>
    </row>
    <row r="1931" spans="1:12" x14ac:dyDescent="0.25">
      <c r="A1931" t="s">
        <v>4778</v>
      </c>
      <c r="B1931" t="s">
        <v>1382</v>
      </c>
      <c r="C1931" t="s">
        <v>4779</v>
      </c>
      <c r="D1931" t="s">
        <v>46</v>
      </c>
      <c r="E1931">
        <v>40</v>
      </c>
      <c r="F1931" t="s">
        <v>108</v>
      </c>
      <c r="G1931" t="s">
        <v>69</v>
      </c>
      <c r="H1931" s="2">
        <v>106889</v>
      </c>
      <c r="I1931" s="1" t="d">
        <v>2022-04-20</v>
      </c>
      <c r="J1931" t="s">
        <v>2047</v>
      </c>
      <c r="K1931" s="17" t="s">
        <v>27</v>
      </c>
      <c r="L1931">
        <v>4</v>
      </c>
    </row>
    <row r="1932" spans="1:12" x14ac:dyDescent="0.25">
      <c r="A1932" t="s">
        <v>4780</v>
      </c>
      <c r="B1932" t="s">
        <v>1888</v>
      </c>
      <c r="C1932" t="s">
        <v>1010</v>
      </c>
      <c r="D1932" t="s">
        <v>46</v>
      </c>
      <c r="E1932">
        <v>37</v>
      </c>
      <c r="F1932" t="s">
        <v>4781</v>
      </c>
      <c r="G1932" t="s">
        <v>141</v>
      </c>
      <c r="H1932" t="s">
        <v>4782</v>
      </c>
      <c r="I1932" s="1" t="d">
        <v>2021-08-22</v>
      </c>
      <c r="J1932" t="s">
        <v>4783</v>
      </c>
      <c r="K1932" s="17" t="s">
        <v>50</v>
      </c>
      <c r="L1932">
        <v>3</v>
      </c>
    </row>
    <row r="1933" spans="1:12" x14ac:dyDescent="0.25">
      <c r="A1933" t="s">
        <v>4784</v>
      </c>
      <c r="B1933" t="s">
        <v>652</v>
      </c>
      <c r="C1933" t="s">
        <v>4785</v>
      </c>
      <c r="D1933" t="s">
        <v>46</v>
      </c>
      <c r="E1933">
        <v>50</v>
      </c>
      <c r="F1933" t="s">
        <v>522</v>
      </c>
      <c r="G1933" t="s">
        <v>55</v>
      </c>
      <c r="H1933" t="s">
        <v>4786</v>
      </c>
      <c r="I1933" s="1" t="d">
        <v>2024-09-25</v>
      </c>
      <c r="J1933" t="s">
        <v>2116</v>
      </c>
      <c r="K1933" s="17" t="s">
        <v>149</v>
      </c>
      <c r="L1933">
        <v>3</v>
      </c>
    </row>
    <row r="1934" spans="1:12" x14ac:dyDescent="0.25">
      <c r="A1934" t="s">
        <v>4787</v>
      </c>
      <c r="B1934" t="s">
        <v>804</v>
      </c>
      <c r="C1934" t="s">
        <v>427</v>
      </c>
      <c r="D1934" t="s">
        <v>9527</v>
      </c>
      <c r="E1934">
        <v>41</v>
      </c>
      <c r="F1934" t="s">
        <v>978</v>
      </c>
      <c r="G1934" t="s">
        <v>387</v>
      </c>
      <c r="H1934">
        <v>218235</v>
      </c>
      <c r="I1934" s="1" t="d">
        <v>2018-08-27</v>
      </c>
      <c r="J1934" t="s">
        <v>1232</v>
      </c>
      <c r="K1934" s="17" t="s">
        <v>100</v>
      </c>
      <c r="L1934">
        <v>3</v>
      </c>
    </row>
    <row r="1935" spans="1:12" x14ac:dyDescent="0.25">
      <c r="A1935" t="s">
        <v>4788</v>
      </c>
      <c r="B1935" t="s">
        <v>162</v>
      </c>
      <c r="C1935" t="s">
        <v>961</v>
      </c>
      <c r="D1935" t="s">
        <v>46</v>
      </c>
      <c r="E1935">
        <v>36</v>
      </c>
      <c r="F1935" t="s">
        <v>350</v>
      </c>
      <c r="G1935" t="s">
        <v>1285</v>
      </c>
      <c r="H1935">
        <v>59837</v>
      </c>
      <c r="I1935" s="1" t="d">
        <v>2022-09-11</v>
      </c>
      <c r="J1935" t="s">
        <v>4789</v>
      </c>
      <c r="K1935" s="17" t="s">
        <v>118</v>
      </c>
      <c r="L1935">
        <v>4</v>
      </c>
    </row>
    <row r="1936" spans="1:12" x14ac:dyDescent="0.25">
      <c r="A1936" t="s">
        <v>4790</v>
      </c>
      <c r="B1936" t="s">
        <v>112</v>
      </c>
      <c r="C1936" t="s">
        <v>4791</v>
      </c>
      <c r="D1936" t="s">
        <v>9527</v>
      </c>
      <c r="E1936">
        <v>21</v>
      </c>
      <c r="F1936" t="s">
        <v>296</v>
      </c>
      <c r="G1936" t="s">
        <v>407</v>
      </c>
      <c r="H1936">
        <v>186125</v>
      </c>
      <c r="I1936" s="1" t="d">
        <v>2024-02-04</v>
      </c>
      <c r="J1936" t="s">
        <v>4792</v>
      </c>
      <c r="K1936" s="17" t="s">
        <v>207</v>
      </c>
      <c r="L1936">
        <v>4</v>
      </c>
    </row>
    <row r="1937" spans="1:12" x14ac:dyDescent="0.25">
      <c r="A1937" t="s">
        <v>4793</v>
      </c>
      <c r="B1937" t="s">
        <v>2272</v>
      </c>
      <c r="C1937" t="s">
        <v>318</v>
      </c>
      <c r="D1937" t="s">
        <v>9527</v>
      </c>
      <c r="E1937">
        <v>37</v>
      </c>
      <c r="F1937" t="s">
        <v>406</v>
      </c>
      <c r="G1937" t="s">
        <v>177</v>
      </c>
      <c r="H1937" t="s">
        <v>4794</v>
      </c>
      <c r="I1937" s="1" t="d">
        <v>2024-07-05</v>
      </c>
      <c r="J1937" t="s">
        <v>4795</v>
      </c>
      <c r="K1937" s="17" t="s">
        <v>50</v>
      </c>
      <c r="L1937">
        <v>3</v>
      </c>
    </row>
    <row r="1938" spans="1:12" x14ac:dyDescent="0.25">
      <c r="A1938" t="s">
        <v>4796</v>
      </c>
      <c r="B1938" t="s">
        <v>29</v>
      </c>
      <c r="C1938" t="s">
        <v>416</v>
      </c>
      <c r="D1938" t="s">
        <v>46</v>
      </c>
      <c r="E1938">
        <v>34</v>
      </c>
      <c r="F1938" t="s">
        <v>24</v>
      </c>
      <c r="G1938" t="s">
        <v>182</v>
      </c>
      <c r="H1938">
        <v>142279</v>
      </c>
      <c r="I1938" s="1" t="d">
        <v>2023-02-13</v>
      </c>
      <c r="J1938" t="s">
        <v>4797</v>
      </c>
      <c r="K1938" s="17" t="s">
        <v>34</v>
      </c>
      <c r="L1938">
        <v>3</v>
      </c>
    </row>
    <row r="1939" spans="1:12" x14ac:dyDescent="0.25">
      <c r="A1939" t="s">
        <v>4798</v>
      </c>
      <c r="B1939" t="s">
        <v>874</v>
      </c>
      <c r="C1939" t="s">
        <v>4799</v>
      </c>
      <c r="D1939" t="s">
        <v>23</v>
      </c>
      <c r="E1939">
        <v>33</v>
      </c>
      <c r="F1939" t="s">
        <v>365</v>
      </c>
      <c r="G1939" t="s">
        <v>39</v>
      </c>
      <c r="H1939" s="2">
        <v>53265</v>
      </c>
      <c r="I1939" s="1" t="d">
        <v>2012-07-16</v>
      </c>
      <c r="J1939" t="s">
        <v>4800</v>
      </c>
      <c r="K1939" s="17" t="s">
        <v>19</v>
      </c>
      <c r="L1939">
        <v>3</v>
      </c>
    </row>
    <row r="1940" spans="1:12" x14ac:dyDescent="0.25">
      <c r="A1940" t="s">
        <v>4801</v>
      </c>
      <c r="B1940" t="s">
        <v>833</v>
      </c>
      <c r="C1940" t="s">
        <v>181</v>
      </c>
      <c r="D1940" t="s">
        <v>46</v>
      </c>
      <c r="E1940">
        <v>35</v>
      </c>
      <c r="F1940" t="s">
        <v>1785</v>
      </c>
      <c r="G1940" t="s">
        <v>239</v>
      </c>
      <c r="H1940" s="2">
        <v>45590</v>
      </c>
      <c r="I1940" s="1" t="d">
        <v>2006-04-25</v>
      </c>
      <c r="J1940" t="s">
        <v>4802</v>
      </c>
      <c r="K1940" s="17" t="s">
        <v>90</v>
      </c>
      <c r="L1940">
        <v>5</v>
      </c>
    </row>
    <row r="1941" spans="1:12" x14ac:dyDescent="0.25">
      <c r="A1941" t="s">
        <v>4803</v>
      </c>
      <c r="B1941" t="s">
        <v>323</v>
      </c>
      <c r="C1941" t="s">
        <v>521</v>
      </c>
      <c r="D1941" t="s">
        <v>9527</v>
      </c>
      <c r="E1941">
        <v>45</v>
      </c>
      <c r="F1941" t="s">
        <v>24</v>
      </c>
      <c r="G1941" t="s">
        <v>109</v>
      </c>
      <c r="H1941" s="2">
        <v>97967</v>
      </c>
      <c r="I1941" s="1" t="d">
        <v>2023-02-16</v>
      </c>
      <c r="J1941" t="s">
        <v>333</v>
      </c>
      <c r="K1941" s="17" t="s">
        <v>184</v>
      </c>
      <c r="L1941">
        <v>4</v>
      </c>
    </row>
    <row r="1942" spans="1:12" x14ac:dyDescent="0.25">
      <c r="A1942" t="s">
        <v>3614</v>
      </c>
      <c r="B1942" t="s">
        <v>3422</v>
      </c>
      <c r="C1942" t="s">
        <v>665</v>
      </c>
      <c r="D1942" t="s">
        <v>9527</v>
      </c>
      <c r="E1942">
        <v>51</v>
      </c>
      <c r="F1942" t="s">
        <v>196</v>
      </c>
      <c r="G1942" t="s">
        <v>39</v>
      </c>
      <c r="H1942">
        <v>46008</v>
      </c>
      <c r="I1942" s="1" t="d">
        <v>2007-03-14</v>
      </c>
      <c r="J1942" t="s">
        <v>831</v>
      </c>
      <c r="K1942" s="17" t="s">
        <v>58</v>
      </c>
      <c r="L1942">
        <v>4</v>
      </c>
    </row>
    <row r="1943" spans="1:12" x14ac:dyDescent="0.25">
      <c r="A1943" t="s">
        <v>4804</v>
      </c>
      <c r="B1943" t="s">
        <v>86</v>
      </c>
      <c r="C1943" t="s">
        <v>624</v>
      </c>
      <c r="D1943" t="s">
        <v>23</v>
      </c>
      <c r="E1943">
        <v>56</v>
      </c>
      <c r="F1943" t="s">
        <v>1183</v>
      </c>
      <c r="G1943" t="s">
        <v>1215</v>
      </c>
      <c r="H1943" t="s">
        <v>4805</v>
      </c>
      <c r="I1943" s="1" t="d">
        <v>2016-02-16</v>
      </c>
      <c r="J1943" t="s">
        <v>4263</v>
      </c>
      <c r="K1943" s="17" t="s">
        <v>19</v>
      </c>
      <c r="L1943">
        <v>4</v>
      </c>
    </row>
    <row r="1944" spans="1:12" x14ac:dyDescent="0.25">
      <c r="A1944" t="s">
        <v>4806</v>
      </c>
      <c r="B1944" t="s">
        <v>134</v>
      </c>
      <c r="C1944" t="s">
        <v>4565</v>
      </c>
      <c r="D1944" t="s">
        <v>9527</v>
      </c>
      <c r="E1944">
        <v>21</v>
      </c>
      <c r="F1944" t="s">
        <v>81</v>
      </c>
      <c r="G1944" t="s">
        <v>191</v>
      </c>
      <c r="H1944" t="s">
        <v>4807</v>
      </c>
      <c r="I1944" s="1" t="d">
        <v>2013-10-06</v>
      </c>
      <c r="J1944" t="s">
        <v>137</v>
      </c>
      <c r="K1944" s="17" t="s">
        <v>207</v>
      </c>
      <c r="L1944">
        <v>2</v>
      </c>
    </row>
    <row r="1945" spans="1:12" x14ac:dyDescent="0.25">
      <c r="A1945" t="s">
        <v>4808</v>
      </c>
      <c r="B1945" t="s">
        <v>702</v>
      </c>
      <c r="C1945" t="s">
        <v>1487</v>
      </c>
      <c r="D1945" t="s">
        <v>46</v>
      </c>
      <c r="E1945">
        <v>58</v>
      </c>
      <c r="F1945" t="s">
        <v>1699</v>
      </c>
      <c r="G1945" t="s">
        <v>16</v>
      </c>
      <c r="H1945">
        <v>65586</v>
      </c>
      <c r="I1945" s="1" t="d">
        <v>2009-08-24</v>
      </c>
      <c r="J1945" t="s">
        <v>1673</v>
      </c>
      <c r="K1945" s="17" t="s">
        <v>207</v>
      </c>
      <c r="L1945">
        <v>3</v>
      </c>
    </row>
    <row r="1946" spans="1:12" x14ac:dyDescent="0.25">
      <c r="A1946" t="s">
        <v>4809</v>
      </c>
      <c r="B1946" t="s">
        <v>394</v>
      </c>
      <c r="C1946" t="s">
        <v>1332</v>
      </c>
      <c r="D1946" t="s">
        <v>46</v>
      </c>
      <c r="E1946">
        <v>50</v>
      </c>
      <c r="F1946" t="s">
        <v>104</v>
      </c>
      <c r="G1946" t="s">
        <v>182</v>
      </c>
      <c r="H1946">
        <v>99559</v>
      </c>
      <c r="I1946" s="1" t="d">
        <v>2011-02-01</v>
      </c>
      <c r="J1946" t="s">
        <v>4810</v>
      </c>
      <c r="K1946" s="17" t="s">
        <v>100</v>
      </c>
      <c r="L1946">
        <v>3</v>
      </c>
    </row>
    <row r="1947" spans="1:12" x14ac:dyDescent="0.25">
      <c r="A1947" t="s">
        <v>4811</v>
      </c>
      <c r="B1947" t="s">
        <v>73</v>
      </c>
      <c r="C1947" t="s">
        <v>30</v>
      </c>
      <c r="D1947" t="s">
        <v>46</v>
      </c>
      <c r="E1947">
        <v>21</v>
      </c>
      <c r="G1947" t="s">
        <v>32</v>
      </c>
      <c r="H1947" s="2">
        <v>45412</v>
      </c>
      <c r="I1947" s="1" t="d">
        <v>2008-07-14</v>
      </c>
      <c r="J1947" t="s">
        <v>2102</v>
      </c>
      <c r="K1947" s="17" t="s">
        <v>100</v>
      </c>
      <c r="L1947">
        <v>4</v>
      </c>
    </row>
    <row r="1948" spans="1:12" x14ac:dyDescent="0.25">
      <c r="A1948" t="s">
        <v>4812</v>
      </c>
      <c r="B1948" t="s">
        <v>2234</v>
      </c>
      <c r="C1948" t="s">
        <v>244</v>
      </c>
      <c r="D1948" t="s">
        <v>9527</v>
      </c>
      <c r="E1948">
        <v>45</v>
      </c>
      <c r="F1948" t="s">
        <v>269</v>
      </c>
      <c r="G1948" t="s">
        <v>48</v>
      </c>
      <c r="I1948" s="1" t="d">
        <v>2011-01-27</v>
      </c>
      <c r="J1948" t="s">
        <v>4813</v>
      </c>
      <c r="K1948" s="17" t="s">
        <v>90</v>
      </c>
      <c r="L1948">
        <v>3</v>
      </c>
    </row>
    <row r="1949" spans="1:12" x14ac:dyDescent="0.25">
      <c r="A1949" t="s">
        <v>4814</v>
      </c>
      <c r="B1949" t="s">
        <v>2856</v>
      </c>
      <c r="C1949" t="s">
        <v>766</v>
      </c>
      <c r="D1949" t="s">
        <v>23</v>
      </c>
      <c r="E1949">
        <v>44</v>
      </c>
      <c r="G1949" t="s">
        <v>1215</v>
      </c>
      <c r="H1949" s="2">
        <v>97300</v>
      </c>
      <c r="I1949" s="1" t="d">
        <v>2007-02-28</v>
      </c>
      <c r="J1949" t="s">
        <v>1776</v>
      </c>
      <c r="K1949" s="17" t="s">
        <v>184</v>
      </c>
      <c r="L1949">
        <v>4</v>
      </c>
    </row>
    <row r="1950" spans="1:12" x14ac:dyDescent="0.25">
      <c r="A1950" t="s">
        <v>4446</v>
      </c>
      <c r="B1950" t="s">
        <v>167</v>
      </c>
      <c r="C1950" t="s">
        <v>516</v>
      </c>
      <c r="D1950" t="s">
        <v>23</v>
      </c>
      <c r="E1950">
        <v>28</v>
      </c>
      <c r="F1950" t="s">
        <v>296</v>
      </c>
      <c r="G1950" t="s">
        <v>205</v>
      </c>
      <c r="H1950" t="s">
        <v>4447</v>
      </c>
      <c r="I1950" s="1" t="d">
        <v>2019-10-04</v>
      </c>
      <c r="J1950" t="s">
        <v>2671</v>
      </c>
      <c r="K1950" s="17" t="s">
        <v>207</v>
      </c>
      <c r="L1950">
        <v>1</v>
      </c>
    </row>
    <row r="1951" spans="1:12" x14ac:dyDescent="0.25">
      <c r="A1951" t="s">
        <v>4815</v>
      </c>
      <c r="B1951" t="s">
        <v>1350</v>
      </c>
      <c r="C1951" t="s">
        <v>830</v>
      </c>
      <c r="D1951" t="s">
        <v>46</v>
      </c>
      <c r="E1951">
        <v>30</v>
      </c>
      <c r="F1951" t="s">
        <v>373</v>
      </c>
      <c r="G1951" t="s">
        <v>95</v>
      </c>
      <c r="H1951">
        <v>81285</v>
      </c>
      <c r="I1951" s="1" t="d">
        <v>2013-07-14</v>
      </c>
      <c r="J1951" t="s">
        <v>2036</v>
      </c>
      <c r="K1951" s="17" t="s">
        <v>118</v>
      </c>
      <c r="L1951">
        <v>2</v>
      </c>
    </row>
    <row r="1952" spans="1:12" x14ac:dyDescent="0.25">
      <c r="A1952" t="s">
        <v>4816</v>
      </c>
      <c r="B1952" t="s">
        <v>439</v>
      </c>
      <c r="C1952" t="s">
        <v>291</v>
      </c>
      <c r="D1952" t="s">
        <v>23</v>
      </c>
      <c r="E1952">
        <v>22</v>
      </c>
      <c r="F1952" t="s">
        <v>1116</v>
      </c>
      <c r="G1952" t="s">
        <v>48</v>
      </c>
      <c r="I1952" s="1" t="d">
        <v>2018-05-31</v>
      </c>
      <c r="J1952" t="s">
        <v>4412</v>
      </c>
      <c r="K1952" s="17" t="s">
        <v>370</v>
      </c>
      <c r="L1952">
        <v>4</v>
      </c>
    </row>
    <row r="1953" spans="1:12" x14ac:dyDescent="0.25">
      <c r="A1953" t="s">
        <v>4817</v>
      </c>
      <c r="B1953" t="s">
        <v>566</v>
      </c>
      <c r="C1953" t="s">
        <v>618</v>
      </c>
      <c r="D1953" t="s">
        <v>9527</v>
      </c>
      <c r="E1953">
        <v>23</v>
      </c>
      <c r="F1953" t="s">
        <v>68</v>
      </c>
      <c r="G1953" t="s">
        <v>2888</v>
      </c>
      <c r="H1953">
        <v>93866</v>
      </c>
      <c r="I1953" s="1" t="d">
        <v>2010-12-18</v>
      </c>
      <c r="J1953" t="s">
        <v>2634</v>
      </c>
      <c r="K1953" s="17" t="s">
        <v>19</v>
      </c>
      <c r="L1953">
        <v>5</v>
      </c>
    </row>
    <row r="1954" spans="1:12" x14ac:dyDescent="0.25">
      <c r="A1954" t="s">
        <v>4818</v>
      </c>
      <c r="B1954" t="s">
        <v>4819</v>
      </c>
      <c r="C1954" t="s">
        <v>4820</v>
      </c>
      <c r="D1954" t="s">
        <v>23</v>
      </c>
      <c r="E1954">
        <v>35</v>
      </c>
      <c r="F1954" t="s">
        <v>31</v>
      </c>
      <c r="G1954" t="s">
        <v>82</v>
      </c>
      <c r="H1954" s="2">
        <v>39733</v>
      </c>
      <c r="I1954" s="1" t="d">
        <v>2013-04-16</v>
      </c>
      <c r="J1954" t="s">
        <v>4821</v>
      </c>
      <c r="K1954" s="17" t="s">
        <v>58</v>
      </c>
      <c r="L1954">
        <v>4</v>
      </c>
    </row>
    <row r="1955" spans="1:12" x14ac:dyDescent="0.25">
      <c r="A1955" t="s">
        <v>4822</v>
      </c>
      <c r="B1955" t="s">
        <v>566</v>
      </c>
      <c r="C1955" t="s">
        <v>555</v>
      </c>
      <c r="D1955" t="s">
        <v>46</v>
      </c>
      <c r="E1955">
        <v>37</v>
      </c>
      <c r="G1955" t="s">
        <v>159</v>
      </c>
      <c r="I1955" s="1" t="d">
        <v>2008-11-27</v>
      </c>
      <c r="J1955" t="s">
        <v>4823</v>
      </c>
      <c r="K1955" s="17" t="s">
        <v>149</v>
      </c>
      <c r="L1955">
        <v>3</v>
      </c>
    </row>
    <row r="1956" spans="1:12" x14ac:dyDescent="0.25">
      <c r="A1956" t="s">
        <v>4824</v>
      </c>
      <c r="B1956" t="s">
        <v>789</v>
      </c>
      <c r="C1956" t="s">
        <v>318</v>
      </c>
      <c r="D1956" t="s">
        <v>46</v>
      </c>
      <c r="E1956">
        <v>35</v>
      </c>
      <c r="F1956" t="s">
        <v>373</v>
      </c>
      <c r="G1956" t="s">
        <v>212</v>
      </c>
      <c r="H1956">
        <v>98957</v>
      </c>
      <c r="I1956" s="1" t="d">
        <v>2022-09-25</v>
      </c>
      <c r="J1956" t="s">
        <v>635</v>
      </c>
      <c r="K1956" s="17" t="s">
        <v>58</v>
      </c>
      <c r="L1956">
        <v>3</v>
      </c>
    </row>
    <row r="1957" spans="1:12" x14ac:dyDescent="0.25">
      <c r="A1957" t="s">
        <v>4825</v>
      </c>
      <c r="B1957" t="s">
        <v>906</v>
      </c>
      <c r="C1957" t="s">
        <v>898</v>
      </c>
      <c r="D1957" t="s">
        <v>46</v>
      </c>
      <c r="E1957">
        <v>31</v>
      </c>
      <c r="F1957" t="s">
        <v>559</v>
      </c>
      <c r="G1957" t="s">
        <v>69</v>
      </c>
      <c r="H1957">
        <v>107808</v>
      </c>
      <c r="I1957" s="1" t="d">
        <v>2016-10-17</v>
      </c>
      <c r="J1957" t="s">
        <v>3187</v>
      </c>
      <c r="K1957" s="17" t="s">
        <v>100</v>
      </c>
      <c r="L1957">
        <v>3</v>
      </c>
    </row>
    <row r="1958" spans="1:12" x14ac:dyDescent="0.25">
      <c r="A1958" t="s">
        <v>4826</v>
      </c>
      <c r="B1958" t="s">
        <v>833</v>
      </c>
      <c r="C1958" t="s">
        <v>332</v>
      </c>
      <c r="D1958" t="s">
        <v>23</v>
      </c>
      <c r="E1958">
        <v>31</v>
      </c>
      <c r="F1958" t="s">
        <v>153</v>
      </c>
      <c r="G1958" t="s">
        <v>357</v>
      </c>
      <c r="H1958" t="s">
        <v>4827</v>
      </c>
      <c r="I1958" s="1" t="d">
        <v>2024-02-22</v>
      </c>
      <c r="J1958" t="s">
        <v>834</v>
      </c>
      <c r="K1958" s="17" t="s">
        <v>27</v>
      </c>
      <c r="L1958">
        <v>5</v>
      </c>
    </row>
    <row r="1959" spans="1:12" x14ac:dyDescent="0.25">
      <c r="A1959" t="s">
        <v>4828</v>
      </c>
      <c r="B1959" t="s">
        <v>566</v>
      </c>
      <c r="C1959" t="s">
        <v>395</v>
      </c>
      <c r="D1959" t="s">
        <v>9527</v>
      </c>
      <c r="E1959">
        <v>45</v>
      </c>
      <c r="F1959" t="s">
        <v>2065</v>
      </c>
      <c r="G1959" t="s">
        <v>191</v>
      </c>
      <c r="H1959">
        <v>86797</v>
      </c>
      <c r="I1959" s="1" t="d">
        <v>2019-11-30</v>
      </c>
      <c r="J1959" t="s">
        <v>4548</v>
      </c>
      <c r="K1959" s="17" t="s">
        <v>42</v>
      </c>
      <c r="L1959">
        <v>5</v>
      </c>
    </row>
    <row r="1960" spans="1:12" x14ac:dyDescent="0.25">
      <c r="A1960" t="s">
        <v>4829</v>
      </c>
      <c r="B1960" t="s">
        <v>162</v>
      </c>
      <c r="C1960" t="s">
        <v>36</v>
      </c>
      <c r="D1960" t="s">
        <v>46</v>
      </c>
      <c r="E1960">
        <v>38</v>
      </c>
      <c r="F1960" t="s">
        <v>31</v>
      </c>
      <c r="G1960" t="s">
        <v>217</v>
      </c>
      <c r="I1960" s="1" t="d">
        <v>2013-09-25</v>
      </c>
      <c r="J1960" t="s">
        <v>2091</v>
      </c>
      <c r="K1960" s="17" t="s">
        <v>71</v>
      </c>
      <c r="L1960">
        <v>3</v>
      </c>
    </row>
    <row r="1961" spans="1:12" x14ac:dyDescent="0.25">
      <c r="A1961" t="s">
        <v>4830</v>
      </c>
      <c r="B1961" t="s">
        <v>906</v>
      </c>
      <c r="C1961" t="s">
        <v>22</v>
      </c>
      <c r="D1961" t="s">
        <v>9527</v>
      </c>
      <c r="E1961">
        <v>41</v>
      </c>
      <c r="F1961" t="s">
        <v>94</v>
      </c>
      <c r="G1961" t="s">
        <v>16</v>
      </c>
      <c r="H1961" t="s">
        <v>4831</v>
      </c>
      <c r="I1961" s="1" t="d">
        <v>2009-09-12</v>
      </c>
      <c r="J1961" t="s">
        <v>2687</v>
      </c>
      <c r="K1961" s="17" t="s">
        <v>370</v>
      </c>
      <c r="L1961">
        <v>5</v>
      </c>
    </row>
    <row r="1962" spans="1:12" x14ac:dyDescent="0.25">
      <c r="A1962" t="s">
        <v>4832</v>
      </c>
      <c r="B1962" t="s">
        <v>1769</v>
      </c>
      <c r="C1962" t="s">
        <v>4833</v>
      </c>
      <c r="D1962" t="s">
        <v>9527</v>
      </c>
      <c r="E1962">
        <v>45</v>
      </c>
      <c r="F1962" t="s">
        <v>200</v>
      </c>
      <c r="G1962" t="s">
        <v>55</v>
      </c>
      <c r="H1962">
        <v>94296</v>
      </c>
      <c r="I1962" s="1" t="d">
        <v>2009-11-11</v>
      </c>
      <c r="J1962" t="s">
        <v>4834</v>
      </c>
      <c r="K1962" s="17" t="s">
        <v>71</v>
      </c>
      <c r="L1962">
        <v>5</v>
      </c>
    </row>
    <row r="1963" spans="1:12" x14ac:dyDescent="0.25">
      <c r="A1963" t="s">
        <v>4835</v>
      </c>
      <c r="B1963" t="s">
        <v>199</v>
      </c>
      <c r="C1963" t="s">
        <v>521</v>
      </c>
      <c r="D1963" t="s">
        <v>46</v>
      </c>
      <c r="E1963">
        <v>44</v>
      </c>
      <c r="F1963" t="s">
        <v>2275</v>
      </c>
      <c r="G1963" t="s">
        <v>141</v>
      </c>
      <c r="H1963" t="s">
        <v>4836</v>
      </c>
      <c r="I1963" s="1" t="d">
        <v>2006-10-10</v>
      </c>
      <c r="J1963" t="s">
        <v>4837</v>
      </c>
      <c r="K1963" s="17" t="s">
        <v>370</v>
      </c>
      <c r="L1963">
        <v>5</v>
      </c>
    </row>
    <row r="1964" spans="1:12" x14ac:dyDescent="0.25">
      <c r="A1964" t="s">
        <v>4838</v>
      </c>
      <c r="B1964" t="s">
        <v>4839</v>
      </c>
      <c r="C1964" t="s">
        <v>1517</v>
      </c>
      <c r="D1964" t="s">
        <v>23</v>
      </c>
      <c r="E1964">
        <v>32</v>
      </c>
      <c r="F1964" t="s">
        <v>406</v>
      </c>
      <c r="G1964" t="s">
        <v>115</v>
      </c>
      <c r="I1964" s="1" t="d">
        <v>2013-06-19</v>
      </c>
      <c r="J1964" t="s">
        <v>662</v>
      </c>
      <c r="K1964" s="17" t="s">
        <v>370</v>
      </c>
      <c r="L1964">
        <v>5</v>
      </c>
    </row>
    <row r="1965" spans="1:12" x14ac:dyDescent="0.25">
      <c r="A1965" t="s">
        <v>4840</v>
      </c>
      <c r="B1965" t="s">
        <v>221</v>
      </c>
      <c r="C1965" t="s">
        <v>555</v>
      </c>
      <c r="D1965" t="s">
        <v>23</v>
      </c>
      <c r="E1965">
        <v>37</v>
      </c>
      <c r="F1965" t="s">
        <v>759</v>
      </c>
      <c r="G1965" t="s">
        <v>182</v>
      </c>
      <c r="H1965" s="2">
        <v>71346</v>
      </c>
      <c r="I1965" s="1" t="d">
        <v>2022-11-28</v>
      </c>
      <c r="J1965" t="s">
        <v>3777</v>
      </c>
      <c r="K1965" s="17" t="s">
        <v>184</v>
      </c>
      <c r="L1965">
        <v>3</v>
      </c>
    </row>
    <row r="1966" spans="1:12" x14ac:dyDescent="0.25">
      <c r="A1966" t="s">
        <v>4841</v>
      </c>
      <c r="B1966" t="s">
        <v>120</v>
      </c>
      <c r="C1966" t="s">
        <v>805</v>
      </c>
      <c r="D1966" t="s">
        <v>46</v>
      </c>
      <c r="E1966">
        <v>31</v>
      </c>
      <c r="F1966" t="s">
        <v>169</v>
      </c>
      <c r="G1966" t="s">
        <v>69</v>
      </c>
      <c r="H1966" t="s">
        <v>4842</v>
      </c>
      <c r="I1966" s="1" t="d">
        <v>2018-01-03</v>
      </c>
      <c r="J1966" t="s">
        <v>1549</v>
      </c>
      <c r="K1966" s="17" t="s">
        <v>207</v>
      </c>
      <c r="L1966">
        <v>3</v>
      </c>
    </row>
    <row r="1967" spans="1:12" x14ac:dyDescent="0.25">
      <c r="A1967" t="s">
        <v>4843</v>
      </c>
      <c r="B1967" t="s">
        <v>180</v>
      </c>
      <c r="C1967" t="s">
        <v>37</v>
      </c>
      <c r="D1967" t="s">
        <v>9527</v>
      </c>
      <c r="E1967">
        <v>38</v>
      </c>
      <c r="F1967" t="s">
        <v>3829</v>
      </c>
      <c r="G1967" t="s">
        <v>55</v>
      </c>
      <c r="H1967" t="s">
        <v>4844</v>
      </c>
      <c r="I1967" s="1" t="d">
        <v>2008-01-27</v>
      </c>
      <c r="J1967" t="s">
        <v>4046</v>
      </c>
      <c r="K1967" s="17" t="s">
        <v>118</v>
      </c>
      <c r="L1967">
        <v>3</v>
      </c>
    </row>
    <row r="1968" spans="1:12" x14ac:dyDescent="0.25">
      <c r="A1968" t="s">
        <v>4845</v>
      </c>
      <c r="B1968" t="s">
        <v>931</v>
      </c>
      <c r="C1968" t="s">
        <v>1622</v>
      </c>
      <c r="D1968" t="s">
        <v>9527</v>
      </c>
      <c r="E1968">
        <v>60</v>
      </c>
      <c r="F1968" t="s">
        <v>1766</v>
      </c>
      <c r="G1968" t="s">
        <v>205</v>
      </c>
      <c r="H1968" t="s">
        <v>4846</v>
      </c>
      <c r="I1968" s="1" t="d">
        <v>2024-10-08</v>
      </c>
      <c r="J1968" t="s">
        <v>4847</v>
      </c>
      <c r="K1968" s="17" t="s">
        <v>207</v>
      </c>
      <c r="L1968">
        <v>3</v>
      </c>
    </row>
    <row r="1969" spans="1:12" x14ac:dyDescent="0.25">
      <c r="A1969" t="s">
        <v>4848</v>
      </c>
      <c r="B1969" t="s">
        <v>499</v>
      </c>
      <c r="C1969" t="s">
        <v>53</v>
      </c>
      <c r="D1969" t="s">
        <v>46</v>
      </c>
      <c r="E1969">
        <v>39</v>
      </c>
      <c r="F1969" t="s">
        <v>62</v>
      </c>
      <c r="G1969" t="s">
        <v>82</v>
      </c>
      <c r="H1969" t="s">
        <v>4849</v>
      </c>
      <c r="I1969" s="1" t="d">
        <v>2021-04-28</v>
      </c>
      <c r="J1969" t="s">
        <v>1852</v>
      </c>
      <c r="K1969" s="17" t="s">
        <v>58</v>
      </c>
      <c r="L1969">
        <v>4</v>
      </c>
    </row>
    <row r="1970" spans="1:12" x14ac:dyDescent="0.25">
      <c r="A1970" t="s">
        <v>4850</v>
      </c>
      <c r="B1970" t="s">
        <v>29</v>
      </c>
      <c r="C1970" t="s">
        <v>898</v>
      </c>
      <c r="D1970" t="s">
        <v>23</v>
      </c>
      <c r="E1970">
        <v>41</v>
      </c>
      <c r="F1970" t="s">
        <v>978</v>
      </c>
      <c r="G1970" t="s">
        <v>39</v>
      </c>
      <c r="H1970" t="s">
        <v>4851</v>
      </c>
      <c r="I1970" s="1" t="d">
        <v>2014-04-22</v>
      </c>
      <c r="J1970" t="s">
        <v>1239</v>
      </c>
      <c r="K1970" s="17" t="s">
        <v>207</v>
      </c>
      <c r="L1970">
        <v>3</v>
      </c>
    </row>
    <row r="1971" spans="1:12" x14ac:dyDescent="0.25">
      <c r="A1971" t="s">
        <v>4852</v>
      </c>
      <c r="B1971" t="s">
        <v>262</v>
      </c>
      <c r="C1971" t="s">
        <v>229</v>
      </c>
      <c r="D1971" t="s">
        <v>46</v>
      </c>
      <c r="E1971">
        <v>39</v>
      </c>
      <c r="F1971" t="s">
        <v>373</v>
      </c>
      <c r="G1971" t="s">
        <v>1199</v>
      </c>
      <c r="H1971">
        <v>135156</v>
      </c>
      <c r="I1971" s="1" t="d">
        <v>2014-07-05</v>
      </c>
      <c r="J1971" t="s">
        <v>2269</v>
      </c>
      <c r="K1971" s="17" t="s">
        <v>71</v>
      </c>
      <c r="L1971">
        <v>4</v>
      </c>
    </row>
    <row r="1972" spans="1:12" x14ac:dyDescent="0.25">
      <c r="A1972" t="s">
        <v>4853</v>
      </c>
      <c r="B1972" t="s">
        <v>248</v>
      </c>
      <c r="C1972" t="s">
        <v>4854</v>
      </c>
      <c r="D1972" t="s">
        <v>46</v>
      </c>
      <c r="E1972">
        <v>43</v>
      </c>
      <c r="F1972" t="s">
        <v>81</v>
      </c>
      <c r="G1972" t="s">
        <v>159</v>
      </c>
      <c r="H1972" t="s">
        <v>4855</v>
      </c>
      <c r="I1972" s="1" t="d">
        <v>2020-02-26</v>
      </c>
      <c r="J1972" t="s">
        <v>4723</v>
      </c>
      <c r="K1972" s="17" t="s">
        <v>90</v>
      </c>
      <c r="L1972">
        <v>3</v>
      </c>
    </row>
    <row r="1973" spans="1:12" x14ac:dyDescent="0.25">
      <c r="A1973" t="s">
        <v>4856</v>
      </c>
      <c r="B1973" t="s">
        <v>1896</v>
      </c>
      <c r="C1973" t="s">
        <v>158</v>
      </c>
      <c r="D1973" t="s">
        <v>23</v>
      </c>
      <c r="E1973">
        <v>39</v>
      </c>
      <c r="F1973" t="s">
        <v>3593</v>
      </c>
      <c r="G1973" t="s">
        <v>283</v>
      </c>
      <c r="H1973" t="s">
        <v>4857</v>
      </c>
      <c r="I1973" s="1" t="d">
        <v>2007-08-11</v>
      </c>
      <c r="J1973" t="s">
        <v>2210</v>
      </c>
      <c r="K1973" s="17" t="s">
        <v>207</v>
      </c>
      <c r="L1973">
        <v>3</v>
      </c>
    </row>
    <row r="1974" spans="1:12" x14ac:dyDescent="0.25">
      <c r="A1974" t="s">
        <v>4858</v>
      </c>
      <c r="B1974" t="s">
        <v>4859</v>
      </c>
      <c r="C1974" t="s">
        <v>107</v>
      </c>
      <c r="D1974" t="s">
        <v>46</v>
      </c>
      <c r="E1974">
        <v>24</v>
      </c>
      <c r="G1974" t="s">
        <v>177</v>
      </c>
      <c r="H1974" t="s">
        <v>4860</v>
      </c>
      <c r="I1974" s="1" t="d">
        <v>2018-12-01</v>
      </c>
      <c r="J1974" t="s">
        <v>2305</v>
      </c>
      <c r="K1974" s="17" t="s">
        <v>27</v>
      </c>
      <c r="L1974">
        <v>5</v>
      </c>
    </row>
    <row r="1975" spans="1:12" x14ac:dyDescent="0.25">
      <c r="A1975" t="s">
        <v>4861</v>
      </c>
      <c r="B1975" t="s">
        <v>804</v>
      </c>
      <c r="C1975" t="s">
        <v>4094</v>
      </c>
      <c r="D1975" t="s">
        <v>23</v>
      </c>
      <c r="E1975">
        <v>21</v>
      </c>
      <c r="F1975" t="s">
        <v>411</v>
      </c>
      <c r="G1975" t="s">
        <v>115</v>
      </c>
      <c r="H1975">
        <v>60256</v>
      </c>
      <c r="I1975" s="1" t="d">
        <v>2010-05-22</v>
      </c>
      <c r="J1975" t="s">
        <v>3655</v>
      </c>
      <c r="K1975" s="17" t="s">
        <v>71</v>
      </c>
      <c r="L1975">
        <v>3</v>
      </c>
    </row>
    <row r="1976" spans="1:12" x14ac:dyDescent="0.25">
      <c r="A1976" t="s">
        <v>4862</v>
      </c>
      <c r="B1976" t="s">
        <v>906</v>
      </c>
      <c r="C1976" t="s">
        <v>427</v>
      </c>
      <c r="D1976" t="s">
        <v>46</v>
      </c>
      <c r="E1976">
        <v>48</v>
      </c>
      <c r="F1976" t="s">
        <v>169</v>
      </c>
      <c r="G1976" t="s">
        <v>182</v>
      </c>
      <c r="H1976" s="2">
        <v>102063</v>
      </c>
      <c r="I1976" s="1" t="d">
        <v>2006-05-14</v>
      </c>
      <c r="J1976" t="s">
        <v>3379</v>
      </c>
      <c r="K1976" s="17" t="s">
        <v>42</v>
      </c>
      <c r="L1976">
        <v>3</v>
      </c>
    </row>
    <row r="1977" spans="1:12" x14ac:dyDescent="0.25">
      <c r="A1977" t="s">
        <v>4863</v>
      </c>
      <c r="B1977" t="s">
        <v>594</v>
      </c>
      <c r="C1977" t="s">
        <v>1881</v>
      </c>
      <c r="D1977" t="s">
        <v>46</v>
      </c>
      <c r="E1977">
        <v>27</v>
      </c>
      <c r="F1977" t="s">
        <v>200</v>
      </c>
      <c r="G1977" t="s">
        <v>115</v>
      </c>
      <c r="H1977">
        <v>72588</v>
      </c>
      <c r="I1977" s="1" t="d">
        <v>2017-01-30</v>
      </c>
      <c r="J1977" t="s">
        <v>343</v>
      </c>
      <c r="K1977" s="17" t="s">
        <v>71</v>
      </c>
      <c r="L1977">
        <v>3</v>
      </c>
    </row>
    <row r="1978" spans="1:12" x14ac:dyDescent="0.25">
      <c r="A1978" t="s">
        <v>4864</v>
      </c>
      <c r="B1978" t="s">
        <v>4865</v>
      </c>
      <c r="C1978" t="s">
        <v>624</v>
      </c>
      <c r="D1978" t="s">
        <v>46</v>
      </c>
      <c r="E1978">
        <v>35</v>
      </c>
      <c r="F1978" t="s">
        <v>559</v>
      </c>
      <c r="G1978" t="s">
        <v>48</v>
      </c>
      <c r="H1978">
        <v>94360</v>
      </c>
      <c r="I1978" s="1" t="d">
        <v>2024-05-08</v>
      </c>
      <c r="J1978" t="s">
        <v>4866</v>
      </c>
      <c r="K1978" s="17" t="s">
        <v>100</v>
      </c>
      <c r="L1978">
        <v>5</v>
      </c>
    </row>
    <row r="1979" spans="1:12" x14ac:dyDescent="0.25">
      <c r="A1979" t="s">
        <v>4867</v>
      </c>
      <c r="B1979" t="s">
        <v>482</v>
      </c>
      <c r="C1979" t="s">
        <v>1030</v>
      </c>
      <c r="D1979" t="s">
        <v>46</v>
      </c>
      <c r="E1979">
        <v>31</v>
      </c>
      <c r="F1979" t="s">
        <v>3864</v>
      </c>
      <c r="G1979" t="s">
        <v>351</v>
      </c>
      <c r="H1979">
        <v>70775</v>
      </c>
      <c r="I1979" s="1" t="d">
        <v>2013-07-22</v>
      </c>
      <c r="J1979" t="s">
        <v>3369</v>
      </c>
      <c r="K1979" s="17" t="s">
        <v>118</v>
      </c>
      <c r="L1979">
        <v>4</v>
      </c>
    </row>
    <row r="1980" spans="1:12" x14ac:dyDescent="0.25">
      <c r="A1980" t="s">
        <v>4868</v>
      </c>
      <c r="B1980" t="s">
        <v>251</v>
      </c>
      <c r="C1980" t="s">
        <v>4869</v>
      </c>
      <c r="D1980" t="s">
        <v>23</v>
      </c>
      <c r="E1980">
        <v>28</v>
      </c>
      <c r="F1980" t="s">
        <v>68</v>
      </c>
      <c r="G1980" t="s">
        <v>39</v>
      </c>
      <c r="H1980" t="s">
        <v>4870</v>
      </c>
      <c r="I1980" s="1" t="d">
        <v>2012-05-24</v>
      </c>
      <c r="J1980" t="s">
        <v>3105</v>
      </c>
      <c r="K1980" s="17" t="s">
        <v>118</v>
      </c>
      <c r="L1980">
        <v>3</v>
      </c>
    </row>
    <row r="1981" spans="1:12" x14ac:dyDescent="0.25">
      <c r="A1981" t="s">
        <v>4871</v>
      </c>
      <c r="B1981" t="s">
        <v>659</v>
      </c>
      <c r="C1981" t="s">
        <v>567</v>
      </c>
      <c r="D1981" t="s">
        <v>23</v>
      </c>
      <c r="E1981">
        <v>25</v>
      </c>
      <c r="F1981" t="s">
        <v>399</v>
      </c>
      <c r="G1981" t="s">
        <v>205</v>
      </c>
      <c r="H1981" t="s">
        <v>4872</v>
      </c>
      <c r="I1981" s="1" t="d">
        <v>2012-03-30</v>
      </c>
      <c r="J1981" t="s">
        <v>2795</v>
      </c>
      <c r="K1981" s="17" t="s">
        <v>27</v>
      </c>
      <c r="L1981">
        <v>5</v>
      </c>
    </row>
    <row r="1982" spans="1:12" x14ac:dyDescent="0.25">
      <c r="A1982" t="s">
        <v>4873</v>
      </c>
      <c r="B1982" t="s">
        <v>112</v>
      </c>
      <c r="C1982" t="s">
        <v>135</v>
      </c>
      <c r="D1982" t="s">
        <v>46</v>
      </c>
      <c r="E1982">
        <v>48</v>
      </c>
      <c r="F1982" t="s">
        <v>253</v>
      </c>
      <c r="G1982" t="s">
        <v>842</v>
      </c>
      <c r="H1982" t="s">
        <v>4874</v>
      </c>
      <c r="I1982" s="1" t="d">
        <v>2019-09-29</v>
      </c>
      <c r="J1982" t="s">
        <v>255</v>
      </c>
      <c r="K1982" s="17" t="s">
        <v>149</v>
      </c>
      <c r="L1982">
        <v>4</v>
      </c>
    </row>
    <row r="1983" spans="1:12" x14ac:dyDescent="0.25">
      <c r="A1983" t="s">
        <v>4875</v>
      </c>
      <c r="B1983" t="s">
        <v>2697</v>
      </c>
      <c r="C1983" t="s">
        <v>1377</v>
      </c>
      <c r="D1983" t="s">
        <v>9527</v>
      </c>
      <c r="E1983">
        <v>29</v>
      </c>
      <c r="F1983" t="s">
        <v>918</v>
      </c>
      <c r="G1983" t="s">
        <v>69</v>
      </c>
      <c r="H1983" t="s">
        <v>4876</v>
      </c>
      <c r="I1983" s="1" t="d">
        <v>2023-12-28</v>
      </c>
      <c r="J1983" t="s">
        <v>4877</v>
      </c>
      <c r="K1983" s="17" t="s">
        <v>27</v>
      </c>
      <c r="L1983">
        <v>3</v>
      </c>
    </row>
    <row r="1984" spans="1:12" x14ac:dyDescent="0.25">
      <c r="A1984" t="s">
        <v>4878</v>
      </c>
      <c r="B1984" t="s">
        <v>1241</v>
      </c>
      <c r="C1984" t="s">
        <v>858</v>
      </c>
      <c r="D1984" t="s">
        <v>9527</v>
      </c>
      <c r="E1984">
        <v>22</v>
      </c>
      <c r="F1984" t="s">
        <v>422</v>
      </c>
      <c r="G1984" t="s">
        <v>55</v>
      </c>
      <c r="H1984" t="s">
        <v>4879</v>
      </c>
      <c r="I1984" s="1" t="d">
        <v>2022-03-04</v>
      </c>
      <c r="J1984" t="s">
        <v>4503</v>
      </c>
      <c r="K1984" s="17" t="s">
        <v>50</v>
      </c>
      <c r="L1984">
        <v>3</v>
      </c>
    </row>
    <row r="1985" spans="1:12" x14ac:dyDescent="0.25">
      <c r="A1985" t="s">
        <v>4880</v>
      </c>
      <c r="B1985" t="s">
        <v>251</v>
      </c>
      <c r="C1985" t="s">
        <v>61</v>
      </c>
      <c r="D1985" t="s">
        <v>46</v>
      </c>
      <c r="E1985">
        <v>33</v>
      </c>
      <c r="F1985" t="s">
        <v>200</v>
      </c>
      <c r="G1985" t="s">
        <v>141</v>
      </c>
      <c r="H1985" t="s">
        <v>4881</v>
      </c>
      <c r="I1985" s="1" t="d">
        <v>2006-09-23</v>
      </c>
      <c r="J1985" t="s">
        <v>2325</v>
      </c>
      <c r="K1985" s="17" t="s">
        <v>71</v>
      </c>
      <c r="L1985">
        <v>3</v>
      </c>
    </row>
    <row r="1986" spans="1:12" x14ac:dyDescent="0.25">
      <c r="A1986" t="s">
        <v>4882</v>
      </c>
      <c r="B1986" t="s">
        <v>1350</v>
      </c>
      <c r="C1986" t="s">
        <v>1337</v>
      </c>
      <c r="D1986" t="s">
        <v>9527</v>
      </c>
      <c r="E1986">
        <v>27</v>
      </c>
      <c r="F1986" t="s">
        <v>2065</v>
      </c>
      <c r="G1986" t="s">
        <v>351</v>
      </c>
      <c r="H1986" s="2">
        <v>76843</v>
      </c>
      <c r="I1986" s="1" t="d">
        <v>2008-10-31</v>
      </c>
      <c r="J1986" t="s">
        <v>1091</v>
      </c>
      <c r="K1986" s="17" t="s">
        <v>184</v>
      </c>
      <c r="L1986">
        <v>4</v>
      </c>
    </row>
    <row r="1987" spans="1:12" x14ac:dyDescent="0.25">
      <c r="A1987" t="s">
        <v>4883</v>
      </c>
      <c r="B1987" t="s">
        <v>4550</v>
      </c>
      <c r="C1987" t="s">
        <v>555</v>
      </c>
      <c r="D1987" t="s">
        <v>46</v>
      </c>
      <c r="E1987">
        <v>55</v>
      </c>
      <c r="F1987" t="s">
        <v>54</v>
      </c>
      <c r="G1987" t="s">
        <v>177</v>
      </c>
      <c r="I1987" s="1" t="d">
        <v>2021-01-29</v>
      </c>
      <c r="J1987" t="s">
        <v>2346</v>
      </c>
      <c r="K1987" s="17" t="s">
        <v>370</v>
      </c>
      <c r="L1987">
        <v>2</v>
      </c>
    </row>
    <row r="1988" spans="1:12" x14ac:dyDescent="0.25">
      <c r="A1988" t="s">
        <v>4406</v>
      </c>
      <c r="B1988" t="s">
        <v>60</v>
      </c>
      <c r="C1988" t="s">
        <v>2572</v>
      </c>
      <c r="D1988" t="s">
        <v>46</v>
      </c>
      <c r="E1988">
        <v>26</v>
      </c>
      <c r="F1988" t="s">
        <v>676</v>
      </c>
      <c r="G1988" t="s">
        <v>1277</v>
      </c>
      <c r="H1988" t="s">
        <v>4407</v>
      </c>
      <c r="J1988" t="s">
        <v>1870</v>
      </c>
      <c r="K1988" s="17" t="s">
        <v>27</v>
      </c>
      <c r="L1988">
        <v>5</v>
      </c>
    </row>
    <row r="1989" spans="1:12" x14ac:dyDescent="0.25">
      <c r="A1989" t="s">
        <v>4884</v>
      </c>
      <c r="B1989" t="s">
        <v>1096</v>
      </c>
      <c r="C1989" t="s">
        <v>2249</v>
      </c>
      <c r="D1989" t="s">
        <v>9527</v>
      </c>
      <c r="E1989">
        <v>34</v>
      </c>
      <c r="F1989" t="s">
        <v>253</v>
      </c>
      <c r="G1989" t="s">
        <v>407</v>
      </c>
      <c r="H1989">
        <v>147733</v>
      </c>
      <c r="I1989" s="1" t="d">
        <v>2015-02-16</v>
      </c>
      <c r="J1989" t="s">
        <v>1580</v>
      </c>
      <c r="K1989" s="17" t="s">
        <v>19</v>
      </c>
      <c r="L1989">
        <v>3</v>
      </c>
    </row>
    <row r="1990" spans="1:12" x14ac:dyDescent="0.25">
      <c r="A1990" t="s">
        <v>4885</v>
      </c>
      <c r="B1990" t="s">
        <v>120</v>
      </c>
      <c r="C1990" t="s">
        <v>827</v>
      </c>
      <c r="D1990" t="s">
        <v>46</v>
      </c>
      <c r="E1990">
        <v>34</v>
      </c>
      <c r="F1990" t="s">
        <v>153</v>
      </c>
      <c r="G1990" t="s">
        <v>191</v>
      </c>
      <c r="H1990" s="2">
        <v>66094</v>
      </c>
      <c r="I1990" s="1" t="d">
        <v>2018-09-10</v>
      </c>
      <c r="J1990" t="s">
        <v>3915</v>
      </c>
      <c r="K1990" s="17" t="s">
        <v>100</v>
      </c>
      <c r="L1990">
        <v>3</v>
      </c>
    </row>
    <row r="1991" spans="1:12" x14ac:dyDescent="0.25">
      <c r="A1991" t="s">
        <v>4886</v>
      </c>
      <c r="B1991" t="s">
        <v>583</v>
      </c>
      <c r="C1991" t="s">
        <v>1248</v>
      </c>
      <c r="D1991" t="s">
        <v>9527</v>
      </c>
      <c r="E1991">
        <v>51</v>
      </c>
      <c r="G1991" t="s">
        <v>16</v>
      </c>
      <c r="H1991" t="s">
        <v>4887</v>
      </c>
      <c r="I1991" s="1" t="d">
        <v>2005-10-12</v>
      </c>
      <c r="J1991" t="s">
        <v>1087</v>
      </c>
      <c r="K1991" s="17" t="s">
        <v>184</v>
      </c>
      <c r="L1991">
        <v>2</v>
      </c>
    </row>
    <row r="1992" spans="1:12" x14ac:dyDescent="0.25">
      <c r="A1992" t="s">
        <v>4888</v>
      </c>
      <c r="B1992" t="s">
        <v>862</v>
      </c>
      <c r="C1992" t="s">
        <v>739</v>
      </c>
      <c r="D1992" t="s">
        <v>23</v>
      </c>
      <c r="E1992">
        <v>34</v>
      </c>
      <c r="F1992" t="s">
        <v>238</v>
      </c>
      <c r="G1992" t="s">
        <v>177</v>
      </c>
      <c r="H1992" t="s">
        <v>4889</v>
      </c>
      <c r="I1992" s="1" t="d">
        <v>2013-04-01</v>
      </c>
      <c r="J1992" t="s">
        <v>1569</v>
      </c>
      <c r="K1992" s="17" t="s">
        <v>100</v>
      </c>
      <c r="L1992">
        <v>3</v>
      </c>
    </row>
    <row r="1993" spans="1:12" x14ac:dyDescent="0.25">
      <c r="A1993" t="s">
        <v>4890</v>
      </c>
      <c r="B1993" t="s">
        <v>1441</v>
      </c>
      <c r="C1993" t="s">
        <v>158</v>
      </c>
      <c r="D1993" t="s">
        <v>23</v>
      </c>
      <c r="E1993">
        <v>43</v>
      </c>
      <c r="F1993" t="s">
        <v>186</v>
      </c>
      <c r="G1993" t="s">
        <v>141</v>
      </c>
      <c r="H1993" t="s">
        <v>4891</v>
      </c>
      <c r="I1993" s="1" t="d">
        <v>2021-09-06</v>
      </c>
      <c r="J1993" t="s">
        <v>4892</v>
      </c>
      <c r="K1993" s="17" t="s">
        <v>149</v>
      </c>
      <c r="L1993">
        <v>1</v>
      </c>
    </row>
    <row r="1994" spans="1:12" x14ac:dyDescent="0.25">
      <c r="A1994" t="s">
        <v>4893</v>
      </c>
      <c r="B1994" t="s">
        <v>1368</v>
      </c>
      <c r="C1994" t="s">
        <v>318</v>
      </c>
      <c r="D1994" t="s">
        <v>46</v>
      </c>
      <c r="E1994">
        <v>23</v>
      </c>
      <c r="F1994" t="s">
        <v>146</v>
      </c>
      <c r="G1994" t="s">
        <v>48</v>
      </c>
      <c r="H1994" s="2">
        <v>83552</v>
      </c>
      <c r="I1994" s="1" t="d">
        <v>2007-03-24</v>
      </c>
      <c r="J1994" t="s">
        <v>1965</v>
      </c>
      <c r="K1994" s="17" t="s">
        <v>118</v>
      </c>
      <c r="L1994">
        <v>4</v>
      </c>
    </row>
    <row r="1995" spans="1:12" x14ac:dyDescent="0.25">
      <c r="A1995" t="s">
        <v>4894</v>
      </c>
      <c r="B1995" t="s">
        <v>66</v>
      </c>
      <c r="C1995" t="s">
        <v>2079</v>
      </c>
      <c r="D1995" t="s">
        <v>9527</v>
      </c>
      <c r="E1995">
        <v>44</v>
      </c>
      <c r="G1995" t="s">
        <v>63</v>
      </c>
      <c r="H1995" t="s">
        <v>4895</v>
      </c>
      <c r="I1995" s="1" t="d">
        <v>2010-06-01</v>
      </c>
      <c r="J1995" t="s">
        <v>1547</v>
      </c>
      <c r="K1995" s="17" t="s">
        <v>149</v>
      </c>
      <c r="L1995">
        <v>3</v>
      </c>
    </row>
    <row r="1996" spans="1:12" x14ac:dyDescent="0.25">
      <c r="A1996" t="s">
        <v>4896</v>
      </c>
      <c r="B1996" t="s">
        <v>664</v>
      </c>
      <c r="C1996" t="s">
        <v>1576</v>
      </c>
      <c r="D1996" t="s">
        <v>9527</v>
      </c>
      <c r="E1996">
        <v>55</v>
      </c>
      <c r="F1996" t="s">
        <v>68</v>
      </c>
      <c r="G1996" t="s">
        <v>351</v>
      </c>
      <c r="H1996" t="s">
        <v>4897</v>
      </c>
      <c r="I1996" s="1" t="d">
        <v>2016-05-31</v>
      </c>
      <c r="J1996" t="s">
        <v>4898</v>
      </c>
      <c r="K1996" s="17" t="s">
        <v>58</v>
      </c>
      <c r="L1996">
        <v>2</v>
      </c>
    </row>
    <row r="1997" spans="1:12" x14ac:dyDescent="0.25">
      <c r="A1997" t="s">
        <v>4899</v>
      </c>
      <c r="B1997" t="s">
        <v>4900</v>
      </c>
      <c r="C1997" t="s">
        <v>3425</v>
      </c>
      <c r="D1997" t="s">
        <v>46</v>
      </c>
      <c r="E1997">
        <v>32</v>
      </c>
      <c r="F1997" t="s">
        <v>522</v>
      </c>
      <c r="G1997" t="s">
        <v>177</v>
      </c>
      <c r="H1997" t="s">
        <v>4901</v>
      </c>
      <c r="I1997" s="1" t="d">
        <v>2009-09-08</v>
      </c>
      <c r="J1997" t="s">
        <v>4802</v>
      </c>
      <c r="K1997" s="17" t="s">
        <v>149</v>
      </c>
      <c r="L1997">
        <v>5</v>
      </c>
    </row>
    <row r="1998" spans="1:12" x14ac:dyDescent="0.25">
      <c r="A1998" t="s">
        <v>4902</v>
      </c>
      <c r="B1998" t="s">
        <v>4379</v>
      </c>
      <c r="C1998" t="s">
        <v>2755</v>
      </c>
      <c r="D1998" t="s">
        <v>23</v>
      </c>
      <c r="E1998">
        <v>27</v>
      </c>
      <c r="F1998" t="s">
        <v>399</v>
      </c>
      <c r="G1998" t="s">
        <v>1285</v>
      </c>
      <c r="H1998">
        <v>59261</v>
      </c>
      <c r="I1998" s="1" t="d">
        <v>2007-09-10</v>
      </c>
      <c r="J1998" t="s">
        <v>343</v>
      </c>
      <c r="K1998" s="17" t="s">
        <v>58</v>
      </c>
      <c r="L1998">
        <v>4</v>
      </c>
    </row>
    <row r="1999" spans="1:12" x14ac:dyDescent="0.25">
      <c r="A1999" t="s">
        <v>4903</v>
      </c>
      <c r="B1999" t="s">
        <v>659</v>
      </c>
      <c r="C1999" t="s">
        <v>1901</v>
      </c>
      <c r="D1999" t="s">
        <v>23</v>
      </c>
      <c r="E1999">
        <v>50</v>
      </c>
      <c r="F1999" t="s">
        <v>645</v>
      </c>
      <c r="G1999" t="s">
        <v>170</v>
      </c>
      <c r="H1999">
        <v>39331</v>
      </c>
      <c r="I1999" s="1" t="d">
        <v>2023-10-02</v>
      </c>
      <c r="J1999" t="s">
        <v>1578</v>
      </c>
      <c r="K1999" s="17" t="s">
        <v>100</v>
      </c>
      <c r="L1999">
        <v>4</v>
      </c>
    </row>
    <row r="2000" spans="1:12" x14ac:dyDescent="0.25">
      <c r="A2000" t="s">
        <v>4904</v>
      </c>
      <c r="B2000" t="s">
        <v>404</v>
      </c>
      <c r="C2000" t="s">
        <v>4905</v>
      </c>
      <c r="D2000" t="s">
        <v>23</v>
      </c>
      <c r="E2000">
        <v>45</v>
      </c>
      <c r="F2000" t="s">
        <v>1983</v>
      </c>
      <c r="G2000" t="s">
        <v>191</v>
      </c>
      <c r="H2000" t="s">
        <v>4906</v>
      </c>
      <c r="I2000" s="1" t="d">
        <v>2018-11-10</v>
      </c>
      <c r="J2000" t="s">
        <v>4907</v>
      </c>
      <c r="K2000" s="17" t="s">
        <v>100</v>
      </c>
      <c r="L2000">
        <v>4</v>
      </c>
    </row>
    <row r="2001" spans="1:12" x14ac:dyDescent="0.25">
      <c r="A2001" t="s">
        <v>4908</v>
      </c>
      <c r="B2001" t="s">
        <v>404</v>
      </c>
      <c r="C2001" t="s">
        <v>152</v>
      </c>
      <c r="D2001" t="s">
        <v>23</v>
      </c>
      <c r="E2001">
        <v>35</v>
      </c>
      <c r="F2001" t="s">
        <v>47</v>
      </c>
      <c r="G2001" t="s">
        <v>357</v>
      </c>
      <c r="I2001" s="1" t="d">
        <v>2013-12-01</v>
      </c>
      <c r="J2001" t="s">
        <v>3750</v>
      </c>
      <c r="K2001" s="17" t="s">
        <v>19</v>
      </c>
      <c r="L2001">
        <v>3</v>
      </c>
    </row>
    <row r="2002" spans="1:12" x14ac:dyDescent="0.25">
      <c r="A2002" t="s">
        <v>4909</v>
      </c>
      <c r="B2002" t="s">
        <v>1350</v>
      </c>
      <c r="C2002" t="s">
        <v>1881</v>
      </c>
      <c r="D2002" t="s">
        <v>23</v>
      </c>
      <c r="E2002">
        <v>43</v>
      </c>
      <c r="F2002" t="s">
        <v>576</v>
      </c>
      <c r="G2002" t="s">
        <v>16</v>
      </c>
      <c r="H2002" t="s">
        <v>4910</v>
      </c>
      <c r="I2002" s="1" t="d">
        <v>2024-02-25</v>
      </c>
      <c r="J2002" t="s">
        <v>3929</v>
      </c>
      <c r="K2002" s="17" t="s">
        <v>118</v>
      </c>
      <c r="L2002">
        <v>4</v>
      </c>
    </row>
    <row r="2003" spans="1:12" x14ac:dyDescent="0.25">
      <c r="A2003" t="s">
        <v>4911</v>
      </c>
      <c r="B2003" t="s">
        <v>37</v>
      </c>
      <c r="C2003" t="s">
        <v>291</v>
      </c>
      <c r="D2003" t="s">
        <v>23</v>
      </c>
      <c r="E2003">
        <v>39</v>
      </c>
      <c r="F2003" t="s">
        <v>645</v>
      </c>
      <c r="G2003" t="s">
        <v>1285</v>
      </c>
      <c r="I2003" s="1" t="d">
        <v>2009-09-26</v>
      </c>
      <c r="J2003" t="s">
        <v>4691</v>
      </c>
      <c r="K2003" s="17" t="s">
        <v>34</v>
      </c>
      <c r="L2003">
        <v>2</v>
      </c>
    </row>
    <row r="2004" spans="1:12" x14ac:dyDescent="0.25">
      <c r="A2004" t="s">
        <v>4912</v>
      </c>
      <c r="B2004" t="s">
        <v>563</v>
      </c>
      <c r="C2004" t="s">
        <v>540</v>
      </c>
      <c r="D2004" t="s">
        <v>23</v>
      </c>
      <c r="E2004">
        <v>42</v>
      </c>
      <c r="F2004" t="s">
        <v>417</v>
      </c>
      <c r="G2004" t="s">
        <v>191</v>
      </c>
      <c r="H2004">
        <v>57768</v>
      </c>
      <c r="I2004" s="1" t="d">
        <v>2019-05-07</v>
      </c>
      <c r="J2004" t="s">
        <v>4913</v>
      </c>
      <c r="K2004" s="17" t="s">
        <v>90</v>
      </c>
      <c r="L2004">
        <v>2</v>
      </c>
    </row>
    <row r="2005" spans="1:12" x14ac:dyDescent="0.25">
      <c r="A2005" t="s">
        <v>4914</v>
      </c>
      <c r="B2005" t="s">
        <v>846</v>
      </c>
      <c r="C2005" t="s">
        <v>599</v>
      </c>
      <c r="D2005" t="s">
        <v>23</v>
      </c>
      <c r="E2005">
        <v>21</v>
      </c>
      <c r="F2005" t="s">
        <v>230</v>
      </c>
      <c r="G2005" t="s">
        <v>88</v>
      </c>
      <c r="H2005" t="s">
        <v>4915</v>
      </c>
      <c r="I2005" s="1" t="d">
        <v>2012-12-03</v>
      </c>
      <c r="J2005" t="s">
        <v>4776</v>
      </c>
      <c r="K2005" s="17" t="s">
        <v>27</v>
      </c>
      <c r="L2005">
        <v>2</v>
      </c>
    </row>
    <row r="2006" spans="1:12" x14ac:dyDescent="0.25">
      <c r="A2006" t="s">
        <v>2364</v>
      </c>
      <c r="B2006" t="s">
        <v>2365</v>
      </c>
      <c r="C2006" t="s">
        <v>295</v>
      </c>
      <c r="D2006" t="s">
        <v>9527</v>
      </c>
      <c r="E2006">
        <v>25</v>
      </c>
      <c r="F2006" t="s">
        <v>1532</v>
      </c>
      <c r="G2006" t="s">
        <v>39</v>
      </c>
      <c r="H2006" s="2">
        <v>50703</v>
      </c>
      <c r="I2006" s="1" t="d">
        <v>2012-10-19</v>
      </c>
      <c r="J2006" t="s">
        <v>2366</v>
      </c>
      <c r="K2006" s="17" t="s">
        <v>207</v>
      </c>
      <c r="L2006">
        <v>3</v>
      </c>
    </row>
    <row r="2007" spans="1:12" x14ac:dyDescent="0.25">
      <c r="A2007" t="s">
        <v>4916</v>
      </c>
      <c r="B2007" t="s">
        <v>323</v>
      </c>
      <c r="C2007" t="s">
        <v>395</v>
      </c>
      <c r="D2007" t="s">
        <v>9527</v>
      </c>
      <c r="E2007">
        <v>31</v>
      </c>
      <c r="F2007" t="s">
        <v>576</v>
      </c>
      <c r="G2007" t="s">
        <v>205</v>
      </c>
      <c r="H2007" t="s">
        <v>4917</v>
      </c>
      <c r="I2007" s="1" t="d">
        <v>2017-05-12</v>
      </c>
      <c r="J2007" t="s">
        <v>4918</v>
      </c>
      <c r="K2007" s="17" t="s">
        <v>27</v>
      </c>
      <c r="L2007">
        <v>4</v>
      </c>
    </row>
    <row r="2008" spans="1:12" x14ac:dyDescent="0.25">
      <c r="A2008" t="s">
        <v>4919</v>
      </c>
      <c r="B2008" t="s">
        <v>151</v>
      </c>
      <c r="C2008" t="s">
        <v>4920</v>
      </c>
      <c r="D2008" t="s">
        <v>23</v>
      </c>
      <c r="E2008">
        <v>32</v>
      </c>
      <c r="F2008" t="s">
        <v>373</v>
      </c>
      <c r="G2008" t="s">
        <v>88</v>
      </c>
      <c r="H2008" t="s">
        <v>4921</v>
      </c>
      <c r="I2008" s="1" t="d">
        <v>2010-07-21</v>
      </c>
      <c r="J2008" t="s">
        <v>4922</v>
      </c>
      <c r="K2008" s="17" t="s">
        <v>90</v>
      </c>
      <c r="L2008">
        <v>4</v>
      </c>
    </row>
    <row r="2009" spans="1:12" x14ac:dyDescent="0.25">
      <c r="A2009" t="s">
        <v>4923</v>
      </c>
      <c r="B2009" t="s">
        <v>162</v>
      </c>
      <c r="C2009" t="s">
        <v>3075</v>
      </c>
      <c r="D2009" t="s">
        <v>9527</v>
      </c>
      <c r="E2009">
        <v>46</v>
      </c>
      <c r="F2009" t="s">
        <v>269</v>
      </c>
      <c r="G2009" t="s">
        <v>191</v>
      </c>
      <c r="H2009" t="s">
        <v>4924</v>
      </c>
      <c r="I2009" s="1" t="d">
        <v>2013-07-10</v>
      </c>
      <c r="J2009" t="s">
        <v>1323</v>
      </c>
      <c r="K2009" s="17" t="s">
        <v>207</v>
      </c>
      <c r="L2009">
        <v>3</v>
      </c>
    </row>
    <row r="2010" spans="1:12" x14ac:dyDescent="0.25">
      <c r="A2010" t="s">
        <v>4925</v>
      </c>
      <c r="B2010" t="s">
        <v>470</v>
      </c>
      <c r="C2010" t="s">
        <v>427</v>
      </c>
      <c r="D2010" t="s">
        <v>46</v>
      </c>
      <c r="E2010">
        <v>43</v>
      </c>
      <c r="F2010" t="s">
        <v>918</v>
      </c>
      <c r="G2010" t="s">
        <v>1329</v>
      </c>
      <c r="H2010" t="s">
        <v>4926</v>
      </c>
      <c r="I2010" s="1" t="d">
        <v>2016-10-04</v>
      </c>
      <c r="J2010" t="s">
        <v>3238</v>
      </c>
      <c r="K2010" s="17" t="s">
        <v>19</v>
      </c>
      <c r="L2010">
        <v>4</v>
      </c>
    </row>
    <row r="2011" spans="1:12" x14ac:dyDescent="0.25">
      <c r="A2011" t="s">
        <v>4927</v>
      </c>
      <c r="B2011" t="s">
        <v>102</v>
      </c>
      <c r="C2011" t="s">
        <v>318</v>
      </c>
      <c r="D2011" t="s">
        <v>46</v>
      </c>
      <c r="E2011">
        <v>35</v>
      </c>
      <c r="F2011" t="s">
        <v>422</v>
      </c>
      <c r="G2011" t="s">
        <v>82</v>
      </c>
      <c r="H2011">
        <v>68759</v>
      </c>
      <c r="I2011" s="1" t="d">
        <v>2009-08-10</v>
      </c>
      <c r="J2011" t="s">
        <v>321</v>
      </c>
      <c r="K2011" s="17" t="s">
        <v>27</v>
      </c>
      <c r="L2011">
        <v>4</v>
      </c>
    </row>
    <row r="2012" spans="1:12" x14ac:dyDescent="0.25">
      <c r="A2012" t="s">
        <v>4928</v>
      </c>
      <c r="B2012" t="s">
        <v>670</v>
      </c>
      <c r="C2012" t="s">
        <v>61</v>
      </c>
      <c r="D2012" t="s">
        <v>46</v>
      </c>
      <c r="E2012">
        <v>31</v>
      </c>
      <c r="F2012" t="s">
        <v>589</v>
      </c>
      <c r="G2012" t="s">
        <v>63</v>
      </c>
      <c r="H2012" t="s">
        <v>4929</v>
      </c>
      <c r="I2012" s="1" t="d">
        <v>2019-09-03</v>
      </c>
      <c r="J2012" t="s">
        <v>4930</v>
      </c>
      <c r="K2012" s="17" t="s">
        <v>184</v>
      </c>
      <c r="L2012">
        <v>5</v>
      </c>
    </row>
    <row r="2013" spans="1:12" x14ac:dyDescent="0.25">
      <c r="A2013" t="s">
        <v>4931</v>
      </c>
      <c r="B2013" t="s">
        <v>3562</v>
      </c>
      <c r="C2013" t="s">
        <v>631</v>
      </c>
      <c r="D2013" t="s">
        <v>9527</v>
      </c>
      <c r="E2013">
        <v>41</v>
      </c>
      <c r="G2013" t="s">
        <v>39</v>
      </c>
      <c r="H2013" t="s">
        <v>4932</v>
      </c>
      <c r="I2013" s="1" t="d">
        <v>2005-03-05</v>
      </c>
      <c r="J2013" t="s">
        <v>4709</v>
      </c>
      <c r="K2013" s="17" t="s">
        <v>19</v>
      </c>
      <c r="L2013">
        <v>4</v>
      </c>
    </row>
    <row r="2014" spans="1:12" x14ac:dyDescent="0.25">
      <c r="A2014" t="s">
        <v>4933</v>
      </c>
      <c r="B2014" t="s">
        <v>410</v>
      </c>
      <c r="C2014" t="s">
        <v>540</v>
      </c>
      <c r="D2014" t="s">
        <v>9527</v>
      </c>
      <c r="E2014">
        <v>34</v>
      </c>
      <c r="F2014" t="s">
        <v>253</v>
      </c>
      <c r="G2014" t="s">
        <v>82</v>
      </c>
      <c r="H2014" t="s">
        <v>4934</v>
      </c>
      <c r="I2014" s="1" t="d">
        <v>2006-11-05</v>
      </c>
      <c r="J2014" t="s">
        <v>2675</v>
      </c>
      <c r="K2014" s="17" t="s">
        <v>370</v>
      </c>
      <c r="L2014">
        <v>5</v>
      </c>
    </row>
    <row r="2015" spans="1:12" x14ac:dyDescent="0.25">
      <c r="A2015" t="s">
        <v>4935</v>
      </c>
      <c r="B2015" t="s">
        <v>804</v>
      </c>
      <c r="C2015" t="s">
        <v>858</v>
      </c>
      <c r="D2015" t="s">
        <v>9527</v>
      </c>
      <c r="E2015">
        <v>30</v>
      </c>
      <c r="F2015" t="s">
        <v>399</v>
      </c>
      <c r="G2015" t="s">
        <v>3253</v>
      </c>
      <c r="H2015">
        <v>93254</v>
      </c>
      <c r="I2015" s="1" t="d">
        <v>2017-12-26</v>
      </c>
      <c r="J2015" t="s">
        <v>4936</v>
      </c>
      <c r="K2015" s="17" t="s">
        <v>207</v>
      </c>
      <c r="L2015">
        <v>4</v>
      </c>
    </row>
    <row r="2016" spans="1:12" x14ac:dyDescent="0.25">
      <c r="A2016" t="s">
        <v>4937</v>
      </c>
      <c r="B2016" t="s">
        <v>901</v>
      </c>
      <c r="C2016" t="s">
        <v>624</v>
      </c>
      <c r="D2016" t="s">
        <v>9527</v>
      </c>
      <c r="E2016">
        <v>48</v>
      </c>
      <c r="F2016" t="s">
        <v>417</v>
      </c>
      <c r="G2016" t="s">
        <v>48</v>
      </c>
      <c r="I2016" s="1" t="d">
        <v>2018-09-03</v>
      </c>
      <c r="J2016" t="s">
        <v>3251</v>
      </c>
      <c r="K2016" s="17" t="s">
        <v>90</v>
      </c>
      <c r="L2016">
        <v>3</v>
      </c>
    </row>
    <row r="2017" spans="1:12" x14ac:dyDescent="0.25">
      <c r="A2017" t="s">
        <v>4938</v>
      </c>
      <c r="B2017" t="s">
        <v>162</v>
      </c>
      <c r="C2017" t="s">
        <v>1770</v>
      </c>
      <c r="D2017" t="s">
        <v>46</v>
      </c>
      <c r="E2017">
        <v>32</v>
      </c>
      <c r="F2017" t="s">
        <v>3085</v>
      </c>
      <c r="G2017" t="s">
        <v>600</v>
      </c>
      <c r="H2017" t="s">
        <v>4939</v>
      </c>
      <c r="I2017" s="1" t="d">
        <v>2023-08-01</v>
      </c>
      <c r="J2017" t="s">
        <v>3335</v>
      </c>
      <c r="K2017" s="17" t="s">
        <v>207</v>
      </c>
      <c r="L2017">
        <v>3</v>
      </c>
    </row>
    <row r="2018" spans="1:12" x14ac:dyDescent="0.25">
      <c r="A2018" t="s">
        <v>4940</v>
      </c>
      <c r="B2018" t="s">
        <v>786</v>
      </c>
      <c r="C2018" t="s">
        <v>521</v>
      </c>
      <c r="D2018" t="s">
        <v>46</v>
      </c>
      <c r="E2018">
        <v>33</v>
      </c>
      <c r="F2018" t="s">
        <v>122</v>
      </c>
      <c r="G2018" t="s">
        <v>39</v>
      </c>
      <c r="H2018" t="s">
        <v>4941</v>
      </c>
      <c r="I2018" s="1" t="d">
        <v>2015-08-13</v>
      </c>
      <c r="J2018" t="s">
        <v>333</v>
      </c>
      <c r="K2018" s="17" t="s">
        <v>118</v>
      </c>
      <c r="L2018">
        <v>3</v>
      </c>
    </row>
    <row r="2019" spans="1:12" x14ac:dyDescent="0.25">
      <c r="A2019" t="s">
        <v>4942</v>
      </c>
      <c r="B2019" t="s">
        <v>1181</v>
      </c>
      <c r="C2019" t="s">
        <v>324</v>
      </c>
      <c r="D2019" t="s">
        <v>23</v>
      </c>
      <c r="E2019">
        <v>54</v>
      </c>
      <c r="F2019" t="s">
        <v>1839</v>
      </c>
      <c r="G2019" t="s">
        <v>39</v>
      </c>
      <c r="H2019" t="s">
        <v>4943</v>
      </c>
      <c r="I2019" s="1" t="d">
        <v>2008-05-09</v>
      </c>
      <c r="J2019" t="s">
        <v>4194</v>
      </c>
      <c r="K2019" s="17" t="s">
        <v>207</v>
      </c>
      <c r="L2019">
        <v>3</v>
      </c>
    </row>
    <row r="2020" spans="1:12" x14ac:dyDescent="0.25">
      <c r="A2020" t="s">
        <v>4944</v>
      </c>
      <c r="B2020" t="s">
        <v>79</v>
      </c>
      <c r="C2020" t="s">
        <v>1205</v>
      </c>
      <c r="D2020" t="s">
        <v>23</v>
      </c>
      <c r="E2020">
        <v>33</v>
      </c>
      <c r="F2020" t="s">
        <v>114</v>
      </c>
      <c r="G2020" t="s">
        <v>337</v>
      </c>
      <c r="H2020" t="s">
        <v>4945</v>
      </c>
      <c r="I2020" s="1" t="d">
        <v>2006-09-15</v>
      </c>
      <c r="J2020" t="s">
        <v>2184</v>
      </c>
      <c r="K2020" s="17" t="s">
        <v>34</v>
      </c>
      <c r="L2020">
        <v>5</v>
      </c>
    </row>
    <row r="2021" spans="1:12" x14ac:dyDescent="0.25">
      <c r="A2021" t="s">
        <v>4946</v>
      </c>
      <c r="B2021" t="s">
        <v>120</v>
      </c>
      <c r="C2021" t="s">
        <v>318</v>
      </c>
      <c r="D2021" t="s">
        <v>9527</v>
      </c>
      <c r="E2021">
        <v>43</v>
      </c>
      <c r="F2021" t="s">
        <v>356</v>
      </c>
      <c r="G2021" t="s">
        <v>55</v>
      </c>
      <c r="I2021" s="1" t="d">
        <v>2016-07-27</v>
      </c>
      <c r="J2021" t="s">
        <v>4730</v>
      </c>
      <c r="K2021" s="17" t="s">
        <v>27</v>
      </c>
      <c r="L2021">
        <v>3</v>
      </c>
    </row>
    <row r="2022" spans="1:12" x14ac:dyDescent="0.25">
      <c r="A2022" t="s">
        <v>4947</v>
      </c>
      <c r="B2022" t="s">
        <v>684</v>
      </c>
      <c r="C2022" t="s">
        <v>318</v>
      </c>
      <c r="D2022" t="s">
        <v>9527</v>
      </c>
      <c r="E2022">
        <v>33</v>
      </c>
      <c r="F2022" t="s">
        <v>196</v>
      </c>
      <c r="G2022" t="s">
        <v>283</v>
      </c>
      <c r="I2022" s="1" t="d">
        <v>2017-02-09</v>
      </c>
      <c r="J2022" t="s">
        <v>4948</v>
      </c>
      <c r="K2022" s="17" t="s">
        <v>50</v>
      </c>
      <c r="L2022">
        <v>3</v>
      </c>
    </row>
    <row r="2023" spans="1:12" x14ac:dyDescent="0.25">
      <c r="A2023" t="s">
        <v>4949</v>
      </c>
      <c r="B2023" t="s">
        <v>507</v>
      </c>
      <c r="C2023" t="s">
        <v>710</v>
      </c>
      <c r="D2023" t="s">
        <v>9527</v>
      </c>
      <c r="E2023">
        <v>54</v>
      </c>
      <c r="G2023" t="s">
        <v>115</v>
      </c>
      <c r="H2023" t="s">
        <v>4950</v>
      </c>
      <c r="I2023" s="1" t="d">
        <v>2017-04-25</v>
      </c>
      <c r="J2023" t="s">
        <v>4951</v>
      </c>
      <c r="K2023" s="17" t="s">
        <v>50</v>
      </c>
      <c r="L2023">
        <v>4</v>
      </c>
    </row>
    <row r="2024" spans="1:12" x14ac:dyDescent="0.25">
      <c r="A2024" t="s">
        <v>4952</v>
      </c>
      <c r="B2024" t="s">
        <v>199</v>
      </c>
      <c r="C2024" t="s">
        <v>168</v>
      </c>
      <c r="D2024" t="s">
        <v>9527</v>
      </c>
      <c r="E2024">
        <v>28</v>
      </c>
      <c r="F2024" t="s">
        <v>645</v>
      </c>
      <c r="G2024" t="s">
        <v>1703</v>
      </c>
      <c r="I2024" s="1" t="d">
        <v>2007-02-26</v>
      </c>
      <c r="J2024" t="s">
        <v>1741</v>
      </c>
      <c r="K2024" s="17" t="s">
        <v>90</v>
      </c>
      <c r="L2024">
        <v>3</v>
      </c>
    </row>
    <row r="2025" spans="1:12" x14ac:dyDescent="0.25">
      <c r="A2025" t="s">
        <v>4953</v>
      </c>
      <c r="B2025" t="s">
        <v>1172</v>
      </c>
      <c r="C2025" t="s">
        <v>61</v>
      </c>
      <c r="D2025" t="s">
        <v>23</v>
      </c>
      <c r="E2025">
        <v>38</v>
      </c>
      <c r="F2025" t="s">
        <v>918</v>
      </c>
      <c r="G2025" t="s">
        <v>177</v>
      </c>
      <c r="H2025" t="s">
        <v>4954</v>
      </c>
      <c r="I2025" s="1" t="d">
        <v>2021-01-19</v>
      </c>
      <c r="J2025" t="s">
        <v>4160</v>
      </c>
      <c r="K2025" s="17" t="s">
        <v>100</v>
      </c>
      <c r="L2025">
        <v>4</v>
      </c>
    </row>
    <row r="2026" spans="1:12" x14ac:dyDescent="0.25">
      <c r="A2026" t="s">
        <v>4955</v>
      </c>
      <c r="B2026" t="s">
        <v>4956</v>
      </c>
      <c r="C2026" t="s">
        <v>225</v>
      </c>
      <c r="D2026" t="s">
        <v>23</v>
      </c>
      <c r="E2026">
        <v>34</v>
      </c>
      <c r="F2026" t="s">
        <v>859</v>
      </c>
      <c r="G2026" t="s">
        <v>212</v>
      </c>
      <c r="H2026">
        <v>-74166</v>
      </c>
      <c r="I2026" s="1" t="d">
        <v>2020-02-16</v>
      </c>
      <c r="J2026" t="s">
        <v>4754</v>
      </c>
      <c r="K2026" s="17" t="s">
        <v>100</v>
      </c>
      <c r="L2026">
        <v>3</v>
      </c>
    </row>
    <row r="2027" spans="1:12" x14ac:dyDescent="0.25">
      <c r="A2027" t="s">
        <v>4957</v>
      </c>
      <c r="B2027" t="s">
        <v>120</v>
      </c>
      <c r="C2027" t="s">
        <v>4958</v>
      </c>
      <c r="D2027" t="s">
        <v>23</v>
      </c>
      <c r="E2027">
        <v>21</v>
      </c>
      <c r="F2027" t="s">
        <v>54</v>
      </c>
      <c r="G2027" t="s">
        <v>177</v>
      </c>
      <c r="H2027" t="s">
        <v>4959</v>
      </c>
      <c r="I2027" s="1" t="d">
        <v>2023-04-29</v>
      </c>
      <c r="J2027" t="s">
        <v>2832</v>
      </c>
      <c r="K2027" s="17" t="s">
        <v>149</v>
      </c>
      <c r="L2027">
        <v>4</v>
      </c>
    </row>
    <row r="2028" spans="1:12" x14ac:dyDescent="0.25">
      <c r="A2028" t="s">
        <v>4960</v>
      </c>
      <c r="B2028" t="s">
        <v>482</v>
      </c>
      <c r="C2028" t="s">
        <v>1901</v>
      </c>
      <c r="D2028" t="s">
        <v>46</v>
      </c>
      <c r="E2028">
        <v>22</v>
      </c>
      <c r="F2028" t="s">
        <v>4397</v>
      </c>
      <c r="G2028" t="s">
        <v>170</v>
      </c>
      <c r="H2028" s="2">
        <v>48789</v>
      </c>
      <c r="I2028" s="1" t="d">
        <v>2024-05-10</v>
      </c>
      <c r="J2028" t="s">
        <v>2138</v>
      </c>
      <c r="K2028" s="17" t="s">
        <v>149</v>
      </c>
      <c r="L2028">
        <v>4</v>
      </c>
    </row>
    <row r="2029" spans="1:12" x14ac:dyDescent="0.25">
      <c r="A2029" t="s">
        <v>4961</v>
      </c>
      <c r="B2029" t="s">
        <v>2061</v>
      </c>
      <c r="C2029" t="s">
        <v>1463</v>
      </c>
      <c r="D2029" t="s">
        <v>23</v>
      </c>
      <c r="E2029">
        <v>38</v>
      </c>
      <c r="F2029" t="s">
        <v>645</v>
      </c>
      <c r="G2029" t="s">
        <v>191</v>
      </c>
      <c r="H2029" t="s">
        <v>4962</v>
      </c>
      <c r="I2029" s="1" t="d">
        <v>2007-03-05</v>
      </c>
      <c r="J2029" t="s">
        <v>2351</v>
      </c>
      <c r="K2029" s="17" t="s">
        <v>58</v>
      </c>
      <c r="L2029">
        <v>3</v>
      </c>
    </row>
    <row r="2030" spans="1:12" x14ac:dyDescent="0.25">
      <c r="A2030" t="s">
        <v>4963</v>
      </c>
      <c r="B2030" t="s">
        <v>1503</v>
      </c>
      <c r="C2030" t="s">
        <v>1266</v>
      </c>
      <c r="D2030" t="s">
        <v>9527</v>
      </c>
      <c r="E2030">
        <v>42</v>
      </c>
      <c r="G2030" t="s">
        <v>212</v>
      </c>
      <c r="I2030" s="1" t="d">
        <v>2014-11-25</v>
      </c>
      <c r="J2030" t="s">
        <v>1915</v>
      </c>
      <c r="K2030" s="17" t="s">
        <v>42</v>
      </c>
      <c r="L2030">
        <v>4</v>
      </c>
    </row>
    <row r="2031" spans="1:12" x14ac:dyDescent="0.25">
      <c r="A2031" t="s">
        <v>4964</v>
      </c>
      <c r="B2031" t="s">
        <v>833</v>
      </c>
      <c r="C2031" t="s">
        <v>195</v>
      </c>
      <c r="D2031" t="s">
        <v>46</v>
      </c>
      <c r="E2031">
        <v>48</v>
      </c>
      <c r="F2031" t="s">
        <v>169</v>
      </c>
      <c r="G2031" t="s">
        <v>1446</v>
      </c>
      <c r="H2031" t="s">
        <v>4965</v>
      </c>
      <c r="I2031" s="1" t="d">
        <v>2020-11-27</v>
      </c>
      <c r="J2031" t="s">
        <v>1533</v>
      </c>
      <c r="K2031" s="17" t="s">
        <v>42</v>
      </c>
      <c r="L2031">
        <v>5</v>
      </c>
    </row>
    <row r="2032" spans="1:12" x14ac:dyDescent="0.25">
      <c r="A2032" t="s">
        <v>4966</v>
      </c>
      <c r="B2032" t="s">
        <v>826</v>
      </c>
      <c r="C2032" t="s">
        <v>2562</v>
      </c>
      <c r="D2032" t="s">
        <v>9527</v>
      </c>
      <c r="E2032">
        <v>28</v>
      </c>
      <c r="F2032" t="s">
        <v>253</v>
      </c>
      <c r="G2032" t="s">
        <v>39</v>
      </c>
      <c r="H2032" s="2">
        <v>999999</v>
      </c>
      <c r="I2032" s="1" t="d">
        <v>2014-02-26</v>
      </c>
      <c r="J2032" t="s">
        <v>4967</v>
      </c>
      <c r="K2032" s="17" t="s">
        <v>34</v>
      </c>
      <c r="L2032">
        <v>3</v>
      </c>
    </row>
    <row r="2033" spans="1:12" x14ac:dyDescent="0.25">
      <c r="A2033" t="s">
        <v>4968</v>
      </c>
      <c r="B2033" t="s">
        <v>281</v>
      </c>
      <c r="C2033" t="s">
        <v>886</v>
      </c>
      <c r="D2033" t="s">
        <v>46</v>
      </c>
      <c r="E2033">
        <v>38</v>
      </c>
      <c r="F2033" t="s">
        <v>422</v>
      </c>
      <c r="G2033" t="s">
        <v>82</v>
      </c>
      <c r="H2033" t="s">
        <v>4969</v>
      </c>
      <c r="I2033" s="1" t="d">
        <v>2005-04-25</v>
      </c>
      <c r="J2033" t="s">
        <v>2195</v>
      </c>
      <c r="K2033" s="17" t="s">
        <v>90</v>
      </c>
      <c r="L2033">
        <v>3</v>
      </c>
    </row>
    <row r="2034" spans="1:12" x14ac:dyDescent="0.25">
      <c r="A2034" t="s">
        <v>4970</v>
      </c>
      <c r="B2034" t="s">
        <v>4971</v>
      </c>
      <c r="C2034" t="s">
        <v>3175</v>
      </c>
      <c r="D2034" t="s">
        <v>46</v>
      </c>
      <c r="E2034">
        <v>49</v>
      </c>
      <c r="F2034" t="s">
        <v>68</v>
      </c>
      <c r="G2034" t="s">
        <v>115</v>
      </c>
      <c r="H2034" t="s">
        <v>4972</v>
      </c>
      <c r="I2034" s="1" t="d">
        <v>2019-12-23</v>
      </c>
      <c r="J2034" t="s">
        <v>1697</v>
      </c>
      <c r="K2034" s="17" t="s">
        <v>100</v>
      </c>
      <c r="L2034">
        <v>3</v>
      </c>
    </row>
    <row r="2035" spans="1:12" x14ac:dyDescent="0.25">
      <c r="A2035" t="s">
        <v>4973</v>
      </c>
      <c r="B2035" t="s">
        <v>594</v>
      </c>
      <c r="C2035" t="s">
        <v>1326</v>
      </c>
      <c r="D2035" t="s">
        <v>9527</v>
      </c>
      <c r="E2035">
        <v>53</v>
      </c>
      <c r="F2035" t="s">
        <v>411</v>
      </c>
      <c r="G2035" t="s">
        <v>141</v>
      </c>
      <c r="H2035" t="s">
        <v>4974</v>
      </c>
      <c r="I2035" s="1" t="d">
        <v>2006-05-22</v>
      </c>
      <c r="J2035" t="s">
        <v>4975</v>
      </c>
      <c r="K2035" s="17" t="s">
        <v>58</v>
      </c>
      <c r="L2035">
        <v>2</v>
      </c>
    </row>
    <row r="2036" spans="1:12" x14ac:dyDescent="0.25">
      <c r="A2036" t="s">
        <v>4976</v>
      </c>
      <c r="B2036" t="s">
        <v>125</v>
      </c>
      <c r="C2036" t="s">
        <v>729</v>
      </c>
      <c r="D2036" t="s">
        <v>23</v>
      </c>
      <c r="E2036">
        <v>21</v>
      </c>
      <c r="F2036" t="s">
        <v>104</v>
      </c>
      <c r="G2036" t="s">
        <v>288</v>
      </c>
      <c r="H2036" t="s">
        <v>4977</v>
      </c>
      <c r="I2036" s="1" t="d">
        <v>2017-07-02</v>
      </c>
      <c r="J2036" t="s">
        <v>1456</v>
      </c>
      <c r="K2036" s="17" t="s">
        <v>50</v>
      </c>
      <c r="L2036">
        <v>5</v>
      </c>
    </row>
    <row r="2037" spans="1:12" x14ac:dyDescent="0.25">
      <c r="A2037" t="s">
        <v>4978</v>
      </c>
      <c r="B2037" t="s">
        <v>4839</v>
      </c>
      <c r="C2037" t="s">
        <v>163</v>
      </c>
      <c r="D2037" t="s">
        <v>9527</v>
      </c>
      <c r="E2037">
        <v>38</v>
      </c>
      <c r="F2037" t="s">
        <v>2024</v>
      </c>
      <c r="G2037" t="s">
        <v>782</v>
      </c>
      <c r="H2037" t="s">
        <v>4979</v>
      </c>
      <c r="I2037" s="1" t="d">
        <v>2017-01-18</v>
      </c>
      <c r="J2037" t="s">
        <v>4980</v>
      </c>
      <c r="K2037" s="17" t="s">
        <v>34</v>
      </c>
      <c r="L2037">
        <v>4</v>
      </c>
    </row>
    <row r="2038" spans="1:12" x14ac:dyDescent="0.25">
      <c r="A2038" t="s">
        <v>4981</v>
      </c>
      <c r="B2038" t="s">
        <v>1350</v>
      </c>
      <c r="C2038" t="s">
        <v>1734</v>
      </c>
      <c r="D2038" t="s">
        <v>46</v>
      </c>
      <c r="E2038">
        <v>39</v>
      </c>
      <c r="F2038" t="s">
        <v>196</v>
      </c>
      <c r="G2038" t="s">
        <v>131</v>
      </c>
      <c r="H2038" t="s">
        <v>4982</v>
      </c>
      <c r="J2038" t="s">
        <v>4983</v>
      </c>
      <c r="K2038" s="17" t="s">
        <v>58</v>
      </c>
      <c r="L2038">
        <v>3</v>
      </c>
    </row>
    <row r="2039" spans="1:12" x14ac:dyDescent="0.25">
      <c r="A2039" t="s">
        <v>4984</v>
      </c>
      <c r="B2039" t="s">
        <v>52</v>
      </c>
      <c r="C2039" t="s">
        <v>827</v>
      </c>
      <c r="D2039" t="s">
        <v>9527</v>
      </c>
      <c r="E2039">
        <v>29</v>
      </c>
      <c r="F2039" t="s">
        <v>411</v>
      </c>
      <c r="G2039" t="s">
        <v>351</v>
      </c>
      <c r="H2039" t="s">
        <v>4985</v>
      </c>
      <c r="I2039" s="1" t="d">
        <v>2007-09-23</v>
      </c>
      <c r="J2039" t="s">
        <v>4986</v>
      </c>
      <c r="K2039" s="17" t="s">
        <v>27</v>
      </c>
      <c r="L2039">
        <v>4</v>
      </c>
    </row>
    <row r="2040" spans="1:12" x14ac:dyDescent="0.25">
      <c r="A2040" t="s">
        <v>4987</v>
      </c>
      <c r="B2040" t="s">
        <v>167</v>
      </c>
      <c r="C2040" t="s">
        <v>244</v>
      </c>
      <c r="D2040" t="s">
        <v>9527</v>
      </c>
      <c r="E2040">
        <v>28</v>
      </c>
      <c r="F2040" t="s">
        <v>108</v>
      </c>
      <c r="G2040" t="s">
        <v>3197</v>
      </c>
      <c r="H2040" t="s">
        <v>4988</v>
      </c>
      <c r="I2040" s="1" t="d">
        <v>2013-08-31</v>
      </c>
      <c r="J2040" t="s">
        <v>986</v>
      </c>
      <c r="K2040" s="17" t="s">
        <v>19</v>
      </c>
      <c r="L2040">
        <v>1</v>
      </c>
    </row>
    <row r="2041" spans="1:12" x14ac:dyDescent="0.25">
      <c r="A2041" t="s">
        <v>4989</v>
      </c>
      <c r="B2041" t="s">
        <v>664</v>
      </c>
      <c r="C2041" t="s">
        <v>665</v>
      </c>
      <c r="D2041" t="s">
        <v>23</v>
      </c>
      <c r="E2041">
        <v>48</v>
      </c>
      <c r="F2041" t="s">
        <v>238</v>
      </c>
      <c r="G2041" t="s">
        <v>115</v>
      </c>
      <c r="H2041" t="s">
        <v>4990</v>
      </c>
      <c r="I2041" s="1" t="d">
        <v>2018-10-23</v>
      </c>
      <c r="J2041" t="s">
        <v>668</v>
      </c>
      <c r="K2041" s="17" t="s">
        <v>370</v>
      </c>
      <c r="L2041">
        <v>3</v>
      </c>
    </row>
    <row r="2042" spans="1:12" x14ac:dyDescent="0.25">
      <c r="A2042" t="s">
        <v>4991</v>
      </c>
      <c r="B2042" t="s">
        <v>102</v>
      </c>
      <c r="C2042" t="s">
        <v>1062</v>
      </c>
      <c r="D2042" t="s">
        <v>23</v>
      </c>
      <c r="E2042">
        <v>22</v>
      </c>
      <c r="F2042" t="s">
        <v>859</v>
      </c>
      <c r="G2042" t="s">
        <v>217</v>
      </c>
      <c r="H2042" t="s">
        <v>4992</v>
      </c>
      <c r="I2042" s="1" t="d">
        <v>2019-10-01</v>
      </c>
      <c r="J2042" t="s">
        <v>1008</v>
      </c>
      <c r="K2042" s="17" t="s">
        <v>27</v>
      </c>
      <c r="L2042">
        <v>3</v>
      </c>
    </row>
    <row r="2043" spans="1:12" x14ac:dyDescent="0.25">
      <c r="A2043" t="s">
        <v>4993</v>
      </c>
      <c r="B2043" t="s">
        <v>659</v>
      </c>
      <c r="C2043" t="s">
        <v>152</v>
      </c>
      <c r="D2043" t="s">
        <v>46</v>
      </c>
      <c r="E2043">
        <v>33</v>
      </c>
      <c r="F2043" t="s">
        <v>2707</v>
      </c>
      <c r="G2043" t="s">
        <v>526</v>
      </c>
      <c r="H2043" t="s">
        <v>4994</v>
      </c>
      <c r="I2043" s="1" t="d">
        <v>2006-08-24</v>
      </c>
      <c r="J2043" t="s">
        <v>1882</v>
      </c>
      <c r="K2043" s="17" t="s">
        <v>42</v>
      </c>
      <c r="L2043">
        <v>4</v>
      </c>
    </row>
    <row r="2044" spans="1:12" x14ac:dyDescent="0.25">
      <c r="A2044" t="s">
        <v>4995</v>
      </c>
      <c r="B2044" t="s">
        <v>4760</v>
      </c>
      <c r="C2044" t="s">
        <v>699</v>
      </c>
      <c r="D2044" t="s">
        <v>9527</v>
      </c>
      <c r="E2044">
        <v>35</v>
      </c>
      <c r="F2044" t="s">
        <v>24</v>
      </c>
      <c r="G2044" t="s">
        <v>1277</v>
      </c>
      <c r="H2044" t="s">
        <v>4996</v>
      </c>
      <c r="J2044" t="s">
        <v>4997</v>
      </c>
      <c r="K2044" s="17" t="s">
        <v>42</v>
      </c>
      <c r="L2044">
        <v>4</v>
      </c>
    </row>
    <row r="2045" spans="1:12" x14ac:dyDescent="0.25">
      <c r="A2045" t="s">
        <v>4998</v>
      </c>
      <c r="B2045" t="s">
        <v>4196</v>
      </c>
      <c r="C2045" t="s">
        <v>758</v>
      </c>
      <c r="D2045" t="s">
        <v>9527</v>
      </c>
      <c r="E2045">
        <v>34</v>
      </c>
      <c r="F2045" t="s">
        <v>230</v>
      </c>
      <c r="G2045" t="s">
        <v>141</v>
      </c>
      <c r="H2045" s="2">
        <v>64697</v>
      </c>
      <c r="I2045" s="1" t="d">
        <v>2021-11-25</v>
      </c>
      <c r="J2045" t="s">
        <v>2553</v>
      </c>
      <c r="K2045" s="17" t="s">
        <v>19</v>
      </c>
      <c r="L2045">
        <v>4</v>
      </c>
    </row>
    <row r="2046" spans="1:12" x14ac:dyDescent="0.25">
      <c r="A2046" t="s">
        <v>4999</v>
      </c>
      <c r="B2046" t="s">
        <v>769</v>
      </c>
      <c r="C2046" t="s">
        <v>4769</v>
      </c>
      <c r="D2046" t="s">
        <v>46</v>
      </c>
      <c r="E2046">
        <v>32</v>
      </c>
      <c r="F2046" t="s">
        <v>296</v>
      </c>
      <c r="G2046" t="s">
        <v>115</v>
      </c>
      <c r="H2046">
        <v>71634</v>
      </c>
      <c r="I2046" s="1" t="d">
        <v>2008-11-01</v>
      </c>
      <c r="J2046" t="s">
        <v>5000</v>
      </c>
      <c r="K2046" s="17" t="s">
        <v>34</v>
      </c>
      <c r="L2046">
        <v>4</v>
      </c>
    </row>
    <row r="2047" spans="1:12" x14ac:dyDescent="0.25">
      <c r="A2047" t="s">
        <v>5001</v>
      </c>
      <c r="B2047" t="s">
        <v>833</v>
      </c>
      <c r="C2047" t="s">
        <v>5002</v>
      </c>
      <c r="D2047" t="s">
        <v>9527</v>
      </c>
      <c r="E2047">
        <v>25</v>
      </c>
      <c r="F2047" t="s">
        <v>211</v>
      </c>
      <c r="G2047" t="s">
        <v>82</v>
      </c>
      <c r="H2047" t="s">
        <v>5003</v>
      </c>
      <c r="I2047" s="1" t="d">
        <v>2024-01-26</v>
      </c>
      <c r="J2047" t="s">
        <v>3570</v>
      </c>
      <c r="K2047" s="17" t="s">
        <v>34</v>
      </c>
      <c r="L2047">
        <v>3</v>
      </c>
    </row>
    <row r="2048" spans="1:12" x14ac:dyDescent="0.25">
      <c r="A2048" t="s">
        <v>5004</v>
      </c>
      <c r="B2048" t="s">
        <v>2197</v>
      </c>
      <c r="C2048" t="s">
        <v>121</v>
      </c>
      <c r="D2048" t="s">
        <v>23</v>
      </c>
      <c r="E2048">
        <v>53</v>
      </c>
      <c r="F2048" t="s">
        <v>859</v>
      </c>
      <c r="G2048" t="s">
        <v>1791</v>
      </c>
      <c r="H2048" t="s">
        <v>5005</v>
      </c>
      <c r="I2048" s="1" t="d">
        <v>2015-03-20</v>
      </c>
      <c r="J2048" t="s">
        <v>605</v>
      </c>
      <c r="K2048" s="17" t="s">
        <v>207</v>
      </c>
      <c r="L2048">
        <v>5</v>
      </c>
    </row>
    <row r="2049" spans="1:12" x14ac:dyDescent="0.25">
      <c r="A2049" t="s">
        <v>5006</v>
      </c>
      <c r="B2049" t="s">
        <v>157</v>
      </c>
      <c r="C2049" t="s">
        <v>739</v>
      </c>
      <c r="D2049" t="s">
        <v>23</v>
      </c>
      <c r="E2049">
        <v>35</v>
      </c>
      <c r="F2049" t="s">
        <v>1785</v>
      </c>
      <c r="G2049" t="s">
        <v>115</v>
      </c>
      <c r="H2049" s="2">
        <v>53035</v>
      </c>
      <c r="I2049" s="1" t="d">
        <v>2007-07-12</v>
      </c>
      <c r="J2049" t="s">
        <v>5007</v>
      </c>
      <c r="K2049" s="17" t="s">
        <v>149</v>
      </c>
      <c r="L2049">
        <v>5</v>
      </c>
    </row>
    <row r="2050" spans="1:12" x14ac:dyDescent="0.25">
      <c r="A2050" t="s">
        <v>5008</v>
      </c>
      <c r="B2050" t="s">
        <v>5009</v>
      </c>
      <c r="C2050" t="s">
        <v>684</v>
      </c>
      <c r="D2050" t="s">
        <v>9527</v>
      </c>
      <c r="E2050">
        <v>21</v>
      </c>
      <c r="F2050" t="s">
        <v>75</v>
      </c>
      <c r="G2050" t="s">
        <v>205</v>
      </c>
      <c r="H2050">
        <v>79704</v>
      </c>
      <c r="I2050" s="1" t="d">
        <v>2020-11-15</v>
      </c>
      <c r="J2050" t="s">
        <v>1152</v>
      </c>
      <c r="K2050" s="17" t="s">
        <v>19</v>
      </c>
      <c r="L2050">
        <v>3</v>
      </c>
    </row>
    <row r="2051" spans="1:12" x14ac:dyDescent="0.25">
      <c r="A2051" t="s">
        <v>5010</v>
      </c>
      <c r="B2051" t="s">
        <v>120</v>
      </c>
      <c r="C2051" t="s">
        <v>766</v>
      </c>
      <c r="D2051" t="s">
        <v>23</v>
      </c>
      <c r="E2051">
        <v>21</v>
      </c>
      <c r="F2051" t="s">
        <v>216</v>
      </c>
      <c r="G2051" t="s">
        <v>69</v>
      </c>
      <c r="H2051" s="2">
        <v>66991</v>
      </c>
      <c r="I2051" s="1" t="d">
        <v>2012-06-19</v>
      </c>
      <c r="J2051" t="s">
        <v>1170</v>
      </c>
      <c r="K2051" s="17" t="s">
        <v>184</v>
      </c>
      <c r="L2051">
        <v>3</v>
      </c>
    </row>
    <row r="2052" spans="1:12" x14ac:dyDescent="0.25">
      <c r="A2052" t="s">
        <v>5011</v>
      </c>
      <c r="B2052" t="s">
        <v>1051</v>
      </c>
      <c r="C2052" t="s">
        <v>2432</v>
      </c>
      <c r="D2052" t="s">
        <v>23</v>
      </c>
      <c r="E2052">
        <v>44</v>
      </c>
      <c r="F2052" t="s">
        <v>422</v>
      </c>
      <c r="G2052" t="s">
        <v>82</v>
      </c>
      <c r="H2052" s="2">
        <v>79124</v>
      </c>
      <c r="I2052" s="1" t="d">
        <v>2012-05-03</v>
      </c>
      <c r="J2052" t="s">
        <v>1188</v>
      </c>
      <c r="K2052" s="17" t="s">
        <v>34</v>
      </c>
      <c r="L2052">
        <v>5</v>
      </c>
    </row>
    <row r="2053" spans="1:12" x14ac:dyDescent="0.25">
      <c r="A2053" t="s">
        <v>5012</v>
      </c>
      <c r="B2053" t="s">
        <v>2310</v>
      </c>
      <c r="C2053" t="s">
        <v>1991</v>
      </c>
      <c r="D2053" t="s">
        <v>46</v>
      </c>
      <c r="E2053">
        <v>52</v>
      </c>
      <c r="F2053" t="s">
        <v>126</v>
      </c>
      <c r="G2053" t="s">
        <v>337</v>
      </c>
      <c r="H2053" s="2">
        <v>62521</v>
      </c>
      <c r="I2053" s="1" t="d">
        <v>2014-04-14</v>
      </c>
      <c r="J2053" t="s">
        <v>4423</v>
      </c>
      <c r="K2053" s="17" t="s">
        <v>19</v>
      </c>
      <c r="L2053">
        <v>3</v>
      </c>
    </row>
    <row r="2054" spans="1:12" x14ac:dyDescent="0.25">
      <c r="A2054" t="s">
        <v>5013</v>
      </c>
      <c r="B2054" t="s">
        <v>1382</v>
      </c>
      <c r="C2054" t="s">
        <v>2292</v>
      </c>
      <c r="D2054" t="s">
        <v>9527</v>
      </c>
      <c r="E2054">
        <v>30</v>
      </c>
      <c r="F2054" t="s">
        <v>146</v>
      </c>
      <c r="G2054" t="s">
        <v>88</v>
      </c>
      <c r="H2054">
        <v>104436</v>
      </c>
      <c r="I2054" s="1" t="d">
        <v>2023-04-08</v>
      </c>
      <c r="J2054" t="s">
        <v>4393</v>
      </c>
      <c r="K2054" s="17" t="s">
        <v>71</v>
      </c>
      <c r="L2054">
        <v>3</v>
      </c>
    </row>
    <row r="2055" spans="1:12" x14ac:dyDescent="0.25">
      <c r="A2055" t="s">
        <v>5014</v>
      </c>
      <c r="B2055" t="s">
        <v>1241</v>
      </c>
      <c r="C2055" t="s">
        <v>107</v>
      </c>
      <c r="D2055" t="s">
        <v>9527</v>
      </c>
      <c r="E2055">
        <v>41</v>
      </c>
      <c r="F2055" t="s">
        <v>478</v>
      </c>
      <c r="G2055" t="s">
        <v>912</v>
      </c>
      <c r="H2055" s="2">
        <v>47300</v>
      </c>
      <c r="I2055" s="1" t="d">
        <v>2018-07-02</v>
      </c>
      <c r="J2055" t="s">
        <v>5015</v>
      </c>
      <c r="K2055" s="17" t="s">
        <v>58</v>
      </c>
      <c r="L2055">
        <v>1</v>
      </c>
    </row>
    <row r="2056" spans="1:12" x14ac:dyDescent="0.25">
      <c r="A2056" t="s">
        <v>5016</v>
      </c>
      <c r="B2056" t="s">
        <v>151</v>
      </c>
      <c r="C2056" t="s">
        <v>665</v>
      </c>
      <c r="D2056" t="s">
        <v>23</v>
      </c>
      <c r="E2056">
        <v>39</v>
      </c>
      <c r="F2056" t="s">
        <v>211</v>
      </c>
      <c r="G2056" t="s">
        <v>278</v>
      </c>
      <c r="H2056" s="2">
        <v>-88533</v>
      </c>
      <c r="I2056" s="1" t="d">
        <v>2007-02-27</v>
      </c>
      <c r="J2056" t="s">
        <v>5017</v>
      </c>
      <c r="K2056" s="17" t="s">
        <v>184</v>
      </c>
      <c r="L2056">
        <v>5</v>
      </c>
    </row>
    <row r="2057" spans="1:12" x14ac:dyDescent="0.25">
      <c r="A2057" t="s">
        <v>5018</v>
      </c>
      <c r="B2057" t="s">
        <v>648</v>
      </c>
      <c r="C2057" t="s">
        <v>61</v>
      </c>
      <c r="D2057" t="s">
        <v>23</v>
      </c>
      <c r="E2057">
        <v>42</v>
      </c>
      <c r="F2057" t="s">
        <v>108</v>
      </c>
      <c r="G2057" t="s">
        <v>82</v>
      </c>
      <c r="H2057" t="s">
        <v>5019</v>
      </c>
      <c r="I2057" s="1" t="d">
        <v>2020-06-23</v>
      </c>
      <c r="J2057" t="s">
        <v>2701</v>
      </c>
      <c r="K2057" s="17" t="s">
        <v>90</v>
      </c>
      <c r="L2057">
        <v>2</v>
      </c>
    </row>
    <row r="2058" spans="1:12" x14ac:dyDescent="0.25">
      <c r="A2058" t="s">
        <v>5020</v>
      </c>
      <c r="B2058" t="s">
        <v>571</v>
      </c>
      <c r="C2058" t="s">
        <v>107</v>
      </c>
      <c r="D2058" t="s">
        <v>46</v>
      </c>
      <c r="E2058">
        <v>42</v>
      </c>
      <c r="F2058" t="s">
        <v>104</v>
      </c>
      <c r="G2058" t="s">
        <v>82</v>
      </c>
      <c r="H2058" t="s">
        <v>5021</v>
      </c>
      <c r="I2058" s="1" t="d">
        <v>2022-10-09</v>
      </c>
      <c r="J2058" t="s">
        <v>4705</v>
      </c>
      <c r="K2058" s="17" t="s">
        <v>27</v>
      </c>
      <c r="L2058">
        <v>3</v>
      </c>
    </row>
    <row r="2059" spans="1:12" x14ac:dyDescent="0.25">
      <c r="A2059" t="s">
        <v>5022</v>
      </c>
      <c r="B2059" t="s">
        <v>4631</v>
      </c>
      <c r="C2059" t="s">
        <v>107</v>
      </c>
      <c r="D2059" t="s">
        <v>9527</v>
      </c>
      <c r="E2059">
        <v>44</v>
      </c>
      <c r="F2059" t="s">
        <v>5023</v>
      </c>
      <c r="G2059" t="s">
        <v>115</v>
      </c>
      <c r="H2059">
        <v>100604</v>
      </c>
      <c r="I2059" s="1" t="d">
        <v>2008-12-09</v>
      </c>
      <c r="J2059" t="s">
        <v>5024</v>
      </c>
      <c r="K2059" s="17" t="s">
        <v>58</v>
      </c>
      <c r="L2059">
        <v>5</v>
      </c>
    </row>
    <row r="2060" spans="1:12" x14ac:dyDescent="0.25">
      <c r="A2060" t="s">
        <v>5025</v>
      </c>
      <c r="B2060" t="s">
        <v>52</v>
      </c>
      <c r="C2060" t="s">
        <v>14</v>
      </c>
      <c r="D2060" t="s">
        <v>23</v>
      </c>
      <c r="E2060">
        <v>29</v>
      </c>
      <c r="F2060" t="s">
        <v>1546</v>
      </c>
      <c r="G2060" t="s">
        <v>88</v>
      </c>
      <c r="I2060" s="1" t="d">
        <v>2014-01-08</v>
      </c>
      <c r="J2060" t="s">
        <v>5026</v>
      </c>
      <c r="K2060" s="17" t="s">
        <v>34</v>
      </c>
      <c r="L2060">
        <v>3</v>
      </c>
    </row>
    <row r="2061" spans="1:12" x14ac:dyDescent="0.25">
      <c r="A2061" t="s">
        <v>5027</v>
      </c>
      <c r="B2061" t="s">
        <v>789</v>
      </c>
      <c r="C2061" t="s">
        <v>318</v>
      </c>
      <c r="D2061" t="s">
        <v>23</v>
      </c>
      <c r="E2061">
        <v>35</v>
      </c>
      <c r="F2061" t="s">
        <v>62</v>
      </c>
      <c r="G2061" t="s">
        <v>1771</v>
      </c>
      <c r="H2061" t="s">
        <v>5028</v>
      </c>
      <c r="I2061" s="1" t="d">
        <v>2022-02-02</v>
      </c>
      <c r="J2061" t="s">
        <v>635</v>
      </c>
      <c r="K2061" s="17" t="s">
        <v>34</v>
      </c>
      <c r="L2061">
        <v>3</v>
      </c>
    </row>
    <row r="2062" spans="1:12" x14ac:dyDescent="0.25">
      <c r="A2062" t="s">
        <v>5029</v>
      </c>
      <c r="B2062" t="s">
        <v>664</v>
      </c>
      <c r="C2062" t="s">
        <v>1030</v>
      </c>
      <c r="D2062" t="s">
        <v>23</v>
      </c>
      <c r="E2062">
        <v>48</v>
      </c>
      <c r="F2062" t="s">
        <v>759</v>
      </c>
      <c r="G2062" t="s">
        <v>205</v>
      </c>
      <c r="H2062" t="s">
        <v>5030</v>
      </c>
      <c r="I2062" s="1" t="d">
        <v>2011-01-04</v>
      </c>
      <c r="J2062" t="s">
        <v>5031</v>
      </c>
      <c r="K2062" s="17" t="s">
        <v>118</v>
      </c>
      <c r="L2062">
        <v>3</v>
      </c>
    </row>
    <row r="2063" spans="1:12" x14ac:dyDescent="0.25">
      <c r="A2063" t="s">
        <v>5032</v>
      </c>
      <c r="B2063" t="s">
        <v>467</v>
      </c>
      <c r="C2063" t="s">
        <v>237</v>
      </c>
      <c r="D2063" t="s">
        <v>46</v>
      </c>
      <c r="E2063">
        <v>29</v>
      </c>
      <c r="F2063" t="s">
        <v>417</v>
      </c>
      <c r="G2063" t="s">
        <v>39</v>
      </c>
      <c r="H2063">
        <v>59525</v>
      </c>
      <c r="I2063" s="1" t="d">
        <v>2014-02-27</v>
      </c>
      <c r="J2063" t="s">
        <v>5033</v>
      </c>
      <c r="K2063" s="17" t="s">
        <v>71</v>
      </c>
      <c r="L2063">
        <v>3</v>
      </c>
    </row>
    <row r="2064" spans="1:12" x14ac:dyDescent="0.25">
      <c r="A2064" t="s">
        <v>1834</v>
      </c>
      <c r="B2064" t="s">
        <v>139</v>
      </c>
      <c r="C2064" t="s">
        <v>1734</v>
      </c>
      <c r="D2064" t="s">
        <v>23</v>
      </c>
      <c r="E2064">
        <v>42</v>
      </c>
      <c r="G2064" t="s">
        <v>95</v>
      </c>
      <c r="H2064" s="2">
        <v>97455</v>
      </c>
      <c r="I2064" s="1" t="d">
        <v>2019-03-18</v>
      </c>
      <c r="J2064" t="s">
        <v>1835</v>
      </c>
      <c r="K2064" s="17" t="s">
        <v>90</v>
      </c>
      <c r="L2064">
        <v>3</v>
      </c>
    </row>
    <row r="2065" spans="1:12" x14ac:dyDescent="0.25">
      <c r="A2065" t="s">
        <v>5034</v>
      </c>
      <c r="B2065" t="s">
        <v>664</v>
      </c>
      <c r="C2065" t="s">
        <v>67</v>
      </c>
      <c r="D2065" t="s">
        <v>46</v>
      </c>
      <c r="E2065">
        <v>22</v>
      </c>
      <c r="F2065" t="s">
        <v>38</v>
      </c>
      <c r="G2065" t="s">
        <v>191</v>
      </c>
      <c r="H2065">
        <v>49771</v>
      </c>
      <c r="I2065" s="1" t="d">
        <v>2013-10-22</v>
      </c>
      <c r="J2065" t="s">
        <v>2803</v>
      </c>
      <c r="K2065" s="17" t="s">
        <v>71</v>
      </c>
      <c r="L2065">
        <v>3</v>
      </c>
    </row>
    <row r="2066" spans="1:12" x14ac:dyDescent="0.25">
      <c r="A2066" t="s">
        <v>5035</v>
      </c>
      <c r="B2066" t="s">
        <v>281</v>
      </c>
      <c r="C2066" t="s">
        <v>1838</v>
      </c>
      <c r="D2066" t="s">
        <v>23</v>
      </c>
      <c r="E2066">
        <v>21</v>
      </c>
      <c r="F2066" t="s">
        <v>978</v>
      </c>
      <c r="G2066" t="s">
        <v>458</v>
      </c>
      <c r="H2066">
        <v>99356</v>
      </c>
      <c r="I2066" s="1" t="d">
        <v>2017-09-13</v>
      </c>
      <c r="J2066" t="s">
        <v>3168</v>
      </c>
      <c r="K2066" s="17" t="s">
        <v>58</v>
      </c>
      <c r="L2066">
        <v>4</v>
      </c>
    </row>
    <row r="2067" spans="1:12" x14ac:dyDescent="0.25">
      <c r="A2067" t="s">
        <v>5036</v>
      </c>
      <c r="B2067" t="s">
        <v>1051</v>
      </c>
      <c r="C2067" t="s">
        <v>1657</v>
      </c>
      <c r="D2067" t="s">
        <v>46</v>
      </c>
      <c r="E2067">
        <v>61</v>
      </c>
      <c r="F2067" t="s">
        <v>666</v>
      </c>
      <c r="G2067" t="s">
        <v>39</v>
      </c>
      <c r="I2067" s="1" t="d">
        <v>2012-01-23</v>
      </c>
      <c r="J2067" t="s">
        <v>4751</v>
      </c>
      <c r="K2067" s="17" t="s">
        <v>27</v>
      </c>
      <c r="L2067">
        <v>5</v>
      </c>
    </row>
    <row r="2068" spans="1:12" x14ac:dyDescent="0.25">
      <c r="A2068" t="s">
        <v>5037</v>
      </c>
      <c r="B2068" t="s">
        <v>13</v>
      </c>
      <c r="C2068" t="s">
        <v>1827</v>
      </c>
      <c r="D2068" t="s">
        <v>23</v>
      </c>
      <c r="E2068">
        <v>40</v>
      </c>
      <c r="F2068" t="s">
        <v>94</v>
      </c>
      <c r="G2068" t="s">
        <v>170</v>
      </c>
      <c r="H2068">
        <v>71901</v>
      </c>
      <c r="I2068" s="1" t="d">
        <v>2024-03-21</v>
      </c>
      <c r="J2068" t="s">
        <v>4898</v>
      </c>
      <c r="K2068" s="17" t="s">
        <v>27</v>
      </c>
      <c r="L2068">
        <v>3</v>
      </c>
    </row>
    <row r="2069" spans="1:12" x14ac:dyDescent="0.25">
      <c r="A2069" t="s">
        <v>5038</v>
      </c>
      <c r="B2069" t="s">
        <v>3609</v>
      </c>
      <c r="C2069" t="s">
        <v>5039</v>
      </c>
      <c r="D2069" t="s">
        <v>23</v>
      </c>
      <c r="E2069">
        <v>40</v>
      </c>
      <c r="G2069" t="s">
        <v>191</v>
      </c>
      <c r="H2069" t="s">
        <v>5040</v>
      </c>
      <c r="I2069" s="1" t="d">
        <v>2007-05-03</v>
      </c>
      <c r="J2069" t="s">
        <v>5041</v>
      </c>
      <c r="K2069" s="17" t="s">
        <v>42</v>
      </c>
      <c r="L2069">
        <v>3</v>
      </c>
    </row>
    <row r="2070" spans="1:12" x14ac:dyDescent="0.25">
      <c r="A2070" t="s">
        <v>5042</v>
      </c>
      <c r="B2070" t="s">
        <v>394</v>
      </c>
      <c r="C2070" t="s">
        <v>1428</v>
      </c>
      <c r="D2070" t="s">
        <v>23</v>
      </c>
      <c r="E2070">
        <v>39</v>
      </c>
      <c r="F2070" t="s">
        <v>54</v>
      </c>
      <c r="G2070" t="s">
        <v>337</v>
      </c>
      <c r="I2070" s="1" t="d">
        <v>2009-06-14</v>
      </c>
      <c r="J2070" t="s">
        <v>2935</v>
      </c>
      <c r="K2070" s="17" t="s">
        <v>207</v>
      </c>
      <c r="L2070">
        <v>3</v>
      </c>
    </row>
    <row r="2071" spans="1:12" x14ac:dyDescent="0.25">
      <c r="A2071" t="s">
        <v>5043</v>
      </c>
      <c r="B2071" t="s">
        <v>5044</v>
      </c>
      <c r="C2071" t="s">
        <v>1622</v>
      </c>
      <c r="D2071" t="s">
        <v>23</v>
      </c>
      <c r="E2071">
        <v>42</v>
      </c>
      <c r="F2071" t="s">
        <v>186</v>
      </c>
      <c r="G2071" t="s">
        <v>191</v>
      </c>
      <c r="I2071" s="1" t="d">
        <v>2015-03-14</v>
      </c>
      <c r="J2071" t="s">
        <v>1011</v>
      </c>
      <c r="K2071" s="17" t="s">
        <v>370</v>
      </c>
      <c r="L2071">
        <v>3</v>
      </c>
    </row>
    <row r="2072" spans="1:12" x14ac:dyDescent="0.25">
      <c r="A2072" t="s">
        <v>5045</v>
      </c>
      <c r="B2072" t="s">
        <v>174</v>
      </c>
      <c r="C2072" t="s">
        <v>2778</v>
      </c>
      <c r="D2072" t="s">
        <v>46</v>
      </c>
      <c r="E2072">
        <v>28</v>
      </c>
      <c r="F2072" t="s">
        <v>645</v>
      </c>
      <c r="G2072" t="s">
        <v>39</v>
      </c>
      <c r="H2072" t="s">
        <v>5046</v>
      </c>
      <c r="I2072" s="1" t="d">
        <v>2010-12-15</v>
      </c>
      <c r="J2072" t="s">
        <v>3251</v>
      </c>
      <c r="K2072" s="17" t="s">
        <v>118</v>
      </c>
      <c r="L2072">
        <v>3</v>
      </c>
    </row>
    <row r="2073" spans="1:12" x14ac:dyDescent="0.25">
      <c r="A2073" t="s">
        <v>5047</v>
      </c>
      <c r="B2073" t="s">
        <v>637</v>
      </c>
      <c r="C2073" t="s">
        <v>2606</v>
      </c>
      <c r="D2073" t="s">
        <v>46</v>
      </c>
      <c r="E2073">
        <v>34</v>
      </c>
      <c r="F2073" t="s">
        <v>399</v>
      </c>
      <c r="G2073" t="s">
        <v>782</v>
      </c>
      <c r="H2073" t="s">
        <v>5048</v>
      </c>
      <c r="I2073" s="1" t="d">
        <v>2010-04-17</v>
      </c>
      <c r="J2073" t="s">
        <v>5049</v>
      </c>
      <c r="K2073" s="17" t="s">
        <v>207</v>
      </c>
      <c r="L2073">
        <v>3</v>
      </c>
    </row>
    <row r="2074" spans="1:12" x14ac:dyDescent="0.25">
      <c r="A2074" t="s">
        <v>5050</v>
      </c>
      <c r="B2074" t="s">
        <v>151</v>
      </c>
      <c r="C2074" t="s">
        <v>3781</v>
      </c>
      <c r="D2074" t="s">
        <v>9527</v>
      </c>
      <c r="E2074">
        <v>34</v>
      </c>
      <c r="F2074" t="s">
        <v>918</v>
      </c>
      <c r="G2074" t="s">
        <v>1771</v>
      </c>
      <c r="H2074" s="2">
        <v>127460</v>
      </c>
      <c r="I2074" s="1" t="d">
        <v>2017-08-31</v>
      </c>
      <c r="J2074" t="s">
        <v>2924</v>
      </c>
      <c r="K2074" s="17" t="s">
        <v>27</v>
      </c>
      <c r="L2074">
        <v>3</v>
      </c>
    </row>
    <row r="2075" spans="1:12" x14ac:dyDescent="0.25">
      <c r="A2075" t="s">
        <v>5051</v>
      </c>
      <c r="B2075" t="s">
        <v>1437</v>
      </c>
      <c r="C2075" t="s">
        <v>5052</v>
      </c>
      <c r="D2075" t="s">
        <v>23</v>
      </c>
      <c r="E2075">
        <v>46</v>
      </c>
      <c r="F2075" t="s">
        <v>984</v>
      </c>
      <c r="G2075" t="s">
        <v>212</v>
      </c>
      <c r="H2075" t="s">
        <v>5053</v>
      </c>
      <c r="I2075" s="1" t="d">
        <v>2019-11-23</v>
      </c>
      <c r="J2075" t="s">
        <v>5054</v>
      </c>
      <c r="K2075" s="17" t="s">
        <v>42</v>
      </c>
      <c r="L2075">
        <v>3</v>
      </c>
    </row>
    <row r="2076" spans="1:12" x14ac:dyDescent="0.25">
      <c r="A2076" t="s">
        <v>5055</v>
      </c>
      <c r="B2076" t="s">
        <v>203</v>
      </c>
      <c r="C2076" t="s">
        <v>324</v>
      </c>
      <c r="D2076" t="s">
        <v>9527</v>
      </c>
      <c r="E2076">
        <v>56</v>
      </c>
      <c r="F2076" t="s">
        <v>576</v>
      </c>
      <c r="G2076" t="s">
        <v>177</v>
      </c>
      <c r="H2076" s="2">
        <v>76091</v>
      </c>
      <c r="I2076" s="1" t="d">
        <v>2023-10-03</v>
      </c>
      <c r="J2076" t="s">
        <v>5056</v>
      </c>
      <c r="K2076" s="17" t="s">
        <v>58</v>
      </c>
      <c r="L2076">
        <v>4</v>
      </c>
    </row>
    <row r="2077" spans="1:12" x14ac:dyDescent="0.25">
      <c r="A2077" t="s">
        <v>5057</v>
      </c>
      <c r="B2077" t="s">
        <v>180</v>
      </c>
      <c r="C2077" t="s">
        <v>805</v>
      </c>
      <c r="D2077" t="s">
        <v>23</v>
      </c>
      <c r="E2077">
        <v>62</v>
      </c>
      <c r="F2077" t="s">
        <v>532</v>
      </c>
      <c r="G2077" t="s">
        <v>191</v>
      </c>
      <c r="I2077" s="1" t="d">
        <v>2021-10-10</v>
      </c>
      <c r="J2077" t="s">
        <v>3073</v>
      </c>
      <c r="K2077" s="17" t="s">
        <v>207</v>
      </c>
      <c r="L2077">
        <v>3</v>
      </c>
    </row>
    <row r="2078" spans="1:12" x14ac:dyDescent="0.25">
      <c r="A2078" t="s">
        <v>5058</v>
      </c>
      <c r="B2078" t="s">
        <v>1382</v>
      </c>
      <c r="C2078" t="s">
        <v>244</v>
      </c>
      <c r="D2078" t="s">
        <v>9527</v>
      </c>
      <c r="E2078">
        <v>21</v>
      </c>
      <c r="F2078" t="s">
        <v>245</v>
      </c>
      <c r="G2078" t="s">
        <v>48</v>
      </c>
      <c r="H2078" t="s">
        <v>5059</v>
      </c>
      <c r="I2078" s="1" t="d">
        <v>2008-06-13</v>
      </c>
      <c r="J2078" t="s">
        <v>986</v>
      </c>
      <c r="K2078" s="17" t="s">
        <v>58</v>
      </c>
      <c r="L2078">
        <v>4</v>
      </c>
    </row>
    <row r="2079" spans="1:12" x14ac:dyDescent="0.25">
      <c r="A2079" t="s">
        <v>5060</v>
      </c>
      <c r="B2079" t="s">
        <v>571</v>
      </c>
      <c r="C2079" t="s">
        <v>751</v>
      </c>
      <c r="D2079" t="s">
        <v>9527</v>
      </c>
      <c r="E2079">
        <v>46</v>
      </c>
      <c r="F2079" t="s">
        <v>1116</v>
      </c>
      <c r="G2079" t="s">
        <v>912</v>
      </c>
      <c r="H2079">
        <v>69774</v>
      </c>
      <c r="I2079" s="1" t="d">
        <v>2019-12-29</v>
      </c>
      <c r="J2079" t="s">
        <v>754</v>
      </c>
      <c r="K2079" s="17" t="s">
        <v>27</v>
      </c>
      <c r="L2079">
        <v>2</v>
      </c>
    </row>
    <row r="2080" spans="1:12" x14ac:dyDescent="0.25">
      <c r="A2080" t="s">
        <v>5061</v>
      </c>
      <c r="B2080" t="s">
        <v>482</v>
      </c>
      <c r="C2080" t="s">
        <v>1958</v>
      </c>
      <c r="D2080" t="s">
        <v>9527</v>
      </c>
      <c r="E2080">
        <v>26</v>
      </c>
      <c r="F2080" t="s">
        <v>576</v>
      </c>
      <c r="G2080" t="s">
        <v>147</v>
      </c>
      <c r="I2080" s="1" t="d">
        <v>2021-02-20</v>
      </c>
      <c r="J2080" t="s">
        <v>486</v>
      </c>
      <c r="K2080" s="17" t="s">
        <v>19</v>
      </c>
      <c r="L2080">
        <v>4</v>
      </c>
    </row>
    <row r="2081" spans="1:12" x14ac:dyDescent="0.25">
      <c r="A2081" t="s">
        <v>5062</v>
      </c>
      <c r="B2081" t="s">
        <v>566</v>
      </c>
      <c r="C2081" t="s">
        <v>5063</v>
      </c>
      <c r="D2081" t="s">
        <v>9527</v>
      </c>
      <c r="E2081">
        <v>26</v>
      </c>
      <c r="G2081" t="s">
        <v>69</v>
      </c>
      <c r="H2081" s="2">
        <v>108051</v>
      </c>
      <c r="I2081" s="1" t="d">
        <v>2009-02-15</v>
      </c>
      <c r="J2081" t="s">
        <v>5064</v>
      </c>
      <c r="K2081" s="17" t="s">
        <v>100</v>
      </c>
      <c r="L2081">
        <v>4</v>
      </c>
    </row>
    <row r="2082" spans="1:12" x14ac:dyDescent="0.25">
      <c r="A2082" t="s">
        <v>5065</v>
      </c>
      <c r="B2082" t="s">
        <v>1172</v>
      </c>
      <c r="C2082" t="s">
        <v>244</v>
      </c>
      <c r="D2082" t="s">
        <v>23</v>
      </c>
      <c r="E2082">
        <v>53</v>
      </c>
      <c r="F2082" t="s">
        <v>114</v>
      </c>
      <c r="G2082" t="s">
        <v>16</v>
      </c>
      <c r="H2082" t="s">
        <v>5066</v>
      </c>
      <c r="I2082" s="1" t="d">
        <v>2015-03-15</v>
      </c>
      <c r="J2082" t="s">
        <v>1628</v>
      </c>
      <c r="K2082" s="17" t="s">
        <v>50</v>
      </c>
      <c r="L2082">
        <v>3</v>
      </c>
    </row>
    <row r="2083" spans="1:12" x14ac:dyDescent="0.25">
      <c r="A2083" t="s">
        <v>5067</v>
      </c>
      <c r="B2083" t="s">
        <v>936</v>
      </c>
      <c r="C2083" t="s">
        <v>552</v>
      </c>
      <c r="D2083" t="s">
        <v>9527</v>
      </c>
      <c r="E2083">
        <v>37</v>
      </c>
      <c r="F2083" t="s">
        <v>3860</v>
      </c>
      <c r="G2083" t="s">
        <v>82</v>
      </c>
      <c r="I2083" s="1" t="d">
        <v>2008-04-20</v>
      </c>
      <c r="J2083" t="s">
        <v>2329</v>
      </c>
      <c r="K2083" s="17" t="s">
        <v>71</v>
      </c>
      <c r="L2083">
        <v>4</v>
      </c>
    </row>
    <row r="2084" spans="1:12" x14ac:dyDescent="0.25">
      <c r="A2084" t="s">
        <v>5068</v>
      </c>
      <c r="B2084" t="s">
        <v>1769</v>
      </c>
      <c r="C2084" t="s">
        <v>988</v>
      </c>
      <c r="D2084" t="s">
        <v>23</v>
      </c>
      <c r="E2084">
        <v>52</v>
      </c>
      <c r="F2084" t="s">
        <v>373</v>
      </c>
      <c r="G2084" t="s">
        <v>1378</v>
      </c>
      <c r="H2084" t="s">
        <v>5069</v>
      </c>
      <c r="I2084" s="1" t="d">
        <v>2023-09-11</v>
      </c>
      <c r="J2084" t="s">
        <v>4834</v>
      </c>
      <c r="K2084" s="17" t="s">
        <v>58</v>
      </c>
      <c r="L2084">
        <v>3</v>
      </c>
    </row>
    <row r="2085" spans="1:12" x14ac:dyDescent="0.25">
      <c r="A2085" t="s">
        <v>5070</v>
      </c>
      <c r="B2085" t="s">
        <v>228</v>
      </c>
      <c r="C2085" t="s">
        <v>215</v>
      </c>
      <c r="D2085" t="s">
        <v>9527</v>
      </c>
      <c r="E2085">
        <v>33</v>
      </c>
      <c r="F2085" t="s">
        <v>211</v>
      </c>
      <c r="G2085" t="s">
        <v>39</v>
      </c>
      <c r="I2085" s="1" t="d">
        <v>2015-05-05</v>
      </c>
      <c r="J2085" t="s">
        <v>1225</v>
      </c>
      <c r="K2085" s="17" t="s">
        <v>207</v>
      </c>
      <c r="L2085">
        <v>4</v>
      </c>
    </row>
    <row r="2086" spans="1:12" x14ac:dyDescent="0.25">
      <c r="A2086" t="s">
        <v>5071</v>
      </c>
      <c r="B2086" t="s">
        <v>482</v>
      </c>
      <c r="C2086" t="s">
        <v>3765</v>
      </c>
      <c r="D2086" t="s">
        <v>46</v>
      </c>
      <c r="E2086">
        <v>47</v>
      </c>
      <c r="F2086" t="s">
        <v>984</v>
      </c>
      <c r="G2086" t="s">
        <v>82</v>
      </c>
      <c r="H2086" t="s">
        <v>5072</v>
      </c>
      <c r="I2086" s="1" t="d">
        <v>2012-04-03</v>
      </c>
      <c r="J2086" t="s">
        <v>1111</v>
      </c>
      <c r="K2086" s="17" t="s">
        <v>27</v>
      </c>
      <c r="L2086">
        <v>5</v>
      </c>
    </row>
    <row r="2087" spans="1:12" x14ac:dyDescent="0.25">
      <c r="A2087" t="s">
        <v>5073</v>
      </c>
      <c r="B2087" t="s">
        <v>1877</v>
      </c>
      <c r="C2087" t="s">
        <v>37</v>
      </c>
      <c r="D2087" t="s">
        <v>9527</v>
      </c>
      <c r="E2087">
        <v>25</v>
      </c>
      <c r="F2087" t="s">
        <v>296</v>
      </c>
      <c r="G2087" t="s">
        <v>32</v>
      </c>
      <c r="I2087" s="1" t="d">
        <v>2014-03-30</v>
      </c>
      <c r="J2087" t="s">
        <v>3897</v>
      </c>
      <c r="K2087" s="17" t="s">
        <v>90</v>
      </c>
      <c r="L2087">
        <v>4</v>
      </c>
    </row>
    <row r="2088" spans="1:12" x14ac:dyDescent="0.25">
      <c r="A2088" t="s">
        <v>5074</v>
      </c>
      <c r="B2088" t="s">
        <v>335</v>
      </c>
      <c r="C2088" t="s">
        <v>631</v>
      </c>
      <c r="D2088" t="s">
        <v>9527</v>
      </c>
      <c r="E2088">
        <v>33</v>
      </c>
      <c r="F2088" t="s">
        <v>365</v>
      </c>
      <c r="G2088" t="s">
        <v>328</v>
      </c>
      <c r="H2088" t="s">
        <v>5075</v>
      </c>
      <c r="I2088" s="1" t="d">
        <v>2009-06-19</v>
      </c>
      <c r="J2088" t="s">
        <v>5076</v>
      </c>
      <c r="K2088" s="17" t="s">
        <v>71</v>
      </c>
      <c r="L2088">
        <v>5</v>
      </c>
    </row>
    <row r="2089" spans="1:12" x14ac:dyDescent="0.25">
      <c r="A2089" t="s">
        <v>5077</v>
      </c>
      <c r="B2089" t="s">
        <v>199</v>
      </c>
      <c r="C2089" t="s">
        <v>2391</v>
      </c>
      <c r="D2089" t="s">
        <v>46</v>
      </c>
      <c r="E2089">
        <v>21</v>
      </c>
      <c r="F2089" t="s">
        <v>422</v>
      </c>
      <c r="G2089" t="s">
        <v>1285</v>
      </c>
      <c r="H2089" t="s">
        <v>5078</v>
      </c>
      <c r="I2089" s="1" t="d">
        <v>2018-04-15</v>
      </c>
      <c r="J2089" t="s">
        <v>1019</v>
      </c>
      <c r="K2089" s="17" t="s">
        <v>90</v>
      </c>
      <c r="L2089">
        <v>3</v>
      </c>
    </row>
    <row r="2090" spans="1:12" x14ac:dyDescent="0.25">
      <c r="A2090" t="s">
        <v>5079</v>
      </c>
      <c r="B2090" t="s">
        <v>5044</v>
      </c>
      <c r="C2090" t="s">
        <v>696</v>
      </c>
      <c r="D2090" t="s">
        <v>9527</v>
      </c>
      <c r="E2090">
        <v>44</v>
      </c>
      <c r="F2090" t="s">
        <v>1116</v>
      </c>
      <c r="G2090" t="s">
        <v>337</v>
      </c>
      <c r="H2090" t="s">
        <v>5080</v>
      </c>
      <c r="I2090" s="1" t="d">
        <v>2021-03-31</v>
      </c>
      <c r="J2090" t="s">
        <v>5081</v>
      </c>
      <c r="K2090" s="17" t="s">
        <v>58</v>
      </c>
      <c r="L2090">
        <v>3</v>
      </c>
    </row>
    <row r="2091" spans="1:12" x14ac:dyDescent="0.25">
      <c r="A2091" t="s">
        <v>5082</v>
      </c>
      <c r="B2091" t="s">
        <v>3535</v>
      </c>
      <c r="C2091" t="s">
        <v>1943</v>
      </c>
      <c r="D2091" t="s">
        <v>46</v>
      </c>
      <c r="E2091">
        <v>26</v>
      </c>
      <c r="F2091" t="s">
        <v>114</v>
      </c>
      <c r="G2091" t="s">
        <v>1719</v>
      </c>
      <c r="H2091" s="2">
        <v>99636</v>
      </c>
      <c r="I2091" s="1" t="d">
        <v>2007-06-23</v>
      </c>
      <c r="J2091" t="s">
        <v>3268</v>
      </c>
      <c r="K2091" s="17" t="s">
        <v>19</v>
      </c>
      <c r="L2091">
        <v>3</v>
      </c>
    </row>
    <row r="2092" spans="1:12" x14ac:dyDescent="0.25">
      <c r="A2092" t="s">
        <v>5083</v>
      </c>
      <c r="B2092" t="s">
        <v>37</v>
      </c>
      <c r="C2092" t="s">
        <v>5084</v>
      </c>
      <c r="D2092" t="s">
        <v>23</v>
      </c>
      <c r="E2092">
        <v>21</v>
      </c>
      <c r="F2092" t="s">
        <v>269</v>
      </c>
      <c r="G2092" t="s">
        <v>996</v>
      </c>
      <c r="H2092" t="s">
        <v>5085</v>
      </c>
      <c r="I2092" s="1" t="d">
        <v>2017-07-04</v>
      </c>
      <c r="J2092" t="s">
        <v>41</v>
      </c>
      <c r="K2092" s="17" t="s">
        <v>71</v>
      </c>
      <c r="L2092">
        <v>3</v>
      </c>
    </row>
    <row r="2093" spans="1:12" x14ac:dyDescent="0.25">
      <c r="A2093" t="s">
        <v>5086</v>
      </c>
      <c r="B2093" t="s">
        <v>664</v>
      </c>
      <c r="C2093" t="s">
        <v>381</v>
      </c>
      <c r="D2093" t="s">
        <v>46</v>
      </c>
      <c r="E2093">
        <v>40</v>
      </c>
      <c r="F2093" t="s">
        <v>146</v>
      </c>
      <c r="G2093" t="s">
        <v>283</v>
      </c>
      <c r="H2093" t="s">
        <v>5087</v>
      </c>
      <c r="I2093" s="1" t="d">
        <v>2016-04-12</v>
      </c>
      <c r="J2093" t="s">
        <v>414</v>
      </c>
      <c r="K2093" s="17" t="s">
        <v>118</v>
      </c>
      <c r="L2093">
        <v>3</v>
      </c>
    </row>
    <row r="2094" spans="1:12" x14ac:dyDescent="0.25">
      <c r="A2094" t="s">
        <v>5088</v>
      </c>
      <c r="B2094" t="s">
        <v>2252</v>
      </c>
      <c r="C2094" t="s">
        <v>252</v>
      </c>
      <c r="D2094" t="s">
        <v>46</v>
      </c>
      <c r="E2094">
        <v>46</v>
      </c>
      <c r="F2094" t="s">
        <v>81</v>
      </c>
      <c r="G2094" t="s">
        <v>504</v>
      </c>
      <c r="H2094" t="s">
        <v>5089</v>
      </c>
      <c r="I2094" s="1" t="d">
        <v>2009-09-11</v>
      </c>
      <c r="J2094" t="s">
        <v>798</v>
      </c>
      <c r="K2094" s="17" t="s">
        <v>34</v>
      </c>
      <c r="L2094">
        <v>3</v>
      </c>
    </row>
    <row r="2095" spans="1:12" x14ac:dyDescent="0.25">
      <c r="A2095" t="s">
        <v>2542</v>
      </c>
      <c r="B2095" t="s">
        <v>139</v>
      </c>
      <c r="C2095" t="s">
        <v>1052</v>
      </c>
      <c r="D2095" t="s">
        <v>23</v>
      </c>
      <c r="E2095">
        <v>21</v>
      </c>
      <c r="F2095" t="s">
        <v>258</v>
      </c>
      <c r="G2095" t="s">
        <v>351</v>
      </c>
      <c r="H2095" s="2">
        <v>50105</v>
      </c>
      <c r="I2095" s="1" t="d">
        <v>2005-01-23</v>
      </c>
      <c r="J2095" t="s">
        <v>1413</v>
      </c>
      <c r="K2095" s="17" t="s">
        <v>58</v>
      </c>
      <c r="L2095">
        <v>4</v>
      </c>
    </row>
    <row r="2096" spans="1:12" x14ac:dyDescent="0.25">
      <c r="A2096" t="s">
        <v>5090</v>
      </c>
      <c r="B2096" t="s">
        <v>746</v>
      </c>
      <c r="C2096" t="s">
        <v>1442</v>
      </c>
      <c r="D2096" t="s">
        <v>46</v>
      </c>
      <c r="E2096">
        <v>50</v>
      </c>
      <c r="F2096" t="s">
        <v>301</v>
      </c>
      <c r="G2096" t="s">
        <v>337</v>
      </c>
      <c r="I2096" s="1" t="d">
        <v>2013-08-05</v>
      </c>
      <c r="J2096" t="s">
        <v>5091</v>
      </c>
      <c r="K2096" s="17" t="s">
        <v>19</v>
      </c>
      <c r="L2096">
        <v>5</v>
      </c>
    </row>
    <row r="2097" spans="1:12" x14ac:dyDescent="0.25">
      <c r="A2097" t="s">
        <v>5092</v>
      </c>
      <c r="B2097" t="s">
        <v>2877</v>
      </c>
      <c r="C2097" t="s">
        <v>665</v>
      </c>
      <c r="D2097" t="s">
        <v>46</v>
      </c>
      <c r="E2097">
        <v>31</v>
      </c>
      <c r="F2097" t="s">
        <v>589</v>
      </c>
      <c r="G2097" t="s">
        <v>182</v>
      </c>
      <c r="H2097" t="s">
        <v>5093</v>
      </c>
      <c r="I2097" s="1" t="d">
        <v>2013-09-18</v>
      </c>
      <c r="J2097" t="s">
        <v>5094</v>
      </c>
      <c r="K2097" s="17" t="s">
        <v>71</v>
      </c>
      <c r="L2097">
        <v>3</v>
      </c>
    </row>
    <row r="2098" spans="1:12" x14ac:dyDescent="0.25">
      <c r="A2098" t="s">
        <v>5095</v>
      </c>
      <c r="B2098" t="s">
        <v>833</v>
      </c>
      <c r="C2098" t="s">
        <v>516</v>
      </c>
      <c r="D2098" t="s">
        <v>9527</v>
      </c>
      <c r="E2098">
        <v>53</v>
      </c>
      <c r="F2098" t="s">
        <v>296</v>
      </c>
      <c r="G2098" t="s">
        <v>1329</v>
      </c>
      <c r="I2098" s="1" t="d">
        <v>2012-10-02</v>
      </c>
      <c r="J2098" t="s">
        <v>2671</v>
      </c>
      <c r="K2098" s="17" t="s">
        <v>370</v>
      </c>
      <c r="L2098">
        <v>3</v>
      </c>
    </row>
    <row r="2099" spans="1:12" x14ac:dyDescent="0.25">
      <c r="A2099" t="s">
        <v>5096</v>
      </c>
      <c r="B2099" t="s">
        <v>3562</v>
      </c>
      <c r="C2099" t="s">
        <v>1377</v>
      </c>
      <c r="D2099" t="s">
        <v>9527</v>
      </c>
      <c r="E2099">
        <v>32</v>
      </c>
      <c r="F2099" t="s">
        <v>264</v>
      </c>
      <c r="G2099" t="s">
        <v>205</v>
      </c>
      <c r="H2099" t="s">
        <v>5097</v>
      </c>
      <c r="I2099" s="1" t="d">
        <v>2008-05-17</v>
      </c>
      <c r="J2099" t="s">
        <v>1489</v>
      </c>
      <c r="K2099" s="17" t="s">
        <v>71</v>
      </c>
      <c r="L2099">
        <v>4</v>
      </c>
    </row>
    <row r="2100" spans="1:12" x14ac:dyDescent="0.25">
      <c r="A2100" t="s">
        <v>5098</v>
      </c>
      <c r="B2100" t="s">
        <v>174</v>
      </c>
      <c r="C2100" t="s">
        <v>300</v>
      </c>
      <c r="D2100" t="s">
        <v>23</v>
      </c>
      <c r="E2100">
        <v>26</v>
      </c>
      <c r="F2100" t="s">
        <v>169</v>
      </c>
      <c r="G2100" t="s">
        <v>69</v>
      </c>
      <c r="H2100">
        <v>63212</v>
      </c>
      <c r="I2100" s="1" t="d">
        <v>2024-06-16</v>
      </c>
      <c r="J2100" t="s">
        <v>3039</v>
      </c>
      <c r="K2100" s="17" t="s">
        <v>100</v>
      </c>
      <c r="L2100">
        <v>3</v>
      </c>
    </row>
    <row r="2101" spans="1:12" x14ac:dyDescent="0.25">
      <c r="A2101" t="s">
        <v>2939</v>
      </c>
      <c r="B2101" t="s">
        <v>1336</v>
      </c>
      <c r="C2101" t="s">
        <v>927</v>
      </c>
      <c r="D2101" t="s">
        <v>23</v>
      </c>
      <c r="E2101">
        <v>60</v>
      </c>
      <c r="F2101" t="s">
        <v>62</v>
      </c>
      <c r="G2101" t="s">
        <v>95</v>
      </c>
      <c r="H2101">
        <v>73178</v>
      </c>
      <c r="J2101" t="s">
        <v>480</v>
      </c>
      <c r="K2101" s="17" t="s">
        <v>19</v>
      </c>
      <c r="L2101">
        <v>3</v>
      </c>
    </row>
    <row r="2102" spans="1:12" x14ac:dyDescent="0.25">
      <c r="A2102" t="s">
        <v>5099</v>
      </c>
      <c r="B2102" t="s">
        <v>5100</v>
      </c>
      <c r="C2102" t="s">
        <v>341</v>
      </c>
      <c r="D2102" t="s">
        <v>9527</v>
      </c>
      <c r="E2102">
        <v>33</v>
      </c>
      <c r="F2102" t="s">
        <v>146</v>
      </c>
      <c r="G2102" t="s">
        <v>55</v>
      </c>
      <c r="H2102">
        <v>95893</v>
      </c>
      <c r="I2102" s="1" t="d">
        <v>2015-11-07</v>
      </c>
      <c r="J2102" t="s">
        <v>313</v>
      </c>
      <c r="K2102" s="17" t="s">
        <v>100</v>
      </c>
      <c r="L2102">
        <v>3</v>
      </c>
    </row>
    <row r="2103" spans="1:12" x14ac:dyDescent="0.25">
      <c r="A2103" t="s">
        <v>5101</v>
      </c>
      <c r="B2103" t="s">
        <v>3470</v>
      </c>
      <c r="C2103" t="s">
        <v>4693</v>
      </c>
      <c r="D2103" t="s">
        <v>23</v>
      </c>
      <c r="E2103">
        <v>24</v>
      </c>
      <c r="F2103" t="s">
        <v>47</v>
      </c>
      <c r="G2103" t="s">
        <v>115</v>
      </c>
      <c r="I2103" s="1" t="d">
        <v>2012-02-09</v>
      </c>
      <c r="J2103" t="s">
        <v>5102</v>
      </c>
      <c r="K2103" s="17" t="s">
        <v>100</v>
      </c>
      <c r="L2103">
        <v>4</v>
      </c>
    </row>
    <row r="2104" spans="1:12" x14ac:dyDescent="0.25">
      <c r="A2104" t="s">
        <v>5103</v>
      </c>
      <c r="B2104" t="s">
        <v>3944</v>
      </c>
      <c r="C2104" t="s">
        <v>36</v>
      </c>
      <c r="D2104" t="s">
        <v>9527</v>
      </c>
      <c r="E2104">
        <v>43</v>
      </c>
      <c r="F2104" t="s">
        <v>2998</v>
      </c>
      <c r="G2104" t="s">
        <v>351</v>
      </c>
      <c r="H2104" s="2">
        <v>64566</v>
      </c>
      <c r="I2104" s="1" t="d">
        <v>2005-08-23</v>
      </c>
      <c r="J2104" t="s">
        <v>1354</v>
      </c>
      <c r="K2104" s="17" t="s">
        <v>19</v>
      </c>
      <c r="L2104">
        <v>3</v>
      </c>
    </row>
    <row r="2105" spans="1:12" x14ac:dyDescent="0.25">
      <c r="A2105" t="s">
        <v>5104</v>
      </c>
      <c r="B2105" t="s">
        <v>4573</v>
      </c>
      <c r="C2105" t="s">
        <v>5105</v>
      </c>
      <c r="D2105" t="s">
        <v>23</v>
      </c>
      <c r="E2105">
        <v>31</v>
      </c>
      <c r="F2105" t="s">
        <v>978</v>
      </c>
      <c r="G2105" t="s">
        <v>1828</v>
      </c>
      <c r="H2105" t="s">
        <v>5106</v>
      </c>
      <c r="I2105" s="1" t="d">
        <v>2019-04-19</v>
      </c>
      <c r="J2105" t="s">
        <v>5107</v>
      </c>
      <c r="K2105" s="17" t="s">
        <v>90</v>
      </c>
      <c r="L2105">
        <v>4</v>
      </c>
    </row>
    <row r="2106" spans="1:12" x14ac:dyDescent="0.25">
      <c r="A2106" t="s">
        <v>5108</v>
      </c>
      <c r="B2106" t="s">
        <v>4320</v>
      </c>
      <c r="C2106" t="s">
        <v>53</v>
      </c>
      <c r="D2106" t="s">
        <v>9527</v>
      </c>
      <c r="E2106">
        <v>34</v>
      </c>
      <c r="F2106" t="s">
        <v>114</v>
      </c>
      <c r="G2106" t="s">
        <v>996</v>
      </c>
      <c r="H2106" t="s">
        <v>5109</v>
      </c>
      <c r="I2106" s="1" t="d">
        <v>2005-02-06</v>
      </c>
      <c r="J2106" t="s">
        <v>2784</v>
      </c>
      <c r="K2106" s="17" t="s">
        <v>27</v>
      </c>
      <c r="L2106">
        <v>4</v>
      </c>
    </row>
    <row r="2107" spans="1:12" x14ac:dyDescent="0.25">
      <c r="A2107" t="s">
        <v>3662</v>
      </c>
      <c r="B2107" t="s">
        <v>410</v>
      </c>
      <c r="C2107" t="s">
        <v>291</v>
      </c>
      <c r="D2107" t="s">
        <v>23</v>
      </c>
      <c r="E2107">
        <v>30</v>
      </c>
      <c r="F2107" t="s">
        <v>68</v>
      </c>
      <c r="G2107" t="s">
        <v>39</v>
      </c>
      <c r="I2107" s="1" t="d">
        <v>2016-11-07</v>
      </c>
      <c r="J2107" t="s">
        <v>2422</v>
      </c>
      <c r="K2107" s="17" t="s">
        <v>19</v>
      </c>
      <c r="L2107">
        <v>2</v>
      </c>
    </row>
    <row r="2108" spans="1:12" x14ac:dyDescent="0.25">
      <c r="A2108" t="s">
        <v>5110</v>
      </c>
      <c r="B2108" t="s">
        <v>1051</v>
      </c>
      <c r="C2108" t="s">
        <v>327</v>
      </c>
      <c r="D2108" t="s">
        <v>46</v>
      </c>
      <c r="E2108">
        <v>22</v>
      </c>
      <c r="F2108" t="s">
        <v>216</v>
      </c>
      <c r="G2108" t="s">
        <v>115</v>
      </c>
      <c r="H2108" s="2">
        <v>75116</v>
      </c>
      <c r="I2108" s="1" t="d">
        <v>2017-09-08</v>
      </c>
      <c r="J2108" t="s">
        <v>2278</v>
      </c>
      <c r="K2108" s="17" t="s">
        <v>207</v>
      </c>
      <c r="L2108">
        <v>4</v>
      </c>
    </row>
    <row r="2109" spans="1:12" x14ac:dyDescent="0.25">
      <c r="A2109" t="s">
        <v>5111</v>
      </c>
      <c r="B2109" t="s">
        <v>199</v>
      </c>
      <c r="C2109" t="s">
        <v>225</v>
      </c>
      <c r="D2109" t="s">
        <v>23</v>
      </c>
      <c r="E2109">
        <v>32</v>
      </c>
      <c r="F2109" t="s">
        <v>104</v>
      </c>
      <c r="G2109" t="s">
        <v>32</v>
      </c>
      <c r="H2109" t="s">
        <v>5112</v>
      </c>
      <c r="I2109" s="1" t="d">
        <v>2012-08-25</v>
      </c>
      <c r="J2109" t="s">
        <v>2550</v>
      </c>
      <c r="K2109" s="17" t="s">
        <v>71</v>
      </c>
      <c r="L2109">
        <v>3</v>
      </c>
    </row>
    <row r="2110" spans="1:12" x14ac:dyDescent="0.25">
      <c r="A2110" t="s">
        <v>5113</v>
      </c>
      <c r="B2110" t="s">
        <v>5114</v>
      </c>
      <c r="C2110" t="s">
        <v>189</v>
      </c>
      <c r="D2110" t="s">
        <v>23</v>
      </c>
      <c r="E2110">
        <v>46</v>
      </c>
      <c r="F2110" t="s">
        <v>38</v>
      </c>
      <c r="G2110" t="s">
        <v>48</v>
      </c>
      <c r="H2110">
        <v>51896</v>
      </c>
      <c r="I2110" s="1" t="d">
        <v>2022-01-26</v>
      </c>
      <c r="J2110" t="s">
        <v>5115</v>
      </c>
      <c r="K2110" s="17" t="s">
        <v>90</v>
      </c>
      <c r="L2110">
        <v>3</v>
      </c>
    </row>
    <row r="2111" spans="1:12" x14ac:dyDescent="0.25">
      <c r="A2111" t="s">
        <v>5116</v>
      </c>
      <c r="B2111" t="s">
        <v>433</v>
      </c>
      <c r="C2111" t="s">
        <v>1010</v>
      </c>
      <c r="D2111" t="s">
        <v>23</v>
      </c>
      <c r="E2111">
        <v>39</v>
      </c>
      <c r="G2111" t="s">
        <v>351</v>
      </c>
      <c r="H2111">
        <v>80466</v>
      </c>
      <c r="I2111" s="1" t="d">
        <v>2014-09-21</v>
      </c>
      <c r="J2111" t="s">
        <v>232</v>
      </c>
      <c r="K2111" s="17" t="s">
        <v>19</v>
      </c>
      <c r="L2111">
        <v>5</v>
      </c>
    </row>
    <row r="2112" spans="1:12" x14ac:dyDescent="0.25">
      <c r="A2112" t="s">
        <v>5117</v>
      </c>
      <c r="B2112" t="s">
        <v>670</v>
      </c>
      <c r="C2112" t="s">
        <v>244</v>
      </c>
      <c r="D2112" t="s">
        <v>23</v>
      </c>
      <c r="E2112">
        <v>56</v>
      </c>
      <c r="F2112" t="s">
        <v>576</v>
      </c>
      <c r="G2112" t="s">
        <v>82</v>
      </c>
      <c r="I2112" s="1" t="d">
        <v>2023-08-10</v>
      </c>
      <c r="J2112" t="s">
        <v>673</v>
      </c>
      <c r="K2112" s="17" t="s">
        <v>184</v>
      </c>
      <c r="L2112">
        <v>3</v>
      </c>
    </row>
    <row r="2113" spans="1:12" x14ac:dyDescent="0.25">
      <c r="A2113" t="s">
        <v>3769</v>
      </c>
      <c r="B2113" t="s">
        <v>44</v>
      </c>
      <c r="C2113" t="s">
        <v>715</v>
      </c>
      <c r="D2113" t="s">
        <v>23</v>
      </c>
      <c r="E2113">
        <v>44</v>
      </c>
      <c r="F2113" t="s">
        <v>253</v>
      </c>
      <c r="G2113" t="s">
        <v>82</v>
      </c>
      <c r="H2113" s="2">
        <v>46769</v>
      </c>
      <c r="I2113" s="1" t="d">
        <v>2008-06-13</v>
      </c>
      <c r="J2113" t="s">
        <v>1941</v>
      </c>
      <c r="K2113" s="17" t="s">
        <v>207</v>
      </c>
      <c r="L2113">
        <v>2</v>
      </c>
    </row>
    <row r="2114" spans="1:12" x14ac:dyDescent="0.25">
      <c r="A2114" t="s">
        <v>5118</v>
      </c>
      <c r="B2114" t="s">
        <v>846</v>
      </c>
      <c r="C2114" t="s">
        <v>140</v>
      </c>
      <c r="D2114" t="s">
        <v>9527</v>
      </c>
      <c r="E2114">
        <v>48</v>
      </c>
      <c r="F2114" t="s">
        <v>532</v>
      </c>
      <c r="G2114" t="s">
        <v>205</v>
      </c>
      <c r="I2114" s="1" t="d">
        <v>2010-03-31</v>
      </c>
      <c r="J2114" t="s">
        <v>5119</v>
      </c>
      <c r="K2114" s="17" t="s">
        <v>71</v>
      </c>
      <c r="L2114">
        <v>1</v>
      </c>
    </row>
    <row r="2115" spans="1:12" x14ac:dyDescent="0.25">
      <c r="A2115" t="s">
        <v>5120</v>
      </c>
      <c r="B2115" t="s">
        <v>340</v>
      </c>
      <c r="C2115" t="s">
        <v>107</v>
      </c>
      <c r="D2115" t="s">
        <v>46</v>
      </c>
      <c r="E2115">
        <v>24</v>
      </c>
      <c r="F2115" t="s">
        <v>230</v>
      </c>
      <c r="G2115" t="s">
        <v>131</v>
      </c>
      <c r="H2115">
        <v>57345</v>
      </c>
      <c r="I2115" s="1" t="d">
        <v>2010-01-11</v>
      </c>
      <c r="J2115" t="s">
        <v>1840</v>
      </c>
      <c r="K2115" s="17" t="s">
        <v>58</v>
      </c>
      <c r="L2115">
        <v>3</v>
      </c>
    </row>
    <row r="2116" spans="1:12" x14ac:dyDescent="0.25">
      <c r="A2116" t="s">
        <v>3154</v>
      </c>
      <c r="B2116" t="s">
        <v>637</v>
      </c>
      <c r="C2116" t="s">
        <v>237</v>
      </c>
      <c r="D2116" t="s">
        <v>9527</v>
      </c>
      <c r="E2116">
        <v>45</v>
      </c>
      <c r="F2116" t="s">
        <v>146</v>
      </c>
      <c r="G2116" t="s">
        <v>191</v>
      </c>
      <c r="H2116" t="s">
        <v>3155</v>
      </c>
      <c r="I2116" s="1" t="d">
        <v>2013-02-16</v>
      </c>
      <c r="J2116" t="s">
        <v>3156</v>
      </c>
      <c r="K2116" s="17" t="s">
        <v>100</v>
      </c>
      <c r="L2116">
        <v>4</v>
      </c>
    </row>
    <row r="2117" spans="1:12" x14ac:dyDescent="0.25">
      <c r="A2117" t="s">
        <v>5121</v>
      </c>
      <c r="B2117" t="s">
        <v>1759</v>
      </c>
      <c r="C2117" t="s">
        <v>575</v>
      </c>
      <c r="D2117" t="s">
        <v>9527</v>
      </c>
      <c r="E2117">
        <v>38</v>
      </c>
      <c r="F2117" t="s">
        <v>15</v>
      </c>
      <c r="G2117" t="s">
        <v>55</v>
      </c>
      <c r="I2117" s="1" t="d">
        <v>2005-05-27</v>
      </c>
      <c r="J2117" t="s">
        <v>255</v>
      </c>
      <c r="K2117" s="17" t="s">
        <v>58</v>
      </c>
      <c r="L2117">
        <v>3</v>
      </c>
    </row>
    <row r="2118" spans="1:12" x14ac:dyDescent="0.25">
      <c r="A2118" t="s">
        <v>5122</v>
      </c>
      <c r="B2118" t="s">
        <v>1316</v>
      </c>
      <c r="C2118" t="s">
        <v>67</v>
      </c>
      <c r="D2118" t="s">
        <v>46</v>
      </c>
      <c r="E2118">
        <v>50</v>
      </c>
      <c r="F2118" t="s">
        <v>1785</v>
      </c>
      <c r="G2118" t="s">
        <v>177</v>
      </c>
      <c r="H2118" s="2">
        <v>37563</v>
      </c>
      <c r="I2118" s="1" t="d">
        <v>2014-01-11</v>
      </c>
      <c r="J2118" t="s">
        <v>2910</v>
      </c>
      <c r="K2118" s="17" t="s">
        <v>118</v>
      </c>
      <c r="L2118">
        <v>3</v>
      </c>
    </row>
    <row r="2119" spans="1:12" x14ac:dyDescent="0.25">
      <c r="A2119" t="s">
        <v>5123</v>
      </c>
      <c r="B2119" t="s">
        <v>1706</v>
      </c>
      <c r="C2119" t="s">
        <v>1191</v>
      </c>
      <c r="D2119" t="s">
        <v>46</v>
      </c>
      <c r="E2119">
        <v>37</v>
      </c>
      <c r="F2119" t="s">
        <v>576</v>
      </c>
      <c r="G2119" t="s">
        <v>39</v>
      </c>
      <c r="H2119" t="s">
        <v>5124</v>
      </c>
      <c r="J2119" t="s">
        <v>5125</v>
      </c>
      <c r="K2119" s="17" t="s">
        <v>19</v>
      </c>
      <c r="L2119">
        <v>2</v>
      </c>
    </row>
    <row r="2120" spans="1:12" x14ac:dyDescent="0.25">
      <c r="A2120" t="s">
        <v>5126</v>
      </c>
      <c r="B2120" t="s">
        <v>5127</v>
      </c>
      <c r="C2120" t="s">
        <v>584</v>
      </c>
      <c r="D2120" t="s">
        <v>46</v>
      </c>
      <c r="E2120">
        <v>45</v>
      </c>
      <c r="F2120" t="s">
        <v>94</v>
      </c>
      <c r="G2120" t="s">
        <v>127</v>
      </c>
      <c r="H2120">
        <v>103311</v>
      </c>
      <c r="I2120" s="1" t="d">
        <v>2015-06-10</v>
      </c>
      <c r="J2120" t="s">
        <v>5128</v>
      </c>
      <c r="K2120" s="17" t="s">
        <v>370</v>
      </c>
      <c r="L2120">
        <v>4</v>
      </c>
    </row>
    <row r="2121" spans="1:12" x14ac:dyDescent="0.25">
      <c r="A2121" t="s">
        <v>5129</v>
      </c>
      <c r="B2121" t="s">
        <v>1124</v>
      </c>
      <c r="C2121" t="s">
        <v>453</v>
      </c>
      <c r="D2121" t="s">
        <v>46</v>
      </c>
      <c r="E2121">
        <v>46</v>
      </c>
      <c r="F2121" t="s">
        <v>422</v>
      </c>
      <c r="G2121" t="s">
        <v>205</v>
      </c>
      <c r="H2121" t="s">
        <v>5130</v>
      </c>
      <c r="I2121" s="1" t="d">
        <v>2020-06-29</v>
      </c>
      <c r="J2121" t="s">
        <v>4384</v>
      </c>
      <c r="K2121" s="17" t="s">
        <v>370</v>
      </c>
      <c r="L2121">
        <v>3</v>
      </c>
    </row>
    <row r="2122" spans="1:12" x14ac:dyDescent="0.25">
      <c r="A2122" t="s">
        <v>5131</v>
      </c>
      <c r="B2122" t="s">
        <v>4201</v>
      </c>
      <c r="C2122" t="s">
        <v>30</v>
      </c>
      <c r="D2122" t="s">
        <v>23</v>
      </c>
      <c r="E2122">
        <v>35</v>
      </c>
      <c r="F2122" t="s">
        <v>5132</v>
      </c>
      <c r="G2122" t="s">
        <v>182</v>
      </c>
      <c r="H2122" t="s">
        <v>5133</v>
      </c>
      <c r="I2122" s="1" t="d">
        <v>2011-03-29</v>
      </c>
      <c r="J2122" t="s">
        <v>241</v>
      </c>
      <c r="K2122" s="17" t="s">
        <v>50</v>
      </c>
      <c r="L2122">
        <v>3</v>
      </c>
    </row>
    <row r="2123" spans="1:12" x14ac:dyDescent="0.25">
      <c r="A2123" t="s">
        <v>5134</v>
      </c>
      <c r="B2123" t="s">
        <v>520</v>
      </c>
      <c r="C2123" t="s">
        <v>684</v>
      </c>
      <c r="D2123" t="s">
        <v>46</v>
      </c>
      <c r="E2123">
        <v>35</v>
      </c>
      <c r="F2123" t="s">
        <v>238</v>
      </c>
      <c r="G2123" t="s">
        <v>278</v>
      </c>
      <c r="H2123" t="s">
        <v>5135</v>
      </c>
      <c r="I2123" s="1" t="d">
        <v>2014-12-21</v>
      </c>
      <c r="J2123" t="s">
        <v>5136</v>
      </c>
      <c r="K2123" s="17" t="s">
        <v>184</v>
      </c>
      <c r="L2123">
        <v>3</v>
      </c>
    </row>
    <row r="2124" spans="1:12" x14ac:dyDescent="0.25">
      <c r="A2124" t="s">
        <v>5137</v>
      </c>
      <c r="B2124" t="s">
        <v>439</v>
      </c>
      <c r="C2124" t="s">
        <v>2064</v>
      </c>
      <c r="D2124" t="s">
        <v>9527</v>
      </c>
      <c r="E2124">
        <v>23</v>
      </c>
      <c r="F2124" t="s">
        <v>114</v>
      </c>
      <c r="G2124" t="s">
        <v>39</v>
      </c>
      <c r="H2124" s="2">
        <v>82646</v>
      </c>
      <c r="I2124" s="1" t="d">
        <v>2018-11-27</v>
      </c>
      <c r="J2124" t="s">
        <v>5138</v>
      </c>
      <c r="K2124" s="17" t="s">
        <v>34</v>
      </c>
      <c r="L2124">
        <v>1</v>
      </c>
    </row>
    <row r="2125" spans="1:12" x14ac:dyDescent="0.25">
      <c r="A2125" t="s">
        <v>5139</v>
      </c>
      <c r="B2125" t="s">
        <v>52</v>
      </c>
      <c r="C2125" t="s">
        <v>631</v>
      </c>
      <c r="D2125" t="s">
        <v>46</v>
      </c>
      <c r="E2125">
        <v>26</v>
      </c>
      <c r="F2125" t="s">
        <v>186</v>
      </c>
      <c r="G2125" t="s">
        <v>115</v>
      </c>
      <c r="H2125" s="2">
        <v>94897</v>
      </c>
      <c r="J2125" t="s">
        <v>5140</v>
      </c>
      <c r="K2125" s="17" t="s">
        <v>90</v>
      </c>
      <c r="L2125">
        <v>3</v>
      </c>
    </row>
    <row r="2126" spans="1:12" x14ac:dyDescent="0.25">
      <c r="A2126" t="s">
        <v>5141</v>
      </c>
      <c r="B2126" t="s">
        <v>151</v>
      </c>
      <c r="C2126" t="s">
        <v>751</v>
      </c>
      <c r="D2126" t="s">
        <v>23</v>
      </c>
      <c r="E2126">
        <v>22</v>
      </c>
      <c r="F2126" t="s">
        <v>2771</v>
      </c>
      <c r="G2126" t="s">
        <v>131</v>
      </c>
      <c r="H2126">
        <v>60661</v>
      </c>
      <c r="I2126" s="1" t="d">
        <v>2017-01-31</v>
      </c>
      <c r="J2126" t="s">
        <v>4922</v>
      </c>
      <c r="K2126" s="17" t="s">
        <v>90</v>
      </c>
      <c r="L2126">
        <v>3</v>
      </c>
    </row>
    <row r="2127" spans="1:12" x14ac:dyDescent="0.25">
      <c r="A2127" t="s">
        <v>5142</v>
      </c>
      <c r="B2127" t="s">
        <v>3058</v>
      </c>
      <c r="C2127" t="s">
        <v>2874</v>
      </c>
      <c r="D2127" t="s">
        <v>9527</v>
      </c>
      <c r="E2127">
        <v>40</v>
      </c>
      <c r="F2127" t="s">
        <v>5143</v>
      </c>
      <c r="G2127" t="s">
        <v>82</v>
      </c>
      <c r="H2127" t="s">
        <v>5144</v>
      </c>
      <c r="I2127" s="1" t="d">
        <v>2019-06-18</v>
      </c>
      <c r="J2127" t="s">
        <v>2454</v>
      </c>
      <c r="K2127" s="17" t="s">
        <v>370</v>
      </c>
      <c r="L2127">
        <v>3</v>
      </c>
    </row>
    <row r="2128" spans="1:12" x14ac:dyDescent="0.25">
      <c r="A2128" t="s">
        <v>5145</v>
      </c>
      <c r="B2128" t="s">
        <v>1096</v>
      </c>
      <c r="C2128" t="s">
        <v>729</v>
      </c>
      <c r="D2128" t="s">
        <v>46</v>
      </c>
      <c r="E2128">
        <v>25</v>
      </c>
      <c r="F2128" t="s">
        <v>196</v>
      </c>
      <c r="G2128" t="s">
        <v>357</v>
      </c>
      <c r="H2128" t="s">
        <v>5146</v>
      </c>
      <c r="I2128" s="1" t="d">
        <v>2013-11-05</v>
      </c>
      <c r="J2128" t="s">
        <v>5147</v>
      </c>
      <c r="K2128" s="17" t="s">
        <v>42</v>
      </c>
      <c r="L2128">
        <v>3</v>
      </c>
    </row>
    <row r="2129" spans="1:12" x14ac:dyDescent="0.25">
      <c r="A2129" t="s">
        <v>5148</v>
      </c>
      <c r="B2129" t="s">
        <v>323</v>
      </c>
      <c r="C2129" t="s">
        <v>1191</v>
      </c>
      <c r="D2129" t="s">
        <v>46</v>
      </c>
      <c r="E2129">
        <v>41</v>
      </c>
      <c r="F2129" t="s">
        <v>31</v>
      </c>
      <c r="G2129" t="s">
        <v>82</v>
      </c>
      <c r="H2129" t="s">
        <v>962</v>
      </c>
      <c r="J2129" t="s">
        <v>3709</v>
      </c>
      <c r="K2129" s="17" t="s">
        <v>58</v>
      </c>
      <c r="L2129">
        <v>4</v>
      </c>
    </row>
    <row r="2130" spans="1:12" x14ac:dyDescent="0.25">
      <c r="A2130" t="s">
        <v>5149</v>
      </c>
      <c r="B2130" t="s">
        <v>162</v>
      </c>
      <c r="C2130" t="s">
        <v>827</v>
      </c>
      <c r="D2130" t="s">
        <v>23</v>
      </c>
      <c r="E2130">
        <v>52</v>
      </c>
      <c r="F2130" t="s">
        <v>417</v>
      </c>
      <c r="G2130" t="s">
        <v>63</v>
      </c>
      <c r="H2130" s="2">
        <v>128495</v>
      </c>
      <c r="I2130" s="1" t="d">
        <v>2022-04-07</v>
      </c>
      <c r="J2130" t="s">
        <v>4789</v>
      </c>
      <c r="K2130" s="17" t="s">
        <v>27</v>
      </c>
      <c r="L2130">
        <v>3</v>
      </c>
    </row>
    <row r="2131" spans="1:12" x14ac:dyDescent="0.25">
      <c r="A2131" t="s">
        <v>5150</v>
      </c>
      <c r="B2131" t="s">
        <v>566</v>
      </c>
      <c r="C2131" t="s">
        <v>3580</v>
      </c>
      <c r="D2131" t="s">
        <v>9527</v>
      </c>
      <c r="E2131">
        <v>34</v>
      </c>
      <c r="F2131" t="s">
        <v>104</v>
      </c>
      <c r="G2131" t="s">
        <v>641</v>
      </c>
      <c r="H2131" s="2">
        <v>53363</v>
      </c>
      <c r="I2131" s="1" t="d">
        <v>2022-03-05</v>
      </c>
      <c r="J2131" t="s">
        <v>4823</v>
      </c>
      <c r="K2131" s="17" t="s">
        <v>370</v>
      </c>
      <c r="L2131">
        <v>3</v>
      </c>
    </row>
    <row r="2132" spans="1:12" x14ac:dyDescent="0.25">
      <c r="A2132" t="s">
        <v>5151</v>
      </c>
      <c r="B2132" t="s">
        <v>410</v>
      </c>
      <c r="C2132" t="s">
        <v>168</v>
      </c>
      <c r="D2132" t="s">
        <v>9527</v>
      </c>
      <c r="E2132">
        <v>29</v>
      </c>
      <c r="F2132" t="s">
        <v>576</v>
      </c>
      <c r="G2132" t="s">
        <v>387</v>
      </c>
      <c r="H2132" t="s">
        <v>5152</v>
      </c>
      <c r="I2132" s="1" t="d">
        <v>2022-10-24</v>
      </c>
      <c r="J2132" t="s">
        <v>1960</v>
      </c>
      <c r="K2132" s="17" t="s">
        <v>42</v>
      </c>
      <c r="L2132">
        <v>3</v>
      </c>
    </row>
    <row r="2133" spans="1:12" x14ac:dyDescent="0.25">
      <c r="A2133" t="s">
        <v>5153</v>
      </c>
      <c r="B2133" t="s">
        <v>670</v>
      </c>
      <c r="C2133" t="s">
        <v>3097</v>
      </c>
      <c r="D2133" t="s">
        <v>9527</v>
      </c>
      <c r="E2133">
        <v>35</v>
      </c>
      <c r="F2133" t="s">
        <v>200</v>
      </c>
      <c r="G2133" t="s">
        <v>39</v>
      </c>
      <c r="H2133" s="2">
        <v>84738</v>
      </c>
      <c r="I2133" s="1" t="d">
        <v>2022-01-27</v>
      </c>
      <c r="J2133" t="s">
        <v>3844</v>
      </c>
      <c r="K2133" s="17" t="s">
        <v>50</v>
      </c>
      <c r="L2133">
        <v>3</v>
      </c>
    </row>
    <row r="2134" spans="1:12" x14ac:dyDescent="0.25">
      <c r="A2134" t="s">
        <v>5154</v>
      </c>
      <c r="B2134" t="s">
        <v>139</v>
      </c>
      <c r="C2134" t="s">
        <v>830</v>
      </c>
      <c r="D2134" t="s">
        <v>9527</v>
      </c>
      <c r="E2134">
        <v>40</v>
      </c>
      <c r="F2134" t="s">
        <v>2065</v>
      </c>
      <c r="G2134" t="s">
        <v>82</v>
      </c>
      <c r="H2134">
        <v>88544</v>
      </c>
      <c r="I2134" s="1" t="d">
        <v>2010-01-30</v>
      </c>
      <c r="J2134" t="s">
        <v>5155</v>
      </c>
      <c r="K2134" s="17" t="s">
        <v>149</v>
      </c>
      <c r="L2134">
        <v>3</v>
      </c>
    </row>
    <row r="2135" spans="1:12" x14ac:dyDescent="0.25">
      <c r="A2135" t="s">
        <v>5156</v>
      </c>
      <c r="B2135" t="s">
        <v>583</v>
      </c>
      <c r="C2135" t="s">
        <v>684</v>
      </c>
      <c r="D2135" t="s">
        <v>9527</v>
      </c>
      <c r="E2135">
        <v>21</v>
      </c>
      <c r="F2135" t="s">
        <v>146</v>
      </c>
      <c r="G2135" t="s">
        <v>217</v>
      </c>
      <c r="H2135" t="s">
        <v>5157</v>
      </c>
      <c r="I2135" s="1" t="d">
        <v>2017-10-16</v>
      </c>
      <c r="J2135" t="s">
        <v>2685</v>
      </c>
      <c r="K2135" s="17" t="s">
        <v>19</v>
      </c>
      <c r="L2135">
        <v>2</v>
      </c>
    </row>
    <row r="2136" spans="1:12" x14ac:dyDescent="0.25">
      <c r="A2136" t="s">
        <v>5158</v>
      </c>
      <c r="B2136" t="s">
        <v>323</v>
      </c>
      <c r="C2136" t="s">
        <v>3097</v>
      </c>
      <c r="D2136" t="s">
        <v>9527</v>
      </c>
      <c r="E2136">
        <v>24</v>
      </c>
      <c r="G2136" t="s">
        <v>614</v>
      </c>
      <c r="H2136" t="s">
        <v>5159</v>
      </c>
      <c r="I2136" s="1" t="d">
        <v>2005-10-02</v>
      </c>
      <c r="J2136" t="s">
        <v>2792</v>
      </c>
      <c r="K2136" s="17" t="s">
        <v>58</v>
      </c>
      <c r="L2136">
        <v>3</v>
      </c>
    </row>
    <row r="2137" spans="1:12" x14ac:dyDescent="0.25">
      <c r="A2137" t="s">
        <v>5160</v>
      </c>
      <c r="B2137" t="s">
        <v>954</v>
      </c>
      <c r="C2137" t="s">
        <v>1770</v>
      </c>
      <c r="D2137" t="s">
        <v>23</v>
      </c>
      <c r="E2137">
        <v>35</v>
      </c>
      <c r="F2137" t="s">
        <v>1116</v>
      </c>
      <c r="G2137" t="s">
        <v>69</v>
      </c>
      <c r="H2137" s="2">
        <v>78139</v>
      </c>
      <c r="I2137" s="1" t="d">
        <v>2014-10-06</v>
      </c>
      <c r="J2137" t="s">
        <v>64</v>
      </c>
      <c r="K2137" s="17" t="s">
        <v>184</v>
      </c>
      <c r="L2137">
        <v>3</v>
      </c>
    </row>
    <row r="2138" spans="1:12" x14ac:dyDescent="0.25">
      <c r="A2138" t="s">
        <v>5161</v>
      </c>
      <c r="B2138" t="s">
        <v>2095</v>
      </c>
      <c r="C2138" t="s">
        <v>386</v>
      </c>
      <c r="D2138" t="s">
        <v>9527</v>
      </c>
      <c r="E2138">
        <v>25</v>
      </c>
      <c r="G2138" t="s">
        <v>182</v>
      </c>
      <c r="H2138" t="s">
        <v>5162</v>
      </c>
      <c r="I2138" s="1" t="d">
        <v>2015-10-15</v>
      </c>
      <c r="J2138" t="s">
        <v>1830</v>
      </c>
      <c r="K2138" s="17" t="s">
        <v>100</v>
      </c>
      <c r="L2138">
        <v>3</v>
      </c>
    </row>
    <row r="2139" spans="1:12" x14ac:dyDescent="0.25">
      <c r="A2139" t="s">
        <v>5163</v>
      </c>
      <c r="B2139" t="s">
        <v>444</v>
      </c>
      <c r="C2139" t="s">
        <v>1384</v>
      </c>
      <c r="D2139" t="s">
        <v>46</v>
      </c>
      <c r="E2139">
        <v>22</v>
      </c>
      <c r="F2139" t="s">
        <v>859</v>
      </c>
      <c r="G2139" t="s">
        <v>283</v>
      </c>
      <c r="H2139">
        <v>143027</v>
      </c>
      <c r="I2139" s="1" t="d">
        <v>2014-01-07</v>
      </c>
      <c r="J2139" t="s">
        <v>1954</v>
      </c>
      <c r="K2139" s="17" t="s">
        <v>100</v>
      </c>
      <c r="L2139">
        <v>4</v>
      </c>
    </row>
    <row r="2140" spans="1:12" x14ac:dyDescent="0.25">
      <c r="A2140" t="s">
        <v>5164</v>
      </c>
      <c r="B2140" t="s">
        <v>139</v>
      </c>
      <c r="C2140" t="s">
        <v>252</v>
      </c>
      <c r="D2140" t="s">
        <v>23</v>
      </c>
      <c r="E2140">
        <v>44</v>
      </c>
      <c r="F2140" t="s">
        <v>54</v>
      </c>
      <c r="G2140" t="s">
        <v>170</v>
      </c>
      <c r="H2140">
        <v>54897</v>
      </c>
      <c r="I2140" s="1" t="d">
        <v>2009-05-28</v>
      </c>
      <c r="J2140" t="s">
        <v>2198</v>
      </c>
      <c r="K2140" s="17" t="s">
        <v>19</v>
      </c>
      <c r="L2140">
        <v>2</v>
      </c>
    </row>
    <row r="2141" spans="1:12" x14ac:dyDescent="0.25">
      <c r="A2141" t="s">
        <v>5165</v>
      </c>
      <c r="B2141" t="s">
        <v>914</v>
      </c>
      <c r="C2141" t="s">
        <v>624</v>
      </c>
      <c r="D2141" t="s">
        <v>46</v>
      </c>
      <c r="E2141">
        <v>54</v>
      </c>
      <c r="F2141" t="s">
        <v>2065</v>
      </c>
      <c r="G2141" t="s">
        <v>159</v>
      </c>
      <c r="H2141" s="2">
        <v>89364</v>
      </c>
      <c r="I2141" s="1" t="d">
        <v>2021-04-29</v>
      </c>
      <c r="J2141" t="s">
        <v>4336</v>
      </c>
      <c r="K2141" s="17" t="s">
        <v>149</v>
      </c>
      <c r="L2141">
        <v>5</v>
      </c>
    </row>
    <row r="2142" spans="1:12" x14ac:dyDescent="0.25">
      <c r="A2142" t="s">
        <v>5166</v>
      </c>
      <c r="B2142" t="s">
        <v>1124</v>
      </c>
      <c r="C2142" t="s">
        <v>696</v>
      </c>
      <c r="D2142" t="s">
        <v>9527</v>
      </c>
      <c r="E2142">
        <v>29</v>
      </c>
      <c r="F2142" t="s">
        <v>495</v>
      </c>
      <c r="G2142" t="s">
        <v>996</v>
      </c>
      <c r="I2142" s="1" t="d">
        <v>2015-08-02</v>
      </c>
      <c r="J2142" t="s">
        <v>1690</v>
      </c>
      <c r="K2142" s="17" t="s">
        <v>34</v>
      </c>
      <c r="L2142">
        <v>5</v>
      </c>
    </row>
    <row r="2143" spans="1:12" x14ac:dyDescent="0.25">
      <c r="A2143" t="s">
        <v>5167</v>
      </c>
      <c r="B2143" t="s">
        <v>1824</v>
      </c>
      <c r="C2143" t="s">
        <v>1622</v>
      </c>
      <c r="D2143" t="s">
        <v>46</v>
      </c>
      <c r="E2143">
        <v>37</v>
      </c>
      <c r="F2143" t="s">
        <v>422</v>
      </c>
      <c r="G2143" t="s">
        <v>82</v>
      </c>
      <c r="I2143" s="1" t="d">
        <v>2016-06-18</v>
      </c>
      <c r="J2143" t="s">
        <v>1623</v>
      </c>
      <c r="K2143" s="17" t="s">
        <v>90</v>
      </c>
      <c r="L2143">
        <v>3</v>
      </c>
    </row>
    <row r="2144" spans="1:12" x14ac:dyDescent="0.25">
      <c r="A2144" t="s">
        <v>5168</v>
      </c>
      <c r="B2144" t="s">
        <v>1350</v>
      </c>
      <c r="C2144" t="s">
        <v>1384</v>
      </c>
      <c r="D2144" t="s">
        <v>9527</v>
      </c>
      <c r="E2144">
        <v>54</v>
      </c>
      <c r="G2144" t="s">
        <v>170</v>
      </c>
      <c r="H2144" t="s">
        <v>5169</v>
      </c>
      <c r="I2144" s="1" t="d">
        <v>2022-02-19</v>
      </c>
      <c r="J2144" t="s">
        <v>1091</v>
      </c>
      <c r="K2144" s="17" t="s">
        <v>34</v>
      </c>
      <c r="L2144">
        <v>2</v>
      </c>
    </row>
    <row r="2145" spans="1:12" x14ac:dyDescent="0.25">
      <c r="A2145" t="s">
        <v>5170</v>
      </c>
      <c r="B2145" t="s">
        <v>1479</v>
      </c>
      <c r="C2145" t="s">
        <v>827</v>
      </c>
      <c r="D2145" t="s">
        <v>46</v>
      </c>
      <c r="E2145">
        <v>21</v>
      </c>
      <c r="F2145" t="s">
        <v>269</v>
      </c>
      <c r="G2145" t="s">
        <v>967</v>
      </c>
      <c r="I2145" s="1" t="d">
        <v>2009-01-29</v>
      </c>
      <c r="J2145" t="s">
        <v>1651</v>
      </c>
      <c r="K2145" s="17" t="s">
        <v>149</v>
      </c>
      <c r="L2145">
        <v>4</v>
      </c>
    </row>
    <row r="2146" spans="1:12" x14ac:dyDescent="0.25">
      <c r="A2146" t="s">
        <v>5171</v>
      </c>
      <c r="B2146" t="s">
        <v>906</v>
      </c>
      <c r="C2146" t="s">
        <v>145</v>
      </c>
      <c r="D2146" t="s">
        <v>46</v>
      </c>
      <c r="E2146">
        <v>32</v>
      </c>
      <c r="F2146" t="s">
        <v>4095</v>
      </c>
      <c r="G2146" t="s">
        <v>205</v>
      </c>
      <c r="I2146" s="1" t="d">
        <v>2024-06-15</v>
      </c>
      <c r="J2146" t="s">
        <v>4464</v>
      </c>
      <c r="K2146" s="17" t="s">
        <v>207</v>
      </c>
      <c r="L2146">
        <v>3</v>
      </c>
    </row>
    <row r="2147" spans="1:12" x14ac:dyDescent="0.25">
      <c r="A2147" t="s">
        <v>5172</v>
      </c>
      <c r="B2147" t="s">
        <v>520</v>
      </c>
      <c r="C2147" t="s">
        <v>37</v>
      </c>
      <c r="D2147" t="s">
        <v>23</v>
      </c>
      <c r="E2147">
        <v>56</v>
      </c>
      <c r="F2147" t="s">
        <v>238</v>
      </c>
      <c r="G2147" t="s">
        <v>170</v>
      </c>
      <c r="H2147" s="2">
        <v>53797</v>
      </c>
      <c r="I2147" s="1" t="d">
        <v>2018-10-09</v>
      </c>
      <c r="J2147" t="s">
        <v>5136</v>
      </c>
      <c r="K2147" s="17" t="s">
        <v>90</v>
      </c>
      <c r="L2147">
        <v>2</v>
      </c>
    </row>
    <row r="2148" spans="1:12" x14ac:dyDescent="0.25">
      <c r="A2148" t="s">
        <v>5173</v>
      </c>
      <c r="B2148" t="s">
        <v>709</v>
      </c>
      <c r="C2148" t="s">
        <v>477</v>
      </c>
      <c r="D2148" t="s">
        <v>23</v>
      </c>
      <c r="E2148">
        <v>32</v>
      </c>
      <c r="F2148" t="s">
        <v>576</v>
      </c>
      <c r="G2148" t="s">
        <v>115</v>
      </c>
      <c r="H2148" s="2">
        <v>109998</v>
      </c>
      <c r="I2148" s="1" t="d">
        <v>2016-12-19</v>
      </c>
      <c r="J2148" t="s">
        <v>5174</v>
      </c>
      <c r="K2148" s="17" t="s">
        <v>27</v>
      </c>
      <c r="L2148">
        <v>3</v>
      </c>
    </row>
    <row r="2149" spans="1:12" x14ac:dyDescent="0.25">
      <c r="A2149" t="s">
        <v>5175</v>
      </c>
      <c r="B2149" t="s">
        <v>228</v>
      </c>
      <c r="C2149" t="s">
        <v>572</v>
      </c>
      <c r="D2149" t="s">
        <v>23</v>
      </c>
      <c r="E2149">
        <v>28</v>
      </c>
      <c r="F2149" t="s">
        <v>589</v>
      </c>
      <c r="G2149" t="s">
        <v>48</v>
      </c>
      <c r="H2149" t="s">
        <v>5176</v>
      </c>
      <c r="J2149" t="s">
        <v>3802</v>
      </c>
      <c r="K2149" s="17" t="s">
        <v>207</v>
      </c>
      <c r="L2149">
        <v>3</v>
      </c>
    </row>
    <row r="2150" spans="1:12" x14ac:dyDescent="0.25">
      <c r="A2150" t="s">
        <v>5177</v>
      </c>
      <c r="B2150" t="s">
        <v>151</v>
      </c>
      <c r="C2150" t="s">
        <v>453</v>
      </c>
      <c r="D2150" t="s">
        <v>23</v>
      </c>
      <c r="E2150">
        <v>33</v>
      </c>
      <c r="F2150" t="s">
        <v>108</v>
      </c>
      <c r="G2150" t="s">
        <v>205</v>
      </c>
      <c r="H2150">
        <v>102736</v>
      </c>
      <c r="I2150" s="1" t="d">
        <v>2013-09-25</v>
      </c>
      <c r="J2150" t="s">
        <v>5178</v>
      </c>
      <c r="K2150" s="17" t="s">
        <v>100</v>
      </c>
      <c r="L2150">
        <v>5</v>
      </c>
    </row>
    <row r="2151" spans="1:12" x14ac:dyDescent="0.25">
      <c r="A2151" t="s">
        <v>5179</v>
      </c>
      <c r="B2151" t="s">
        <v>1512</v>
      </c>
      <c r="C2151" t="s">
        <v>2292</v>
      </c>
      <c r="D2151" t="s">
        <v>23</v>
      </c>
      <c r="E2151">
        <v>40</v>
      </c>
      <c r="F2151" t="s">
        <v>522</v>
      </c>
      <c r="G2151" t="s">
        <v>82</v>
      </c>
      <c r="I2151" s="1" t="d">
        <v>2024-08-10</v>
      </c>
      <c r="J2151" t="s">
        <v>2731</v>
      </c>
      <c r="K2151" s="17" t="s">
        <v>27</v>
      </c>
      <c r="L2151">
        <v>3</v>
      </c>
    </row>
    <row r="2152" spans="1:12" x14ac:dyDescent="0.25">
      <c r="A2152" t="s">
        <v>5180</v>
      </c>
      <c r="B2152" t="s">
        <v>3512</v>
      </c>
      <c r="C2152" t="s">
        <v>1356</v>
      </c>
      <c r="D2152" t="s">
        <v>46</v>
      </c>
      <c r="E2152">
        <v>38</v>
      </c>
      <c r="F2152" t="s">
        <v>253</v>
      </c>
      <c r="G2152" t="s">
        <v>16</v>
      </c>
      <c r="H2152" s="2">
        <v>85258</v>
      </c>
      <c r="I2152" s="1" t="d">
        <v>2022-07-13</v>
      </c>
      <c r="J2152" t="s">
        <v>4551</v>
      </c>
      <c r="K2152" s="17" t="s">
        <v>50</v>
      </c>
      <c r="L2152">
        <v>3</v>
      </c>
    </row>
    <row r="2153" spans="1:12" x14ac:dyDescent="0.25">
      <c r="A2153" t="s">
        <v>5181</v>
      </c>
      <c r="B2153" t="s">
        <v>1605</v>
      </c>
      <c r="C2153" t="s">
        <v>457</v>
      </c>
      <c r="D2153" t="s">
        <v>9527</v>
      </c>
      <c r="E2153">
        <v>38</v>
      </c>
      <c r="F2153" t="s">
        <v>31</v>
      </c>
      <c r="G2153" t="s">
        <v>217</v>
      </c>
      <c r="H2153" t="s">
        <v>5182</v>
      </c>
      <c r="I2153" s="1" t="d">
        <v>2014-09-21</v>
      </c>
      <c r="J2153" t="s">
        <v>3417</v>
      </c>
      <c r="K2153" s="17" t="s">
        <v>184</v>
      </c>
      <c r="L2153">
        <v>4</v>
      </c>
    </row>
    <row r="2154" spans="1:12" x14ac:dyDescent="0.25">
      <c r="A2154" t="s">
        <v>5183</v>
      </c>
      <c r="B2154" t="s">
        <v>482</v>
      </c>
      <c r="C2154" t="s">
        <v>665</v>
      </c>
      <c r="D2154" t="s">
        <v>46</v>
      </c>
      <c r="E2154">
        <v>29</v>
      </c>
      <c r="F2154" t="s">
        <v>68</v>
      </c>
      <c r="G2154" t="s">
        <v>526</v>
      </c>
      <c r="H2154" t="s">
        <v>5184</v>
      </c>
      <c r="I2154" s="1" t="d">
        <v>2013-06-05</v>
      </c>
      <c r="J2154" t="s">
        <v>4797</v>
      </c>
      <c r="K2154" s="17" t="s">
        <v>71</v>
      </c>
      <c r="L2154">
        <v>4</v>
      </c>
    </row>
    <row r="2155" spans="1:12" x14ac:dyDescent="0.25">
      <c r="A2155" t="s">
        <v>5185</v>
      </c>
      <c r="B2155" t="s">
        <v>1842</v>
      </c>
      <c r="C2155" t="s">
        <v>715</v>
      </c>
      <c r="D2155" t="s">
        <v>9527</v>
      </c>
      <c r="E2155">
        <v>30</v>
      </c>
      <c r="F2155" t="s">
        <v>75</v>
      </c>
      <c r="G2155" t="s">
        <v>205</v>
      </c>
      <c r="H2155">
        <v>75413</v>
      </c>
      <c r="I2155" s="1" t="d">
        <v>2012-03-04</v>
      </c>
      <c r="J2155" t="s">
        <v>820</v>
      </c>
      <c r="K2155" s="17" t="s">
        <v>58</v>
      </c>
      <c r="L2155">
        <v>5</v>
      </c>
    </row>
    <row r="2156" spans="1:12" x14ac:dyDescent="0.25">
      <c r="A2156" t="s">
        <v>5186</v>
      </c>
      <c r="B2156" t="s">
        <v>1824</v>
      </c>
      <c r="C2156" t="s">
        <v>268</v>
      </c>
      <c r="D2156" t="s">
        <v>9527</v>
      </c>
      <c r="E2156">
        <v>42</v>
      </c>
      <c r="F2156" t="s">
        <v>2004</v>
      </c>
      <c r="G2156" t="s">
        <v>48</v>
      </c>
      <c r="H2156" t="s">
        <v>5187</v>
      </c>
      <c r="J2156" t="s">
        <v>5188</v>
      </c>
      <c r="K2156" s="17" t="s">
        <v>370</v>
      </c>
      <c r="L2156">
        <v>4</v>
      </c>
    </row>
    <row r="2157" spans="1:12" x14ac:dyDescent="0.25">
      <c r="A2157" t="s">
        <v>5189</v>
      </c>
      <c r="B2157" t="s">
        <v>664</v>
      </c>
      <c r="C2157" t="s">
        <v>416</v>
      </c>
      <c r="D2157" t="s">
        <v>23</v>
      </c>
      <c r="E2157">
        <v>41</v>
      </c>
      <c r="F2157" t="s">
        <v>399</v>
      </c>
      <c r="G2157" t="s">
        <v>170</v>
      </c>
      <c r="H2157" t="s">
        <v>5190</v>
      </c>
      <c r="I2157" s="1" t="d">
        <v>2015-05-09</v>
      </c>
      <c r="J2157" t="s">
        <v>668</v>
      </c>
      <c r="K2157" s="17" t="s">
        <v>42</v>
      </c>
      <c r="L2157">
        <v>2</v>
      </c>
    </row>
    <row r="2158" spans="1:12" x14ac:dyDescent="0.25">
      <c r="A2158" t="s">
        <v>5191</v>
      </c>
      <c r="B2158" t="s">
        <v>769</v>
      </c>
      <c r="C2158" t="s">
        <v>778</v>
      </c>
      <c r="D2158" t="s">
        <v>9527</v>
      </c>
      <c r="E2158">
        <v>21</v>
      </c>
      <c r="F2158" t="s">
        <v>1851</v>
      </c>
      <c r="G2158" t="s">
        <v>1556</v>
      </c>
      <c r="H2158" s="2">
        <v>58462</v>
      </c>
      <c r="I2158" s="1" t="d">
        <v>2013-07-21</v>
      </c>
      <c r="J2158" t="s">
        <v>4766</v>
      </c>
      <c r="K2158" s="17" t="s">
        <v>207</v>
      </c>
      <c r="L2158">
        <v>3</v>
      </c>
    </row>
    <row r="2159" spans="1:12" x14ac:dyDescent="0.25">
      <c r="A2159" t="s">
        <v>5192</v>
      </c>
      <c r="B2159" t="s">
        <v>5193</v>
      </c>
      <c r="C2159" t="s">
        <v>521</v>
      </c>
      <c r="D2159" t="s">
        <v>23</v>
      </c>
      <c r="E2159">
        <v>29</v>
      </c>
      <c r="F2159" t="s">
        <v>200</v>
      </c>
      <c r="G2159" t="s">
        <v>1866</v>
      </c>
      <c r="H2159" t="s">
        <v>5194</v>
      </c>
      <c r="I2159" s="1" t="d">
        <v>2021-05-17</v>
      </c>
      <c r="J2159" t="s">
        <v>824</v>
      </c>
      <c r="K2159" s="17" t="s">
        <v>207</v>
      </c>
      <c r="L2159">
        <v>4</v>
      </c>
    </row>
    <row r="2160" spans="1:12" x14ac:dyDescent="0.25">
      <c r="A2160" t="s">
        <v>5195</v>
      </c>
      <c r="B2160" t="s">
        <v>36</v>
      </c>
      <c r="C2160" t="s">
        <v>521</v>
      </c>
      <c r="D2160" t="s">
        <v>9527</v>
      </c>
      <c r="E2160">
        <v>43</v>
      </c>
      <c r="F2160" t="s">
        <v>319</v>
      </c>
      <c r="G2160" t="s">
        <v>357</v>
      </c>
      <c r="H2160" t="s">
        <v>5196</v>
      </c>
      <c r="I2160" s="1" t="d">
        <v>2015-11-02</v>
      </c>
      <c r="J2160" t="s">
        <v>5197</v>
      </c>
      <c r="K2160" s="17" t="s">
        <v>50</v>
      </c>
      <c r="L2160">
        <v>3</v>
      </c>
    </row>
    <row r="2161" spans="1:12" x14ac:dyDescent="0.25">
      <c r="A2161" t="s">
        <v>5198</v>
      </c>
      <c r="B2161" t="s">
        <v>507</v>
      </c>
      <c r="C2161" t="s">
        <v>36</v>
      </c>
      <c r="D2161" t="s">
        <v>23</v>
      </c>
      <c r="E2161">
        <v>34</v>
      </c>
      <c r="F2161" t="s">
        <v>365</v>
      </c>
      <c r="G2161" t="s">
        <v>16</v>
      </c>
      <c r="I2161" s="1" t="d">
        <v>2023-04-01</v>
      </c>
      <c r="J2161" t="s">
        <v>3600</v>
      </c>
      <c r="K2161" s="17" t="s">
        <v>370</v>
      </c>
      <c r="L2161">
        <v>5</v>
      </c>
    </row>
    <row r="2162" spans="1:12" x14ac:dyDescent="0.25">
      <c r="A2162" t="s">
        <v>5199</v>
      </c>
      <c r="B2162" t="s">
        <v>5200</v>
      </c>
      <c r="C2162" t="s">
        <v>1657</v>
      </c>
      <c r="D2162" t="s">
        <v>46</v>
      </c>
      <c r="E2162">
        <v>39</v>
      </c>
      <c r="F2162" t="s">
        <v>75</v>
      </c>
      <c r="G2162" t="s">
        <v>191</v>
      </c>
      <c r="I2162" s="1" t="d">
        <v>2014-04-02</v>
      </c>
      <c r="J2162" t="s">
        <v>1903</v>
      </c>
      <c r="K2162" s="17" t="s">
        <v>370</v>
      </c>
      <c r="L2162">
        <v>3</v>
      </c>
    </row>
    <row r="2163" spans="1:12" x14ac:dyDescent="0.25">
      <c r="A2163" t="s">
        <v>5201</v>
      </c>
      <c r="B2163" t="s">
        <v>1512</v>
      </c>
      <c r="C2163" t="s">
        <v>93</v>
      </c>
      <c r="D2163" t="s">
        <v>23</v>
      </c>
      <c r="E2163">
        <v>25</v>
      </c>
      <c r="F2163" t="s">
        <v>649</v>
      </c>
      <c r="G2163" t="s">
        <v>177</v>
      </c>
      <c r="H2163" t="s">
        <v>5202</v>
      </c>
      <c r="I2163" s="1" t="d">
        <v>2014-02-12</v>
      </c>
      <c r="J2163" t="s">
        <v>2298</v>
      </c>
      <c r="K2163" s="17" t="s">
        <v>149</v>
      </c>
      <c r="L2163">
        <v>3</v>
      </c>
    </row>
    <row r="2164" spans="1:12" x14ac:dyDescent="0.25">
      <c r="A2164" t="s">
        <v>5203</v>
      </c>
      <c r="B2164" t="s">
        <v>174</v>
      </c>
      <c r="C2164" t="s">
        <v>22</v>
      </c>
      <c r="D2164" t="s">
        <v>23</v>
      </c>
      <c r="E2164">
        <v>40</v>
      </c>
      <c r="F2164" t="s">
        <v>253</v>
      </c>
      <c r="G2164" t="s">
        <v>88</v>
      </c>
      <c r="H2164">
        <v>58080</v>
      </c>
      <c r="I2164" s="1" t="d">
        <v>2008-03-17</v>
      </c>
      <c r="J2164" t="s">
        <v>5204</v>
      </c>
      <c r="K2164" s="17" t="s">
        <v>100</v>
      </c>
      <c r="L2164">
        <v>2</v>
      </c>
    </row>
    <row r="2165" spans="1:12" x14ac:dyDescent="0.25">
      <c r="A2165" t="s">
        <v>5205</v>
      </c>
      <c r="B2165" t="s">
        <v>583</v>
      </c>
      <c r="C2165" t="s">
        <v>1030</v>
      </c>
      <c r="D2165" t="s">
        <v>46</v>
      </c>
      <c r="E2165">
        <v>38</v>
      </c>
      <c r="F2165" t="s">
        <v>356</v>
      </c>
      <c r="G2165" t="s">
        <v>39</v>
      </c>
      <c r="H2165" t="s">
        <v>5206</v>
      </c>
      <c r="I2165" s="1" t="d">
        <v>2014-02-05</v>
      </c>
      <c r="J2165" t="s">
        <v>5207</v>
      </c>
      <c r="K2165" s="17" t="s">
        <v>50</v>
      </c>
      <c r="L2165">
        <v>2</v>
      </c>
    </row>
    <row r="2166" spans="1:12" x14ac:dyDescent="0.25">
      <c r="A2166" t="s">
        <v>5208</v>
      </c>
      <c r="B2166" t="s">
        <v>112</v>
      </c>
      <c r="C2166" t="s">
        <v>3293</v>
      </c>
      <c r="D2166" t="s">
        <v>23</v>
      </c>
      <c r="E2166">
        <v>67</v>
      </c>
      <c r="F2166" t="s">
        <v>4293</v>
      </c>
      <c r="G2166" t="s">
        <v>82</v>
      </c>
      <c r="H2166">
        <v>76885</v>
      </c>
      <c r="I2166" s="1" t="d">
        <v>2011-05-27</v>
      </c>
      <c r="J2166" t="s">
        <v>431</v>
      </c>
      <c r="K2166" s="17" t="s">
        <v>34</v>
      </c>
      <c r="L2166">
        <v>3</v>
      </c>
    </row>
    <row r="2167" spans="1:12" x14ac:dyDescent="0.25">
      <c r="A2167" t="s">
        <v>2196</v>
      </c>
      <c r="B2167" t="s">
        <v>2197</v>
      </c>
      <c r="C2167" t="s">
        <v>252</v>
      </c>
      <c r="D2167" t="s">
        <v>46</v>
      </c>
      <c r="E2167">
        <v>49</v>
      </c>
      <c r="F2167" t="s">
        <v>1203</v>
      </c>
      <c r="G2167" t="s">
        <v>1285</v>
      </c>
      <c r="H2167">
        <v>49062</v>
      </c>
      <c r="I2167" s="1" t="d">
        <v>2012-01-10</v>
      </c>
      <c r="J2167" t="s">
        <v>2198</v>
      </c>
      <c r="K2167" s="17" t="s">
        <v>19</v>
      </c>
      <c r="L2167">
        <v>3</v>
      </c>
    </row>
    <row r="2168" spans="1:12" x14ac:dyDescent="0.25">
      <c r="A2168" t="s">
        <v>5209</v>
      </c>
      <c r="B2168" t="s">
        <v>789</v>
      </c>
      <c r="C2168" t="s">
        <v>5210</v>
      </c>
      <c r="D2168" t="s">
        <v>9527</v>
      </c>
      <c r="E2168">
        <v>51</v>
      </c>
      <c r="F2168" t="s">
        <v>258</v>
      </c>
      <c r="G2168" t="s">
        <v>407</v>
      </c>
      <c r="H2168" t="s">
        <v>5211</v>
      </c>
      <c r="I2168" s="1" t="d">
        <v>2006-12-28</v>
      </c>
      <c r="J2168" t="s">
        <v>5212</v>
      </c>
      <c r="K2168" s="17" t="s">
        <v>184</v>
      </c>
      <c r="L2168">
        <v>3</v>
      </c>
    </row>
    <row r="2169" spans="1:12" x14ac:dyDescent="0.25">
      <c r="A2169" t="s">
        <v>5213</v>
      </c>
      <c r="B2169" t="s">
        <v>323</v>
      </c>
      <c r="C2169" t="s">
        <v>61</v>
      </c>
      <c r="D2169" t="s">
        <v>46</v>
      </c>
      <c r="E2169">
        <v>24</v>
      </c>
      <c r="F2169" t="s">
        <v>15</v>
      </c>
      <c r="G2169" t="s">
        <v>88</v>
      </c>
      <c r="H2169" t="s">
        <v>5214</v>
      </c>
      <c r="I2169" s="1" t="d">
        <v>2008-09-27</v>
      </c>
      <c r="J2169" t="s">
        <v>5215</v>
      </c>
      <c r="K2169" s="17" t="s">
        <v>370</v>
      </c>
      <c r="L2169">
        <v>3</v>
      </c>
    </row>
    <row r="2170" spans="1:12" x14ac:dyDescent="0.25">
      <c r="A2170" t="s">
        <v>5216</v>
      </c>
      <c r="B2170" t="s">
        <v>1154</v>
      </c>
      <c r="C2170" t="s">
        <v>847</v>
      </c>
      <c r="D2170" t="s">
        <v>9527</v>
      </c>
      <c r="E2170">
        <v>33</v>
      </c>
      <c r="F2170" t="s">
        <v>307</v>
      </c>
      <c r="G2170" t="s">
        <v>996</v>
      </c>
      <c r="H2170" s="2">
        <v>114978</v>
      </c>
      <c r="I2170" s="1" t="d">
        <v>2014-12-06</v>
      </c>
      <c r="J2170" t="s">
        <v>5217</v>
      </c>
      <c r="K2170" s="17" t="s">
        <v>90</v>
      </c>
      <c r="L2170">
        <v>3</v>
      </c>
    </row>
    <row r="2171" spans="1:12" x14ac:dyDescent="0.25">
      <c r="A2171" t="s">
        <v>5218</v>
      </c>
      <c r="B2171" t="s">
        <v>563</v>
      </c>
      <c r="C2171" t="s">
        <v>37</v>
      </c>
      <c r="D2171" t="s">
        <v>9527</v>
      </c>
      <c r="E2171">
        <v>38</v>
      </c>
      <c r="G2171" t="s">
        <v>48</v>
      </c>
      <c r="H2171" t="s">
        <v>5219</v>
      </c>
      <c r="I2171" s="1" t="d">
        <v>2009-04-16</v>
      </c>
      <c r="J2171" t="s">
        <v>1152</v>
      </c>
      <c r="K2171" s="17" t="s">
        <v>370</v>
      </c>
      <c r="L2171">
        <v>5</v>
      </c>
    </row>
    <row r="2172" spans="1:12" x14ac:dyDescent="0.25">
      <c r="A2172" t="s">
        <v>5220</v>
      </c>
      <c r="B2172" t="s">
        <v>281</v>
      </c>
      <c r="C2172" t="s">
        <v>552</v>
      </c>
      <c r="D2172" t="s">
        <v>46</v>
      </c>
      <c r="E2172">
        <v>35</v>
      </c>
      <c r="F2172" t="s">
        <v>319</v>
      </c>
      <c r="G2172" t="s">
        <v>39</v>
      </c>
      <c r="H2172" t="s">
        <v>5221</v>
      </c>
      <c r="I2172" s="1" t="d">
        <v>2024-03-29</v>
      </c>
      <c r="J2172" t="s">
        <v>3692</v>
      </c>
      <c r="K2172" s="17" t="s">
        <v>42</v>
      </c>
      <c r="L2172">
        <v>4</v>
      </c>
    </row>
    <row r="2173" spans="1:12" x14ac:dyDescent="0.25">
      <c r="A2173" t="s">
        <v>5222</v>
      </c>
      <c r="B2173" t="s">
        <v>4775</v>
      </c>
      <c r="C2173" t="s">
        <v>575</v>
      </c>
      <c r="D2173" t="s">
        <v>9527</v>
      </c>
      <c r="E2173">
        <v>32</v>
      </c>
      <c r="F2173" t="s">
        <v>5223</v>
      </c>
      <c r="G2173" t="s">
        <v>912</v>
      </c>
      <c r="H2173">
        <v>65226</v>
      </c>
      <c r="I2173" s="1" t="d">
        <v>2005-07-28</v>
      </c>
      <c r="J2173" t="s">
        <v>794</v>
      </c>
      <c r="K2173" s="17" t="s">
        <v>184</v>
      </c>
      <c r="L2173">
        <v>2</v>
      </c>
    </row>
    <row r="2174" spans="1:12" x14ac:dyDescent="0.25">
      <c r="A2174" t="s">
        <v>5224</v>
      </c>
      <c r="B2174" t="s">
        <v>571</v>
      </c>
      <c r="C2174" t="s">
        <v>189</v>
      </c>
      <c r="D2174" t="s">
        <v>23</v>
      </c>
      <c r="E2174">
        <v>36</v>
      </c>
      <c r="F2174" t="s">
        <v>15</v>
      </c>
      <c r="G2174" t="s">
        <v>1556</v>
      </c>
      <c r="H2174">
        <v>96547</v>
      </c>
      <c r="I2174" s="1" t="d">
        <v>2011-02-11</v>
      </c>
      <c r="J2174" t="s">
        <v>1673</v>
      </c>
      <c r="K2174" s="17" t="s">
        <v>42</v>
      </c>
      <c r="L2174">
        <v>4</v>
      </c>
    </row>
    <row r="2175" spans="1:12" x14ac:dyDescent="0.25">
      <c r="A2175" t="s">
        <v>5225</v>
      </c>
      <c r="B2175" t="s">
        <v>21</v>
      </c>
      <c r="C2175" t="s">
        <v>4084</v>
      </c>
      <c r="D2175" t="s">
        <v>9527</v>
      </c>
      <c r="E2175">
        <v>29</v>
      </c>
      <c r="F2175" t="s">
        <v>422</v>
      </c>
      <c r="G2175" t="s">
        <v>39</v>
      </c>
      <c r="H2175" s="2">
        <v>80536</v>
      </c>
      <c r="I2175" s="1" t="d">
        <v>2009-11-02</v>
      </c>
      <c r="J2175" t="s">
        <v>5102</v>
      </c>
      <c r="K2175" s="17" t="s">
        <v>207</v>
      </c>
      <c r="L2175">
        <v>4</v>
      </c>
    </row>
    <row r="2176" spans="1:12" x14ac:dyDescent="0.25">
      <c r="A2176" t="s">
        <v>5226</v>
      </c>
      <c r="B2176" t="s">
        <v>139</v>
      </c>
      <c r="C2176" t="s">
        <v>163</v>
      </c>
      <c r="D2176" t="s">
        <v>46</v>
      </c>
      <c r="E2176">
        <v>48</v>
      </c>
      <c r="F2176" t="s">
        <v>918</v>
      </c>
      <c r="G2176" t="s">
        <v>147</v>
      </c>
      <c r="H2176" s="2">
        <v>109205</v>
      </c>
      <c r="I2176" s="1" t="d">
        <v>2010-10-09</v>
      </c>
      <c r="J2176" t="s">
        <v>5227</v>
      </c>
      <c r="K2176" s="17" t="s">
        <v>207</v>
      </c>
      <c r="L2176">
        <v>4</v>
      </c>
    </row>
    <row r="2177" spans="1:12" x14ac:dyDescent="0.25">
      <c r="A2177" t="s">
        <v>5228</v>
      </c>
      <c r="B2177" t="s">
        <v>79</v>
      </c>
      <c r="C2177" t="s">
        <v>751</v>
      </c>
      <c r="D2177" t="s">
        <v>23</v>
      </c>
      <c r="E2177">
        <v>40</v>
      </c>
      <c r="F2177" t="s">
        <v>24</v>
      </c>
      <c r="G2177" t="s">
        <v>177</v>
      </c>
      <c r="H2177" t="s">
        <v>5229</v>
      </c>
      <c r="I2177" s="1" t="d">
        <v>2022-08-23</v>
      </c>
      <c r="J2177" t="s">
        <v>4443</v>
      </c>
      <c r="K2177" s="17" t="s">
        <v>34</v>
      </c>
      <c r="L2177">
        <v>1</v>
      </c>
    </row>
    <row r="2178" spans="1:12" x14ac:dyDescent="0.25">
      <c r="A2178" t="s">
        <v>2680</v>
      </c>
      <c r="B2178" t="s">
        <v>2681</v>
      </c>
      <c r="C2178" t="s">
        <v>1564</v>
      </c>
      <c r="D2178" t="s">
        <v>9527</v>
      </c>
      <c r="E2178">
        <v>49</v>
      </c>
      <c r="F2178" t="s">
        <v>1116</v>
      </c>
      <c r="G2178" t="s">
        <v>600</v>
      </c>
      <c r="H2178" s="2">
        <v>134526</v>
      </c>
      <c r="I2178" s="1" t="d">
        <v>2021-02-10</v>
      </c>
      <c r="J2178" t="s">
        <v>2682</v>
      </c>
      <c r="K2178" s="17" t="s">
        <v>58</v>
      </c>
      <c r="L2178">
        <v>4</v>
      </c>
    </row>
    <row r="2179" spans="1:12" x14ac:dyDescent="0.25">
      <c r="A2179" t="s">
        <v>5230</v>
      </c>
      <c r="B2179" t="s">
        <v>5231</v>
      </c>
      <c r="C2179" t="s">
        <v>5232</v>
      </c>
      <c r="D2179" t="s">
        <v>46</v>
      </c>
      <c r="E2179">
        <v>43</v>
      </c>
      <c r="F2179" t="s">
        <v>75</v>
      </c>
      <c r="G2179" t="s">
        <v>297</v>
      </c>
      <c r="H2179">
        <v>120373</v>
      </c>
      <c r="I2179" s="1" t="d">
        <v>2015-01-03</v>
      </c>
      <c r="J2179" t="s">
        <v>5233</v>
      </c>
      <c r="K2179" s="17" t="s">
        <v>184</v>
      </c>
      <c r="L2179">
        <v>3</v>
      </c>
    </row>
    <row r="2180" spans="1:12" x14ac:dyDescent="0.25">
      <c r="A2180" t="s">
        <v>5234</v>
      </c>
      <c r="B2180" t="s">
        <v>44</v>
      </c>
      <c r="C2180" t="s">
        <v>2878</v>
      </c>
      <c r="D2180" t="s">
        <v>46</v>
      </c>
      <c r="E2180">
        <v>28</v>
      </c>
      <c r="F2180" t="s">
        <v>559</v>
      </c>
      <c r="G2180" t="s">
        <v>170</v>
      </c>
      <c r="H2180" s="2">
        <v>92827</v>
      </c>
      <c r="I2180" s="1" t="d">
        <v>2020-11-28</v>
      </c>
      <c r="J2180" t="s">
        <v>4376</v>
      </c>
      <c r="K2180" s="17" t="s">
        <v>42</v>
      </c>
      <c r="L2180">
        <v>3</v>
      </c>
    </row>
    <row r="2181" spans="1:12" x14ac:dyDescent="0.25">
      <c r="A2181" t="s">
        <v>5235</v>
      </c>
      <c r="B2181" t="s">
        <v>1403</v>
      </c>
      <c r="C2181" t="s">
        <v>618</v>
      </c>
      <c r="D2181" t="s">
        <v>9527</v>
      </c>
      <c r="E2181">
        <v>57</v>
      </c>
      <c r="F2181" t="s">
        <v>1116</v>
      </c>
      <c r="G2181" t="s">
        <v>458</v>
      </c>
      <c r="H2181" t="s">
        <v>5236</v>
      </c>
      <c r="J2181" t="s">
        <v>5237</v>
      </c>
      <c r="K2181" s="17" t="s">
        <v>19</v>
      </c>
      <c r="L2181">
        <v>4</v>
      </c>
    </row>
    <row r="2182" spans="1:12" x14ac:dyDescent="0.25">
      <c r="A2182" t="s">
        <v>5238</v>
      </c>
      <c r="B2182" t="s">
        <v>808</v>
      </c>
      <c r="C2182" t="s">
        <v>2079</v>
      </c>
      <c r="D2182" t="s">
        <v>9527</v>
      </c>
      <c r="E2182">
        <v>35</v>
      </c>
      <c r="F2182" t="s">
        <v>104</v>
      </c>
      <c r="G2182" t="s">
        <v>39</v>
      </c>
      <c r="H2182" t="s">
        <v>5239</v>
      </c>
      <c r="I2182" s="1" t="d">
        <v>2016-12-05</v>
      </c>
      <c r="J2182" t="s">
        <v>756</v>
      </c>
      <c r="K2182" s="17" t="s">
        <v>58</v>
      </c>
      <c r="L2182">
        <v>3</v>
      </c>
    </row>
    <row r="2183" spans="1:12" x14ac:dyDescent="0.25">
      <c r="A2183" t="s">
        <v>5240</v>
      </c>
      <c r="B2183" t="s">
        <v>130</v>
      </c>
      <c r="C2183" t="s">
        <v>665</v>
      </c>
      <c r="D2183" t="s">
        <v>9527</v>
      </c>
      <c r="E2183">
        <v>38</v>
      </c>
      <c r="F2183" t="s">
        <v>406</v>
      </c>
      <c r="G2183" t="s">
        <v>82</v>
      </c>
      <c r="H2183" t="s">
        <v>5241</v>
      </c>
      <c r="I2183" s="1" t="d">
        <v>2011-11-01</v>
      </c>
      <c r="J2183" t="s">
        <v>3539</v>
      </c>
      <c r="K2183" s="17" t="s">
        <v>19</v>
      </c>
      <c r="L2183">
        <v>3</v>
      </c>
    </row>
    <row r="2184" spans="1:12" x14ac:dyDescent="0.25">
      <c r="A2184" t="s">
        <v>5242</v>
      </c>
      <c r="B2184" t="s">
        <v>1403</v>
      </c>
      <c r="C2184" t="s">
        <v>2246</v>
      </c>
      <c r="D2184" t="s">
        <v>9527</v>
      </c>
      <c r="E2184">
        <v>41</v>
      </c>
      <c r="G2184" t="s">
        <v>48</v>
      </c>
      <c r="H2184" t="s">
        <v>5243</v>
      </c>
      <c r="I2184" s="1" t="d">
        <v>2007-06-24</v>
      </c>
      <c r="J2184" t="s">
        <v>5237</v>
      </c>
      <c r="K2184" s="17" t="s">
        <v>27</v>
      </c>
      <c r="L2184">
        <v>2</v>
      </c>
    </row>
    <row r="2185" spans="1:12" x14ac:dyDescent="0.25">
      <c r="A2185" t="s">
        <v>5244</v>
      </c>
      <c r="B2185" t="s">
        <v>1689</v>
      </c>
      <c r="C2185" t="s">
        <v>540</v>
      </c>
      <c r="D2185" t="s">
        <v>23</v>
      </c>
      <c r="E2185">
        <v>41</v>
      </c>
      <c r="F2185" t="s">
        <v>68</v>
      </c>
      <c r="G2185" t="s">
        <v>32</v>
      </c>
      <c r="H2185" t="s">
        <v>5245</v>
      </c>
      <c r="I2185" s="1" t="d">
        <v>2020-12-21</v>
      </c>
      <c r="J2185" t="s">
        <v>3658</v>
      </c>
      <c r="K2185" s="17" t="s">
        <v>118</v>
      </c>
      <c r="L2185">
        <v>3</v>
      </c>
    </row>
    <row r="2186" spans="1:12" x14ac:dyDescent="0.25">
      <c r="A2186" t="s">
        <v>5246</v>
      </c>
      <c r="B2186" t="s">
        <v>566</v>
      </c>
      <c r="C2186" t="s">
        <v>2572</v>
      </c>
      <c r="D2186" t="s">
        <v>9527</v>
      </c>
      <c r="E2186">
        <v>37</v>
      </c>
      <c r="F2186" t="s">
        <v>2065</v>
      </c>
      <c r="G2186" t="s">
        <v>82</v>
      </c>
      <c r="H2186">
        <v>96276</v>
      </c>
      <c r="I2186" s="1" t="d">
        <v>2020-03-20</v>
      </c>
      <c r="J2186" t="s">
        <v>673</v>
      </c>
      <c r="K2186" s="17" t="s">
        <v>71</v>
      </c>
      <c r="L2186">
        <v>3</v>
      </c>
    </row>
    <row r="2187" spans="1:12" x14ac:dyDescent="0.25">
      <c r="A2187" t="s">
        <v>5247</v>
      </c>
      <c r="B2187" t="s">
        <v>162</v>
      </c>
      <c r="C2187" t="s">
        <v>268</v>
      </c>
      <c r="D2187" t="s">
        <v>23</v>
      </c>
      <c r="E2187">
        <v>36</v>
      </c>
      <c r="F2187" t="s">
        <v>269</v>
      </c>
      <c r="G2187" t="s">
        <v>82</v>
      </c>
      <c r="H2187" t="s">
        <v>5248</v>
      </c>
      <c r="I2187" s="1" t="d">
        <v>2017-09-02</v>
      </c>
      <c r="J2187" t="s">
        <v>2682</v>
      </c>
      <c r="K2187" s="17" t="s">
        <v>184</v>
      </c>
      <c r="L2187">
        <v>4</v>
      </c>
    </row>
    <row r="2188" spans="1:12" x14ac:dyDescent="0.25">
      <c r="A2188" t="s">
        <v>5249</v>
      </c>
      <c r="B2188" t="s">
        <v>130</v>
      </c>
      <c r="C2188" t="s">
        <v>1657</v>
      </c>
      <c r="D2188" t="s">
        <v>23</v>
      </c>
      <c r="E2188">
        <v>23</v>
      </c>
      <c r="F2188" t="s">
        <v>269</v>
      </c>
      <c r="G2188" t="s">
        <v>16</v>
      </c>
      <c r="H2188" t="s">
        <v>5250</v>
      </c>
      <c r="I2188" s="1" t="d">
        <v>2015-02-14</v>
      </c>
      <c r="J2188" t="s">
        <v>2468</v>
      </c>
      <c r="K2188" s="17" t="s">
        <v>19</v>
      </c>
      <c r="L2188">
        <v>4</v>
      </c>
    </row>
    <row r="2189" spans="1:12" x14ac:dyDescent="0.25">
      <c r="A2189" t="s">
        <v>5251</v>
      </c>
      <c r="B2189" t="s">
        <v>2272</v>
      </c>
      <c r="C2189" t="s">
        <v>5252</v>
      </c>
      <c r="D2189" t="s">
        <v>9527</v>
      </c>
      <c r="E2189">
        <v>35</v>
      </c>
      <c r="F2189" t="s">
        <v>399</v>
      </c>
      <c r="G2189" t="s">
        <v>39</v>
      </c>
      <c r="H2189" t="s">
        <v>5253</v>
      </c>
      <c r="I2189" s="1" t="d">
        <v>2023-08-03</v>
      </c>
      <c r="J2189" t="s">
        <v>1375</v>
      </c>
      <c r="K2189" s="17" t="s">
        <v>42</v>
      </c>
      <c r="L2189">
        <v>3</v>
      </c>
    </row>
    <row r="2190" spans="1:12" x14ac:dyDescent="0.25">
      <c r="A2190" t="s">
        <v>5254</v>
      </c>
      <c r="B2190" t="s">
        <v>1096</v>
      </c>
      <c r="C2190" t="s">
        <v>37</v>
      </c>
      <c r="D2190" t="s">
        <v>9527</v>
      </c>
      <c r="E2190">
        <v>24</v>
      </c>
      <c r="F2190" t="s">
        <v>971</v>
      </c>
      <c r="G2190" t="s">
        <v>39</v>
      </c>
      <c r="H2190" t="s">
        <v>5255</v>
      </c>
      <c r="I2190" s="1" t="d">
        <v>2019-12-13</v>
      </c>
      <c r="J2190" t="s">
        <v>5256</v>
      </c>
      <c r="K2190" s="17" t="s">
        <v>19</v>
      </c>
      <c r="L2190">
        <v>5</v>
      </c>
    </row>
    <row r="2191" spans="1:12" x14ac:dyDescent="0.25">
      <c r="A2191" t="s">
        <v>5257</v>
      </c>
      <c r="B2191" t="s">
        <v>221</v>
      </c>
      <c r="C2191" t="s">
        <v>1657</v>
      </c>
      <c r="D2191" t="s">
        <v>23</v>
      </c>
      <c r="E2191">
        <v>32</v>
      </c>
      <c r="F2191" t="s">
        <v>4781</v>
      </c>
      <c r="G2191" t="s">
        <v>16</v>
      </c>
      <c r="H2191" s="2">
        <v>64995</v>
      </c>
      <c r="I2191" s="1" t="d">
        <v>2013-07-11</v>
      </c>
      <c r="J2191" t="s">
        <v>1578</v>
      </c>
      <c r="K2191" s="17" t="s">
        <v>50</v>
      </c>
      <c r="L2191">
        <v>3</v>
      </c>
    </row>
    <row r="2192" spans="1:12" x14ac:dyDescent="0.25">
      <c r="A2192" t="s">
        <v>5258</v>
      </c>
      <c r="B2192" t="s">
        <v>385</v>
      </c>
      <c r="C2192" t="s">
        <v>427</v>
      </c>
      <c r="D2192" t="s">
        <v>9527</v>
      </c>
      <c r="E2192">
        <v>52</v>
      </c>
      <c r="G2192" t="s">
        <v>357</v>
      </c>
      <c r="H2192" t="s">
        <v>962</v>
      </c>
      <c r="I2192" s="1" t="d">
        <v>2009-04-23</v>
      </c>
      <c r="J2192" t="s">
        <v>2296</v>
      </c>
      <c r="K2192" s="17" t="s">
        <v>149</v>
      </c>
      <c r="L2192">
        <v>4</v>
      </c>
    </row>
    <row r="2193" spans="1:12" x14ac:dyDescent="0.25">
      <c r="A2193" t="s">
        <v>5259</v>
      </c>
      <c r="B2193" t="s">
        <v>267</v>
      </c>
      <c r="C2193" t="s">
        <v>3444</v>
      </c>
      <c r="D2193" t="s">
        <v>23</v>
      </c>
      <c r="E2193">
        <v>38</v>
      </c>
      <c r="F2193" t="s">
        <v>75</v>
      </c>
      <c r="G2193" t="s">
        <v>337</v>
      </c>
      <c r="I2193" s="1" t="d">
        <v>2009-10-14</v>
      </c>
      <c r="J2193" t="s">
        <v>3530</v>
      </c>
      <c r="K2193" s="17" t="s">
        <v>207</v>
      </c>
      <c r="L2193">
        <v>5</v>
      </c>
    </row>
    <row r="2194" spans="1:12" x14ac:dyDescent="0.25">
      <c r="A2194" t="s">
        <v>5260</v>
      </c>
      <c r="B2194" t="s">
        <v>769</v>
      </c>
      <c r="C2194" t="s">
        <v>67</v>
      </c>
      <c r="D2194" t="s">
        <v>46</v>
      </c>
      <c r="E2194">
        <v>33</v>
      </c>
      <c r="F2194" t="s">
        <v>31</v>
      </c>
      <c r="G2194" t="s">
        <v>191</v>
      </c>
      <c r="H2194" t="s">
        <v>5261</v>
      </c>
      <c r="I2194" s="1" t="d">
        <v>2005-11-03</v>
      </c>
      <c r="J2194" t="s">
        <v>546</v>
      </c>
      <c r="K2194" s="17" t="s">
        <v>370</v>
      </c>
      <c r="L2194">
        <v>4</v>
      </c>
    </row>
    <row r="2195" spans="1:12" x14ac:dyDescent="0.25">
      <c r="A2195" t="s">
        <v>5262</v>
      </c>
      <c r="B2195" t="s">
        <v>5263</v>
      </c>
      <c r="C2195" t="s">
        <v>758</v>
      </c>
      <c r="D2195" t="s">
        <v>9527</v>
      </c>
      <c r="E2195">
        <v>54</v>
      </c>
      <c r="F2195" t="s">
        <v>406</v>
      </c>
      <c r="G2195" t="s">
        <v>1215</v>
      </c>
      <c r="H2195" t="s">
        <v>5264</v>
      </c>
      <c r="I2195" s="1" t="d">
        <v>2021-03-07</v>
      </c>
      <c r="J2195" t="s">
        <v>2553</v>
      </c>
      <c r="K2195" s="17" t="s">
        <v>184</v>
      </c>
      <c r="L2195">
        <v>3</v>
      </c>
    </row>
    <row r="2196" spans="1:12" x14ac:dyDescent="0.25">
      <c r="A2196" t="s">
        <v>5265</v>
      </c>
      <c r="B2196" t="s">
        <v>404</v>
      </c>
      <c r="C2196" t="s">
        <v>1494</v>
      </c>
      <c r="D2196" t="s">
        <v>46</v>
      </c>
      <c r="E2196">
        <v>31</v>
      </c>
      <c r="G2196" t="s">
        <v>212</v>
      </c>
      <c r="H2196" t="s">
        <v>5266</v>
      </c>
      <c r="I2196" s="1" t="d">
        <v>2008-07-09</v>
      </c>
      <c r="J2196" t="s">
        <v>940</v>
      </c>
      <c r="K2196" s="17" t="s">
        <v>149</v>
      </c>
      <c r="L2196">
        <v>3</v>
      </c>
    </row>
    <row r="2197" spans="1:12" x14ac:dyDescent="0.25">
      <c r="A2197" t="s">
        <v>5267</v>
      </c>
      <c r="B2197" t="s">
        <v>906</v>
      </c>
      <c r="C2197" t="s">
        <v>5268</v>
      </c>
      <c r="D2197" t="s">
        <v>9527</v>
      </c>
      <c r="E2197">
        <v>41</v>
      </c>
      <c r="F2197" t="s">
        <v>114</v>
      </c>
      <c r="G2197" t="s">
        <v>504</v>
      </c>
      <c r="H2197" t="s">
        <v>962</v>
      </c>
      <c r="I2197" s="1" t="d">
        <v>2020-05-05</v>
      </c>
      <c r="J2197" t="s">
        <v>4464</v>
      </c>
      <c r="K2197" s="17" t="s">
        <v>118</v>
      </c>
      <c r="L2197">
        <v>3</v>
      </c>
    </row>
    <row r="2198" spans="1:12" x14ac:dyDescent="0.25">
      <c r="A2198" t="s">
        <v>5269</v>
      </c>
      <c r="B2198" t="s">
        <v>228</v>
      </c>
      <c r="C2198" t="s">
        <v>729</v>
      </c>
      <c r="D2198" t="s">
        <v>23</v>
      </c>
      <c r="E2198">
        <v>24</v>
      </c>
      <c r="F2198" t="s">
        <v>649</v>
      </c>
      <c r="G2198" t="s">
        <v>205</v>
      </c>
      <c r="H2198" s="2">
        <v>86491</v>
      </c>
      <c r="I2198" s="1" t="d">
        <v>2012-07-28</v>
      </c>
      <c r="J2198" t="s">
        <v>1225</v>
      </c>
      <c r="K2198" s="17" t="s">
        <v>34</v>
      </c>
      <c r="L2198">
        <v>1</v>
      </c>
    </row>
    <row r="2199" spans="1:12" x14ac:dyDescent="0.25">
      <c r="A2199" t="s">
        <v>5270</v>
      </c>
      <c r="B2199" t="s">
        <v>44</v>
      </c>
      <c r="C2199" t="s">
        <v>898</v>
      </c>
      <c r="D2199" t="s">
        <v>46</v>
      </c>
      <c r="E2199">
        <v>27</v>
      </c>
      <c r="F2199" t="s">
        <v>356</v>
      </c>
      <c r="G2199" t="s">
        <v>39</v>
      </c>
      <c r="H2199" t="s">
        <v>5271</v>
      </c>
      <c r="I2199" s="1" t="d">
        <v>2023-04-18</v>
      </c>
      <c r="J2199" t="s">
        <v>1941</v>
      </c>
      <c r="K2199" s="17" t="s">
        <v>100</v>
      </c>
      <c r="L2199">
        <v>3</v>
      </c>
    </row>
    <row r="2200" spans="1:12" x14ac:dyDescent="0.25">
      <c r="A2200" t="s">
        <v>5272</v>
      </c>
      <c r="B2200" t="s">
        <v>1706</v>
      </c>
      <c r="C2200" t="s">
        <v>244</v>
      </c>
      <c r="D2200" t="s">
        <v>46</v>
      </c>
      <c r="E2200">
        <v>49</v>
      </c>
      <c r="F2200" t="s">
        <v>1839</v>
      </c>
      <c r="G2200" t="s">
        <v>55</v>
      </c>
      <c r="H2200" s="2">
        <v>58424</v>
      </c>
      <c r="I2200" s="1" t="d">
        <v>2005-12-06</v>
      </c>
      <c r="J2200" t="s">
        <v>5125</v>
      </c>
      <c r="K2200" s="17" t="s">
        <v>207</v>
      </c>
      <c r="L2200">
        <v>3</v>
      </c>
    </row>
    <row r="2201" spans="1:12" x14ac:dyDescent="0.25">
      <c r="A2201" t="s">
        <v>5273</v>
      </c>
      <c r="B2201" t="s">
        <v>786</v>
      </c>
      <c r="C2201" t="s">
        <v>336</v>
      </c>
      <c r="D2201" t="s">
        <v>9527</v>
      </c>
      <c r="E2201">
        <v>26</v>
      </c>
      <c r="F2201" t="s">
        <v>47</v>
      </c>
      <c r="G2201" t="s">
        <v>177</v>
      </c>
      <c r="H2201" t="s">
        <v>5274</v>
      </c>
      <c r="I2201" s="1" t="d">
        <v>2013-04-26</v>
      </c>
      <c r="J2201" t="s">
        <v>5275</v>
      </c>
      <c r="K2201" s="17" t="s">
        <v>100</v>
      </c>
      <c r="L2201">
        <v>4</v>
      </c>
    </row>
    <row r="2202" spans="1:12" x14ac:dyDescent="0.25">
      <c r="A2202" t="s">
        <v>5276</v>
      </c>
      <c r="B2202" t="s">
        <v>1350</v>
      </c>
      <c r="C2202" t="s">
        <v>575</v>
      </c>
      <c r="D2202" t="s">
        <v>23</v>
      </c>
      <c r="E2202">
        <v>43</v>
      </c>
      <c r="F2202" t="s">
        <v>406</v>
      </c>
      <c r="G2202" t="s">
        <v>69</v>
      </c>
      <c r="H2202">
        <v>46899</v>
      </c>
      <c r="I2202" s="1" t="d">
        <v>2023-05-21</v>
      </c>
      <c r="J2202" t="s">
        <v>4199</v>
      </c>
      <c r="K2202" s="17" t="s">
        <v>118</v>
      </c>
      <c r="L2202">
        <v>3</v>
      </c>
    </row>
    <row r="2203" spans="1:12" x14ac:dyDescent="0.25">
      <c r="A2203" t="s">
        <v>5277</v>
      </c>
      <c r="B2203" t="s">
        <v>5278</v>
      </c>
      <c r="C2203" t="s">
        <v>2242</v>
      </c>
      <c r="D2203" t="s">
        <v>23</v>
      </c>
      <c r="E2203">
        <v>48</v>
      </c>
      <c r="F2203" t="s">
        <v>365</v>
      </c>
      <c r="G2203" t="s">
        <v>337</v>
      </c>
      <c r="H2203">
        <v>48880</v>
      </c>
      <c r="I2203" s="1" t="d">
        <v>2012-10-07</v>
      </c>
      <c r="J2203" t="s">
        <v>4792</v>
      </c>
      <c r="K2203" s="17" t="s">
        <v>100</v>
      </c>
      <c r="L2203">
        <v>4</v>
      </c>
    </row>
    <row r="2204" spans="1:12" x14ac:dyDescent="0.25">
      <c r="A2204" t="s">
        <v>5279</v>
      </c>
      <c r="B2204" t="s">
        <v>670</v>
      </c>
      <c r="C2204" t="s">
        <v>521</v>
      </c>
      <c r="D2204" t="s">
        <v>23</v>
      </c>
      <c r="E2204">
        <v>39</v>
      </c>
      <c r="F2204" t="s">
        <v>1163</v>
      </c>
      <c r="G2204" t="s">
        <v>170</v>
      </c>
      <c r="H2204" s="2">
        <v>87106</v>
      </c>
      <c r="I2204" s="1" t="d">
        <v>2008-08-03</v>
      </c>
      <c r="J2204" t="s">
        <v>1619</v>
      </c>
      <c r="K2204" s="17" t="s">
        <v>27</v>
      </c>
      <c r="L2204">
        <v>5</v>
      </c>
    </row>
    <row r="2205" spans="1:12" x14ac:dyDescent="0.25">
      <c r="A2205" t="s">
        <v>5280</v>
      </c>
      <c r="B2205" t="s">
        <v>786</v>
      </c>
      <c r="C2205" t="s">
        <v>684</v>
      </c>
      <c r="D2205" t="s">
        <v>46</v>
      </c>
      <c r="E2205">
        <v>49</v>
      </c>
      <c r="F2205" t="s">
        <v>532</v>
      </c>
      <c r="G2205" t="s">
        <v>170</v>
      </c>
      <c r="H2205">
        <v>71958</v>
      </c>
      <c r="I2205" s="1" t="d">
        <v>2016-01-14</v>
      </c>
      <c r="J2205" t="s">
        <v>3607</v>
      </c>
      <c r="K2205" s="17" t="s">
        <v>58</v>
      </c>
      <c r="L2205">
        <v>5</v>
      </c>
    </row>
    <row r="2206" spans="1:12" x14ac:dyDescent="0.25">
      <c r="A2206" t="s">
        <v>5281</v>
      </c>
      <c r="B2206" t="s">
        <v>5282</v>
      </c>
      <c r="C2206" t="s">
        <v>3158</v>
      </c>
      <c r="D2206" t="s">
        <v>9527</v>
      </c>
      <c r="E2206">
        <v>45</v>
      </c>
      <c r="F2206" t="s">
        <v>2275</v>
      </c>
      <c r="G2206" t="s">
        <v>217</v>
      </c>
      <c r="H2206" s="2">
        <v>144115</v>
      </c>
      <c r="I2206" s="1" t="d">
        <v>2009-02-18</v>
      </c>
      <c r="J2206" t="s">
        <v>3036</v>
      </c>
      <c r="K2206" s="17" t="s">
        <v>50</v>
      </c>
      <c r="L2206">
        <v>3</v>
      </c>
    </row>
    <row r="2207" spans="1:12" x14ac:dyDescent="0.25">
      <c r="A2207" t="s">
        <v>5283</v>
      </c>
      <c r="B2207" t="s">
        <v>44</v>
      </c>
      <c r="C2207" t="s">
        <v>988</v>
      </c>
      <c r="D2207" t="s">
        <v>23</v>
      </c>
      <c r="E2207">
        <v>46</v>
      </c>
      <c r="F2207" t="s">
        <v>47</v>
      </c>
      <c r="G2207" t="s">
        <v>217</v>
      </c>
      <c r="H2207" t="s">
        <v>5284</v>
      </c>
      <c r="I2207" s="1" t="d">
        <v>2018-02-25</v>
      </c>
      <c r="J2207" t="s">
        <v>5285</v>
      </c>
      <c r="K2207" s="17" t="s">
        <v>34</v>
      </c>
      <c r="L2207">
        <v>3</v>
      </c>
    </row>
    <row r="2208" spans="1:12" x14ac:dyDescent="0.25">
      <c r="A2208" t="s">
        <v>5286</v>
      </c>
      <c r="B2208" t="s">
        <v>1689</v>
      </c>
      <c r="C2208" t="s">
        <v>332</v>
      </c>
      <c r="D2208" t="s">
        <v>46</v>
      </c>
      <c r="E2208">
        <v>46</v>
      </c>
      <c r="F2208" t="s">
        <v>38</v>
      </c>
      <c r="G2208" t="s">
        <v>39</v>
      </c>
      <c r="H2208">
        <v>47155</v>
      </c>
      <c r="I2208" s="1" t="d">
        <v>2009-12-29</v>
      </c>
      <c r="J2208" t="s">
        <v>2021</v>
      </c>
      <c r="K2208" s="17" t="s">
        <v>27</v>
      </c>
      <c r="L2208">
        <v>4</v>
      </c>
    </row>
    <row r="2209" spans="1:12" x14ac:dyDescent="0.25">
      <c r="A2209" t="s">
        <v>5287</v>
      </c>
      <c r="B2209" t="s">
        <v>670</v>
      </c>
      <c r="C2209" t="s">
        <v>710</v>
      </c>
      <c r="D2209" t="s">
        <v>9527</v>
      </c>
      <c r="E2209">
        <v>34</v>
      </c>
      <c r="F2209" t="s">
        <v>978</v>
      </c>
      <c r="G2209" t="s">
        <v>842</v>
      </c>
      <c r="H2209" t="s">
        <v>5288</v>
      </c>
      <c r="I2209" s="1" t="d">
        <v>2005-04-27</v>
      </c>
      <c r="J2209" t="s">
        <v>5217</v>
      </c>
      <c r="K2209" s="17" t="s">
        <v>100</v>
      </c>
      <c r="L2209">
        <v>3</v>
      </c>
    </row>
    <row r="2210" spans="1:12" x14ac:dyDescent="0.25">
      <c r="A2210" t="s">
        <v>5289</v>
      </c>
      <c r="B2210" t="s">
        <v>4072</v>
      </c>
      <c r="C2210" t="s">
        <v>1326</v>
      </c>
      <c r="D2210" t="s">
        <v>46</v>
      </c>
      <c r="E2210">
        <v>41</v>
      </c>
      <c r="F2210" t="s">
        <v>576</v>
      </c>
      <c r="G2210" t="s">
        <v>170</v>
      </c>
      <c r="I2210" s="1" t="d">
        <v>2019-12-10</v>
      </c>
      <c r="J2210" t="s">
        <v>5290</v>
      </c>
      <c r="K2210" s="17" t="s">
        <v>370</v>
      </c>
      <c r="L2210">
        <v>3</v>
      </c>
    </row>
    <row r="2211" spans="1:12" x14ac:dyDescent="0.25">
      <c r="A2211" t="s">
        <v>1001</v>
      </c>
      <c r="B2211" t="s">
        <v>174</v>
      </c>
      <c r="C2211" t="s">
        <v>181</v>
      </c>
      <c r="D2211" t="s">
        <v>23</v>
      </c>
      <c r="E2211">
        <v>30</v>
      </c>
      <c r="F2211" t="s">
        <v>589</v>
      </c>
      <c r="G2211" t="s">
        <v>357</v>
      </c>
      <c r="H2211" t="s">
        <v>5291</v>
      </c>
      <c r="I2211" s="1" t="d">
        <v>2021-12-28</v>
      </c>
      <c r="J2211" t="s">
        <v>1003</v>
      </c>
      <c r="K2211" s="17" t="s">
        <v>34</v>
      </c>
      <c r="L2211">
        <v>4</v>
      </c>
    </row>
    <row r="2212" spans="1:12" x14ac:dyDescent="0.25">
      <c r="A2212" t="s">
        <v>5292</v>
      </c>
      <c r="B2212" t="s">
        <v>5084</v>
      </c>
      <c r="C2212" t="s">
        <v>336</v>
      </c>
      <c r="D2212" t="s">
        <v>46</v>
      </c>
      <c r="E2212">
        <v>36</v>
      </c>
      <c r="F2212" t="s">
        <v>2723</v>
      </c>
      <c r="G2212" t="s">
        <v>39</v>
      </c>
      <c r="I2212" s="1" t="d">
        <v>2006-07-23</v>
      </c>
      <c r="J2212" t="s">
        <v>383</v>
      </c>
      <c r="K2212" s="17" t="s">
        <v>71</v>
      </c>
      <c r="L2212">
        <v>5</v>
      </c>
    </row>
    <row r="2213" spans="1:12" x14ac:dyDescent="0.25">
      <c r="A2213" t="s">
        <v>5293</v>
      </c>
      <c r="B2213" t="s">
        <v>841</v>
      </c>
      <c r="C2213" t="s">
        <v>140</v>
      </c>
      <c r="D2213" t="s">
        <v>23</v>
      </c>
      <c r="E2213">
        <v>34</v>
      </c>
      <c r="F2213" t="s">
        <v>422</v>
      </c>
      <c r="G2213" t="s">
        <v>526</v>
      </c>
      <c r="H2213">
        <v>59152</v>
      </c>
      <c r="I2213" s="1" t="d">
        <v>2019-09-08</v>
      </c>
      <c r="J2213" t="s">
        <v>1800</v>
      </c>
      <c r="K2213" s="17" t="s">
        <v>184</v>
      </c>
      <c r="L2213">
        <v>4</v>
      </c>
    </row>
    <row r="2214" spans="1:12" x14ac:dyDescent="0.25">
      <c r="A2214" t="s">
        <v>5294</v>
      </c>
      <c r="B2214" t="s">
        <v>1403</v>
      </c>
      <c r="C2214" t="s">
        <v>5295</v>
      </c>
      <c r="D2214" t="s">
        <v>9527</v>
      </c>
      <c r="E2214">
        <v>51</v>
      </c>
      <c r="F2214" t="s">
        <v>108</v>
      </c>
      <c r="G2214" t="s">
        <v>177</v>
      </c>
      <c r="H2214" s="2">
        <v>77269</v>
      </c>
      <c r="I2214" s="1" t="d">
        <v>2013-03-02</v>
      </c>
      <c r="J2214" t="s">
        <v>1603</v>
      </c>
      <c r="K2214" s="17" t="s">
        <v>27</v>
      </c>
      <c r="L2214">
        <v>4</v>
      </c>
    </row>
    <row r="2215" spans="1:12" x14ac:dyDescent="0.25">
      <c r="A2215" t="s">
        <v>1731</v>
      </c>
      <c r="B2215" t="s">
        <v>1181</v>
      </c>
      <c r="C2215" t="s">
        <v>395</v>
      </c>
      <c r="D2215" t="s">
        <v>46</v>
      </c>
      <c r="E2215">
        <v>35</v>
      </c>
      <c r="F2215" t="s">
        <v>645</v>
      </c>
      <c r="G2215" t="s">
        <v>500</v>
      </c>
      <c r="H2215" s="2">
        <v>52662</v>
      </c>
      <c r="I2215" s="1" t="d">
        <v>2007-09-23</v>
      </c>
      <c r="J2215" t="s">
        <v>1732</v>
      </c>
      <c r="K2215" s="17" t="s">
        <v>58</v>
      </c>
      <c r="L2215">
        <v>3</v>
      </c>
    </row>
    <row r="2216" spans="1:12" x14ac:dyDescent="0.25">
      <c r="A2216" t="s">
        <v>5296</v>
      </c>
      <c r="B2216" t="s">
        <v>604</v>
      </c>
      <c r="C2216" t="s">
        <v>699</v>
      </c>
      <c r="D2216" t="s">
        <v>9527</v>
      </c>
      <c r="E2216">
        <v>21</v>
      </c>
      <c r="F2216" t="s">
        <v>196</v>
      </c>
      <c r="G2216" t="s">
        <v>25</v>
      </c>
      <c r="H2216" s="2">
        <v>68135</v>
      </c>
      <c r="I2216" s="1" t="d">
        <v>2018-02-02</v>
      </c>
      <c r="J2216" t="s">
        <v>3880</v>
      </c>
      <c r="K2216" s="17" t="s">
        <v>90</v>
      </c>
      <c r="L2216">
        <v>5</v>
      </c>
    </row>
    <row r="2217" spans="1:12" x14ac:dyDescent="0.25">
      <c r="A2217" t="s">
        <v>5297</v>
      </c>
      <c r="B2217" t="s">
        <v>5298</v>
      </c>
      <c r="C2217" t="s">
        <v>827</v>
      </c>
      <c r="D2217" t="s">
        <v>46</v>
      </c>
      <c r="E2217">
        <v>45</v>
      </c>
      <c r="F2217" t="s">
        <v>31</v>
      </c>
      <c r="G2217" t="s">
        <v>82</v>
      </c>
      <c r="H2217" t="s">
        <v>5299</v>
      </c>
      <c r="I2217" s="1" t="d">
        <v>2014-04-23</v>
      </c>
      <c r="J2217" t="s">
        <v>3010</v>
      </c>
      <c r="K2217" s="17" t="s">
        <v>34</v>
      </c>
      <c r="L2217">
        <v>2</v>
      </c>
    </row>
    <row r="2218" spans="1:12" x14ac:dyDescent="0.25">
      <c r="A2218" t="s">
        <v>5300</v>
      </c>
      <c r="B2218" t="s">
        <v>2847</v>
      </c>
      <c r="C2218" t="s">
        <v>152</v>
      </c>
      <c r="D2218" t="s">
        <v>9527</v>
      </c>
      <c r="E2218">
        <v>35</v>
      </c>
      <c r="F2218" t="s">
        <v>918</v>
      </c>
      <c r="G2218" t="s">
        <v>191</v>
      </c>
      <c r="H2218" s="2">
        <v>71844</v>
      </c>
      <c r="I2218" s="1" t="d">
        <v>2023-01-21</v>
      </c>
      <c r="J2218" t="s">
        <v>3000</v>
      </c>
      <c r="K2218" s="17" t="s">
        <v>207</v>
      </c>
      <c r="L2218">
        <v>4</v>
      </c>
    </row>
    <row r="2219" spans="1:12" x14ac:dyDescent="0.25">
      <c r="A2219" t="s">
        <v>5301</v>
      </c>
      <c r="B2219" t="s">
        <v>221</v>
      </c>
      <c r="C2219" t="s">
        <v>53</v>
      </c>
      <c r="D2219" t="s">
        <v>9527</v>
      </c>
      <c r="E2219">
        <v>58</v>
      </c>
      <c r="F2219" t="s">
        <v>196</v>
      </c>
      <c r="G2219" t="s">
        <v>278</v>
      </c>
      <c r="H2219" t="s">
        <v>5302</v>
      </c>
      <c r="I2219" s="1" t="d">
        <v>2005-05-07</v>
      </c>
      <c r="J2219" t="s">
        <v>4060</v>
      </c>
      <c r="K2219" s="17" t="s">
        <v>42</v>
      </c>
      <c r="L2219">
        <v>3</v>
      </c>
    </row>
    <row r="2220" spans="1:12" x14ac:dyDescent="0.25">
      <c r="A2220" t="s">
        <v>5303</v>
      </c>
      <c r="B2220" t="s">
        <v>1759</v>
      </c>
      <c r="C2220" t="s">
        <v>660</v>
      </c>
      <c r="D2220" t="s">
        <v>9527</v>
      </c>
      <c r="E2220">
        <v>58</v>
      </c>
      <c r="F2220" t="s">
        <v>559</v>
      </c>
      <c r="G2220" t="s">
        <v>109</v>
      </c>
      <c r="H2220" t="s">
        <v>5304</v>
      </c>
      <c r="I2220" s="1" t="d">
        <v>2015-07-07</v>
      </c>
      <c r="J2220" t="s">
        <v>1931</v>
      </c>
      <c r="K2220" s="17" t="s">
        <v>90</v>
      </c>
      <c r="L2220">
        <v>3</v>
      </c>
    </row>
    <row r="2221" spans="1:12" x14ac:dyDescent="0.25">
      <c r="A2221" t="s">
        <v>5305</v>
      </c>
      <c r="B2221" t="s">
        <v>906</v>
      </c>
      <c r="C2221" t="s">
        <v>483</v>
      </c>
      <c r="D2221" t="s">
        <v>9527</v>
      </c>
      <c r="E2221">
        <v>41</v>
      </c>
      <c r="F2221" t="s">
        <v>978</v>
      </c>
      <c r="G2221" t="s">
        <v>141</v>
      </c>
      <c r="I2221" s="1" t="d">
        <v>2011-08-14</v>
      </c>
      <c r="J2221" t="s">
        <v>2105</v>
      </c>
      <c r="K2221" s="17" t="s">
        <v>100</v>
      </c>
      <c r="L2221">
        <v>3</v>
      </c>
    </row>
    <row r="2222" spans="1:12" x14ac:dyDescent="0.25">
      <c r="A2222" t="s">
        <v>5306</v>
      </c>
      <c r="B2222" t="s">
        <v>394</v>
      </c>
      <c r="C2222" t="s">
        <v>5307</v>
      </c>
      <c r="D2222" t="s">
        <v>46</v>
      </c>
      <c r="E2222">
        <v>51</v>
      </c>
      <c r="F2222" t="s">
        <v>422</v>
      </c>
      <c r="G2222" t="s">
        <v>16</v>
      </c>
      <c r="H2222" t="s">
        <v>5308</v>
      </c>
      <c r="I2222" s="1" t="d">
        <v>2017-07-25</v>
      </c>
      <c r="J2222" t="s">
        <v>3728</v>
      </c>
      <c r="K2222" s="17" t="s">
        <v>118</v>
      </c>
      <c r="L2222">
        <v>4</v>
      </c>
    </row>
    <row r="2223" spans="1:12" x14ac:dyDescent="0.25">
      <c r="A2223" t="s">
        <v>5309</v>
      </c>
      <c r="B2223" t="s">
        <v>180</v>
      </c>
      <c r="C2223" t="s">
        <v>395</v>
      </c>
      <c r="D2223" t="s">
        <v>9527</v>
      </c>
      <c r="E2223">
        <v>32</v>
      </c>
      <c r="F2223" t="s">
        <v>169</v>
      </c>
      <c r="G2223" t="s">
        <v>16</v>
      </c>
      <c r="I2223" s="1" t="d">
        <v>2013-07-21</v>
      </c>
      <c r="J2223" t="s">
        <v>5310</v>
      </c>
      <c r="K2223" s="17" t="s">
        <v>27</v>
      </c>
      <c r="L2223">
        <v>3</v>
      </c>
    </row>
    <row r="2224" spans="1:12" x14ac:dyDescent="0.25">
      <c r="A2224" t="s">
        <v>5311</v>
      </c>
      <c r="B2224" t="s">
        <v>4072</v>
      </c>
      <c r="C2224" t="s">
        <v>483</v>
      </c>
      <c r="D2224" t="s">
        <v>23</v>
      </c>
      <c r="E2224">
        <v>37</v>
      </c>
      <c r="F2224" t="s">
        <v>81</v>
      </c>
      <c r="G2224" t="s">
        <v>141</v>
      </c>
      <c r="I2224" s="1" t="d">
        <v>2007-10-31</v>
      </c>
      <c r="J2224" t="s">
        <v>5312</v>
      </c>
      <c r="K2224" s="17" t="s">
        <v>149</v>
      </c>
      <c r="L2224">
        <v>3</v>
      </c>
    </row>
    <row r="2225" spans="1:12" x14ac:dyDescent="0.25">
      <c r="A2225" t="s">
        <v>5313</v>
      </c>
      <c r="B2225" t="s">
        <v>594</v>
      </c>
      <c r="C2225" t="s">
        <v>74</v>
      </c>
      <c r="D2225" t="s">
        <v>23</v>
      </c>
      <c r="E2225">
        <v>34</v>
      </c>
      <c r="F2225" t="s">
        <v>1908</v>
      </c>
      <c r="G2225" t="s">
        <v>182</v>
      </c>
      <c r="H2225" t="s">
        <v>5314</v>
      </c>
      <c r="I2225" s="1" t="d">
        <v>2016-12-08</v>
      </c>
      <c r="J2225" t="s">
        <v>2781</v>
      </c>
      <c r="K2225" s="17" t="s">
        <v>184</v>
      </c>
      <c r="L2225">
        <v>3</v>
      </c>
    </row>
    <row r="2226" spans="1:12" x14ac:dyDescent="0.25">
      <c r="A2226" t="s">
        <v>1260</v>
      </c>
      <c r="B2226" t="s">
        <v>139</v>
      </c>
      <c r="C2226" t="s">
        <v>74</v>
      </c>
      <c r="D2226" t="s">
        <v>9527</v>
      </c>
      <c r="E2226">
        <v>31</v>
      </c>
      <c r="G2226" t="s">
        <v>526</v>
      </c>
      <c r="I2226" s="1" t="d">
        <v>2007-08-28</v>
      </c>
      <c r="J2226" t="s">
        <v>1261</v>
      </c>
      <c r="K2226" s="17" t="s">
        <v>184</v>
      </c>
      <c r="L2226">
        <v>3</v>
      </c>
    </row>
    <row r="2227" spans="1:12" x14ac:dyDescent="0.25">
      <c r="A2227" t="s">
        <v>5315</v>
      </c>
      <c r="B2227" t="s">
        <v>906</v>
      </c>
      <c r="C2227" t="s">
        <v>457</v>
      </c>
      <c r="D2227" t="s">
        <v>9527</v>
      </c>
      <c r="E2227">
        <v>38</v>
      </c>
      <c r="G2227" t="s">
        <v>82</v>
      </c>
      <c r="H2227" t="s">
        <v>5316</v>
      </c>
      <c r="I2227" s="1" t="d">
        <v>2015-08-01</v>
      </c>
      <c r="J2227" t="s">
        <v>1613</v>
      </c>
      <c r="K2227" s="17" t="s">
        <v>90</v>
      </c>
      <c r="L2227">
        <v>5</v>
      </c>
    </row>
    <row r="2228" spans="1:12" x14ac:dyDescent="0.25">
      <c r="A2228" t="s">
        <v>5317</v>
      </c>
      <c r="B2228" t="s">
        <v>86</v>
      </c>
      <c r="C2228" t="s">
        <v>3158</v>
      </c>
      <c r="D2228" t="s">
        <v>23</v>
      </c>
      <c r="E2228">
        <v>58</v>
      </c>
      <c r="F2228" t="s">
        <v>24</v>
      </c>
      <c r="G2228" t="s">
        <v>55</v>
      </c>
      <c r="H2228">
        <v>90004</v>
      </c>
      <c r="I2228" s="1" t="d">
        <v>2012-07-07</v>
      </c>
      <c r="J2228" t="s">
        <v>5318</v>
      </c>
      <c r="K2228" s="17" t="s">
        <v>118</v>
      </c>
      <c r="L2228">
        <v>3</v>
      </c>
    </row>
    <row r="2229" spans="1:12" x14ac:dyDescent="0.25">
      <c r="A2229" t="s">
        <v>5319</v>
      </c>
      <c r="B2229" t="s">
        <v>2041</v>
      </c>
      <c r="C2229" t="s">
        <v>1763</v>
      </c>
      <c r="D2229" t="s">
        <v>46</v>
      </c>
      <c r="E2229">
        <v>21</v>
      </c>
      <c r="F2229" t="s">
        <v>576</v>
      </c>
      <c r="G2229" t="s">
        <v>69</v>
      </c>
      <c r="H2229">
        <v>110556</v>
      </c>
      <c r="I2229" s="1" t="d">
        <v>2015-09-07</v>
      </c>
      <c r="J2229" t="s">
        <v>5320</v>
      </c>
      <c r="K2229" s="17" t="s">
        <v>71</v>
      </c>
      <c r="L2229">
        <v>5</v>
      </c>
    </row>
    <row r="2230" spans="1:12" x14ac:dyDescent="0.25">
      <c r="A2230" t="s">
        <v>5321</v>
      </c>
      <c r="B2230" t="s">
        <v>718</v>
      </c>
      <c r="C2230" t="s">
        <v>145</v>
      </c>
      <c r="D2230" t="s">
        <v>23</v>
      </c>
      <c r="E2230">
        <v>37</v>
      </c>
      <c r="F2230" t="s">
        <v>3316</v>
      </c>
      <c r="G2230" t="s">
        <v>170</v>
      </c>
      <c r="H2230" t="s">
        <v>5322</v>
      </c>
      <c r="I2230" s="1" t="d">
        <v>2022-01-19</v>
      </c>
      <c r="J2230" t="s">
        <v>1995</v>
      </c>
      <c r="K2230" s="17" t="s">
        <v>50</v>
      </c>
      <c r="L2230">
        <v>3</v>
      </c>
    </row>
    <row r="2231" spans="1:12" x14ac:dyDescent="0.25">
      <c r="A2231" t="s">
        <v>4087</v>
      </c>
      <c r="B2231" t="s">
        <v>426</v>
      </c>
      <c r="C2231" t="s">
        <v>121</v>
      </c>
      <c r="D2231" t="s">
        <v>46</v>
      </c>
      <c r="E2231">
        <v>53</v>
      </c>
      <c r="F2231" t="s">
        <v>54</v>
      </c>
      <c r="G2231" t="s">
        <v>82</v>
      </c>
      <c r="H2231" s="2">
        <v>51793</v>
      </c>
      <c r="I2231" s="1" t="d">
        <v>2015-10-10</v>
      </c>
      <c r="J2231" t="s">
        <v>3900</v>
      </c>
      <c r="K2231" s="17" t="s">
        <v>71</v>
      </c>
      <c r="L2231">
        <v>3</v>
      </c>
    </row>
    <row r="2232" spans="1:12" x14ac:dyDescent="0.25">
      <c r="A2232" t="s">
        <v>5323</v>
      </c>
      <c r="B2232" t="s">
        <v>2603</v>
      </c>
      <c r="C2232" t="s">
        <v>1306</v>
      </c>
      <c r="D2232" t="s">
        <v>9527</v>
      </c>
      <c r="E2232">
        <v>38</v>
      </c>
      <c r="G2232" t="s">
        <v>39</v>
      </c>
      <c r="H2232" s="2">
        <v>101238</v>
      </c>
      <c r="I2232" s="1" t="d">
        <v>2021-03-26</v>
      </c>
      <c r="J2232" t="s">
        <v>5324</v>
      </c>
      <c r="K2232" s="17" t="s">
        <v>71</v>
      </c>
      <c r="L2232">
        <v>3</v>
      </c>
    </row>
    <row r="2233" spans="1:12" x14ac:dyDescent="0.25">
      <c r="A2233" t="s">
        <v>5325</v>
      </c>
      <c r="B2233" t="s">
        <v>5326</v>
      </c>
      <c r="C2233" t="s">
        <v>525</v>
      </c>
      <c r="D2233" t="s">
        <v>23</v>
      </c>
      <c r="E2233">
        <v>56</v>
      </c>
      <c r="F2233" t="s">
        <v>31</v>
      </c>
      <c r="G2233" t="s">
        <v>5327</v>
      </c>
      <c r="H2233" t="s">
        <v>5328</v>
      </c>
      <c r="I2233" s="1" t="d">
        <v>2012-08-20</v>
      </c>
      <c r="J2233" t="s">
        <v>5324</v>
      </c>
      <c r="K2233" s="17" t="s">
        <v>42</v>
      </c>
      <c r="L2233">
        <v>4</v>
      </c>
    </row>
    <row r="2234" spans="1:12" x14ac:dyDescent="0.25">
      <c r="A2234" t="s">
        <v>5329</v>
      </c>
      <c r="B2234" t="s">
        <v>5330</v>
      </c>
      <c r="C2234" t="s">
        <v>152</v>
      </c>
      <c r="D2234" t="s">
        <v>9527</v>
      </c>
      <c r="E2234">
        <v>41</v>
      </c>
      <c r="F2234" t="s">
        <v>296</v>
      </c>
      <c r="G2234" t="s">
        <v>170</v>
      </c>
      <c r="H2234">
        <v>71013</v>
      </c>
      <c r="I2234" s="1" t="d">
        <v>2008-06-25</v>
      </c>
      <c r="J2234" t="s">
        <v>3750</v>
      </c>
      <c r="K2234" s="17" t="s">
        <v>58</v>
      </c>
      <c r="L2234">
        <v>2</v>
      </c>
    </row>
    <row r="2235" spans="1:12" x14ac:dyDescent="0.25">
      <c r="A2235" t="s">
        <v>5331</v>
      </c>
      <c r="B2235" t="s">
        <v>37</v>
      </c>
      <c r="C2235" t="s">
        <v>318</v>
      </c>
      <c r="D2235" t="s">
        <v>23</v>
      </c>
      <c r="E2235">
        <v>43</v>
      </c>
      <c r="F2235" t="s">
        <v>406</v>
      </c>
      <c r="G2235" t="s">
        <v>641</v>
      </c>
      <c r="H2235" s="2">
        <v>46488</v>
      </c>
      <c r="I2235" s="1" t="d">
        <v>2021-06-14</v>
      </c>
      <c r="J2235" t="s">
        <v>4948</v>
      </c>
      <c r="K2235" s="17" t="s">
        <v>118</v>
      </c>
      <c r="L2235">
        <v>4</v>
      </c>
    </row>
    <row r="2236" spans="1:12" x14ac:dyDescent="0.25">
      <c r="A2236" t="s">
        <v>5332</v>
      </c>
      <c r="B2236" t="s">
        <v>66</v>
      </c>
      <c r="C2236" t="s">
        <v>898</v>
      </c>
      <c r="D2236" t="s">
        <v>9527</v>
      </c>
      <c r="E2236">
        <v>42</v>
      </c>
      <c r="F2236" t="s">
        <v>186</v>
      </c>
      <c r="G2236" t="s">
        <v>55</v>
      </c>
      <c r="H2236" t="s">
        <v>5333</v>
      </c>
      <c r="I2236" s="1" t="d">
        <v>2013-03-05</v>
      </c>
      <c r="J2236" t="s">
        <v>1108</v>
      </c>
      <c r="K2236" s="17" t="s">
        <v>370</v>
      </c>
      <c r="L2236">
        <v>3</v>
      </c>
    </row>
    <row r="2237" spans="1:12" x14ac:dyDescent="0.25">
      <c r="A2237" t="s">
        <v>5334</v>
      </c>
      <c r="B2237" t="s">
        <v>648</v>
      </c>
      <c r="C2237" t="s">
        <v>244</v>
      </c>
      <c r="D2237" t="s">
        <v>23</v>
      </c>
      <c r="E2237">
        <v>42</v>
      </c>
      <c r="G2237" t="s">
        <v>170</v>
      </c>
      <c r="H2237" s="2">
        <v>49815</v>
      </c>
      <c r="I2237" s="1" t="d">
        <v>2019-09-01</v>
      </c>
      <c r="J2237" t="s">
        <v>5174</v>
      </c>
      <c r="K2237" s="17" t="s">
        <v>100</v>
      </c>
      <c r="L2237">
        <v>5</v>
      </c>
    </row>
    <row r="2238" spans="1:12" x14ac:dyDescent="0.25">
      <c r="A2238" t="s">
        <v>5335</v>
      </c>
      <c r="B2238" t="s">
        <v>281</v>
      </c>
      <c r="C2238" t="s">
        <v>263</v>
      </c>
      <c r="D2238" t="s">
        <v>9527</v>
      </c>
      <c r="E2238">
        <v>44</v>
      </c>
      <c r="F2238" t="s">
        <v>264</v>
      </c>
      <c r="G2238" t="s">
        <v>48</v>
      </c>
      <c r="I2238" s="1" t="d">
        <v>2006-03-25</v>
      </c>
      <c r="J2238" t="s">
        <v>5336</v>
      </c>
      <c r="K2238" s="17" t="s">
        <v>370</v>
      </c>
      <c r="L2238">
        <v>1</v>
      </c>
    </row>
    <row r="2239" spans="1:12" x14ac:dyDescent="0.25">
      <c r="A2239" t="s">
        <v>5337</v>
      </c>
      <c r="B2239" t="s">
        <v>1181</v>
      </c>
      <c r="C2239" t="s">
        <v>1377</v>
      </c>
      <c r="D2239" t="s">
        <v>23</v>
      </c>
      <c r="E2239">
        <v>49</v>
      </c>
      <c r="F2239" t="s">
        <v>153</v>
      </c>
      <c r="G2239" t="s">
        <v>212</v>
      </c>
      <c r="I2239" s="1" t="d">
        <v>2011-08-04</v>
      </c>
      <c r="J2239" t="s">
        <v>5338</v>
      </c>
      <c r="K2239" s="17" t="s">
        <v>19</v>
      </c>
      <c r="L2239">
        <v>3</v>
      </c>
    </row>
    <row r="2240" spans="1:12" x14ac:dyDescent="0.25">
      <c r="A2240" t="s">
        <v>5339</v>
      </c>
      <c r="B2240" t="s">
        <v>305</v>
      </c>
      <c r="C2240" t="s">
        <v>719</v>
      </c>
      <c r="D2240" t="s">
        <v>23</v>
      </c>
      <c r="E2240">
        <v>36</v>
      </c>
      <c r="F2240" t="s">
        <v>978</v>
      </c>
      <c r="G2240" t="s">
        <v>177</v>
      </c>
      <c r="H2240" t="s">
        <v>5340</v>
      </c>
      <c r="I2240" s="1" t="d">
        <v>2023-08-28</v>
      </c>
      <c r="J2240" t="s">
        <v>1278</v>
      </c>
      <c r="K2240" s="17" t="s">
        <v>19</v>
      </c>
      <c r="L2240">
        <v>2</v>
      </c>
    </row>
    <row r="2241" spans="1:12" x14ac:dyDescent="0.25">
      <c r="A2241" t="s">
        <v>5341</v>
      </c>
      <c r="B2241" t="s">
        <v>931</v>
      </c>
      <c r="C2241" t="s">
        <v>503</v>
      </c>
      <c r="D2241" t="s">
        <v>46</v>
      </c>
      <c r="E2241">
        <v>43</v>
      </c>
      <c r="F2241" t="s">
        <v>532</v>
      </c>
      <c r="G2241" t="s">
        <v>147</v>
      </c>
      <c r="H2241" t="s">
        <v>5342</v>
      </c>
      <c r="I2241" s="1" t="d">
        <v>2018-06-06</v>
      </c>
      <c r="J2241" t="s">
        <v>1034</v>
      </c>
      <c r="K2241" s="17" t="s">
        <v>27</v>
      </c>
      <c r="L2241">
        <v>3</v>
      </c>
    </row>
    <row r="2242" spans="1:12" x14ac:dyDescent="0.25">
      <c r="A2242" t="s">
        <v>5343</v>
      </c>
      <c r="B2242" t="s">
        <v>718</v>
      </c>
      <c r="C2242" t="s">
        <v>324</v>
      </c>
      <c r="D2242" t="s">
        <v>23</v>
      </c>
      <c r="E2242">
        <v>43</v>
      </c>
      <c r="F2242" t="s">
        <v>859</v>
      </c>
      <c r="G2242" t="s">
        <v>191</v>
      </c>
      <c r="I2242" s="1" t="d">
        <v>2013-08-01</v>
      </c>
      <c r="J2242" t="s">
        <v>2553</v>
      </c>
      <c r="K2242" s="17" t="s">
        <v>207</v>
      </c>
      <c r="L2242">
        <v>2</v>
      </c>
    </row>
    <row r="2243" spans="1:12" x14ac:dyDescent="0.25">
      <c r="A2243" t="s">
        <v>5344</v>
      </c>
      <c r="B2243" t="s">
        <v>1301</v>
      </c>
      <c r="C2243" t="s">
        <v>474</v>
      </c>
      <c r="D2243" t="s">
        <v>9527</v>
      </c>
      <c r="E2243">
        <v>34</v>
      </c>
      <c r="F2243" t="s">
        <v>104</v>
      </c>
      <c r="G2243" t="s">
        <v>3197</v>
      </c>
      <c r="H2243">
        <v>49431</v>
      </c>
      <c r="I2243" s="1" t="d">
        <v>2013-08-18</v>
      </c>
      <c r="J2243" t="s">
        <v>5345</v>
      </c>
      <c r="K2243" s="17" t="s">
        <v>50</v>
      </c>
      <c r="L2243">
        <v>4</v>
      </c>
    </row>
    <row r="2244" spans="1:12" x14ac:dyDescent="0.25">
      <c r="A2244" t="s">
        <v>5346</v>
      </c>
      <c r="B2244" t="s">
        <v>5347</v>
      </c>
      <c r="C2244" t="s">
        <v>189</v>
      </c>
      <c r="D2244" t="s">
        <v>9527</v>
      </c>
      <c r="E2244">
        <v>38</v>
      </c>
      <c r="F2244" t="s">
        <v>230</v>
      </c>
      <c r="G2244" t="s">
        <v>423</v>
      </c>
      <c r="I2244" s="1" t="d">
        <v>2013-05-21</v>
      </c>
      <c r="J2244" t="s">
        <v>2735</v>
      </c>
      <c r="K2244" s="17" t="s">
        <v>27</v>
      </c>
      <c r="L2244">
        <v>2</v>
      </c>
    </row>
    <row r="2245" spans="1:12" x14ac:dyDescent="0.25">
      <c r="A2245" t="s">
        <v>5348</v>
      </c>
      <c r="B2245" t="s">
        <v>251</v>
      </c>
      <c r="C2245" t="s">
        <v>1146</v>
      </c>
      <c r="D2245" t="s">
        <v>23</v>
      </c>
      <c r="E2245">
        <v>51</v>
      </c>
      <c r="F2245" t="s">
        <v>62</v>
      </c>
      <c r="G2245" t="s">
        <v>48</v>
      </c>
      <c r="H2245" s="2">
        <v>79081</v>
      </c>
      <c r="J2245" t="s">
        <v>5349</v>
      </c>
      <c r="K2245" s="17" t="s">
        <v>184</v>
      </c>
      <c r="L2245">
        <v>5</v>
      </c>
    </row>
    <row r="2246" spans="1:12" x14ac:dyDescent="0.25">
      <c r="A2246" t="s">
        <v>5350</v>
      </c>
      <c r="B2246" t="s">
        <v>914</v>
      </c>
      <c r="C2246" t="s">
        <v>869</v>
      </c>
      <c r="D2246" t="s">
        <v>9527</v>
      </c>
      <c r="E2246">
        <v>29</v>
      </c>
      <c r="F2246" t="s">
        <v>126</v>
      </c>
      <c r="G2246" t="s">
        <v>82</v>
      </c>
      <c r="H2246" s="2">
        <v>66114</v>
      </c>
      <c r="I2246" s="1" t="d">
        <v>2014-03-23</v>
      </c>
      <c r="J2246" t="s">
        <v>2728</v>
      </c>
      <c r="K2246" s="17" t="s">
        <v>58</v>
      </c>
      <c r="L2246">
        <v>3</v>
      </c>
    </row>
    <row r="2247" spans="1:12" x14ac:dyDescent="0.25">
      <c r="A2247" t="s">
        <v>5351</v>
      </c>
      <c r="B2247" t="s">
        <v>1124</v>
      </c>
      <c r="C2247" t="s">
        <v>710</v>
      </c>
      <c r="D2247" t="s">
        <v>23</v>
      </c>
      <c r="E2247">
        <v>50</v>
      </c>
      <c r="F2247" t="s">
        <v>373</v>
      </c>
      <c r="G2247" t="s">
        <v>217</v>
      </c>
      <c r="H2247">
        <v>136849</v>
      </c>
      <c r="I2247" s="1" t="d">
        <v>2013-09-06</v>
      </c>
      <c r="J2247" t="s">
        <v>5352</v>
      </c>
      <c r="K2247" s="17" t="s">
        <v>184</v>
      </c>
      <c r="L2247">
        <v>3</v>
      </c>
    </row>
    <row r="2248" spans="1:12" x14ac:dyDescent="0.25">
      <c r="A2248" t="s">
        <v>5353</v>
      </c>
      <c r="B2248" t="s">
        <v>355</v>
      </c>
      <c r="C2248" t="s">
        <v>724</v>
      </c>
      <c r="D2248" t="s">
        <v>23</v>
      </c>
      <c r="E2248">
        <v>21</v>
      </c>
      <c r="F2248" t="s">
        <v>2065</v>
      </c>
      <c r="G2248" t="s">
        <v>526</v>
      </c>
      <c r="I2248" s="1" t="d">
        <v>2005-09-16</v>
      </c>
      <c r="J2248" t="s">
        <v>1609</v>
      </c>
      <c r="K2248" s="17" t="s">
        <v>370</v>
      </c>
      <c r="L2248">
        <v>3</v>
      </c>
    </row>
    <row r="2249" spans="1:12" x14ac:dyDescent="0.25">
      <c r="A2249" t="s">
        <v>5354</v>
      </c>
      <c r="B2249" t="s">
        <v>2512</v>
      </c>
      <c r="C2249" t="s">
        <v>22</v>
      </c>
      <c r="D2249" t="s">
        <v>23</v>
      </c>
      <c r="E2249">
        <v>42</v>
      </c>
      <c r="F2249" t="s">
        <v>258</v>
      </c>
      <c r="G2249" t="s">
        <v>288</v>
      </c>
      <c r="I2249" s="1" t="d">
        <v>2006-02-11</v>
      </c>
      <c r="J2249" t="s">
        <v>1819</v>
      </c>
      <c r="K2249" s="17" t="s">
        <v>58</v>
      </c>
      <c r="L2249">
        <v>5</v>
      </c>
    </row>
    <row r="2250" spans="1:12" x14ac:dyDescent="0.25">
      <c r="A2250" t="s">
        <v>5355</v>
      </c>
      <c r="B2250" t="s">
        <v>456</v>
      </c>
      <c r="C2250" t="s">
        <v>2974</v>
      </c>
      <c r="D2250" t="s">
        <v>23</v>
      </c>
      <c r="E2250">
        <v>21</v>
      </c>
      <c r="F2250" t="s">
        <v>38</v>
      </c>
      <c r="G2250" t="s">
        <v>69</v>
      </c>
      <c r="H2250" t="s">
        <v>5356</v>
      </c>
      <c r="I2250" s="1" t="d">
        <v>2008-09-30</v>
      </c>
      <c r="J2250" t="s">
        <v>5049</v>
      </c>
      <c r="K2250" s="17" t="s">
        <v>58</v>
      </c>
      <c r="L2250">
        <v>3</v>
      </c>
    </row>
    <row r="2251" spans="1:12" x14ac:dyDescent="0.25">
      <c r="A2251" t="s">
        <v>5357</v>
      </c>
      <c r="B2251" t="s">
        <v>5358</v>
      </c>
      <c r="C2251" t="s">
        <v>483</v>
      </c>
      <c r="D2251" t="s">
        <v>46</v>
      </c>
      <c r="E2251">
        <v>48</v>
      </c>
      <c r="G2251" t="s">
        <v>39</v>
      </c>
      <c r="H2251" t="s">
        <v>5359</v>
      </c>
      <c r="I2251" s="1" t="d">
        <v>2016-06-21</v>
      </c>
      <c r="J2251" t="s">
        <v>5360</v>
      </c>
      <c r="K2251" s="17" t="s">
        <v>50</v>
      </c>
      <c r="L2251">
        <v>3</v>
      </c>
    </row>
    <row r="2252" spans="1:12" x14ac:dyDescent="0.25">
      <c r="A2252" t="s">
        <v>5361</v>
      </c>
      <c r="B2252" t="s">
        <v>37</v>
      </c>
      <c r="C2252" t="s">
        <v>22</v>
      </c>
      <c r="D2252" t="s">
        <v>9527</v>
      </c>
      <c r="E2252">
        <v>45</v>
      </c>
      <c r="F2252" t="s">
        <v>399</v>
      </c>
      <c r="G2252" t="s">
        <v>69</v>
      </c>
      <c r="H2252" t="s">
        <v>5362</v>
      </c>
      <c r="I2252" s="1" t="d">
        <v>2006-05-16</v>
      </c>
      <c r="J2252" t="s">
        <v>383</v>
      </c>
      <c r="K2252" s="17" t="s">
        <v>100</v>
      </c>
      <c r="L2252">
        <v>3</v>
      </c>
    </row>
    <row r="2253" spans="1:12" x14ac:dyDescent="0.25">
      <c r="A2253" t="s">
        <v>5363</v>
      </c>
      <c r="B2253" t="s">
        <v>151</v>
      </c>
      <c r="C2253" t="s">
        <v>988</v>
      </c>
      <c r="D2253" t="s">
        <v>23</v>
      </c>
      <c r="E2253">
        <v>55</v>
      </c>
      <c r="F2253" t="s">
        <v>978</v>
      </c>
      <c r="G2253" t="s">
        <v>182</v>
      </c>
      <c r="H2253" t="s">
        <v>5364</v>
      </c>
      <c r="I2253" s="1" t="d">
        <v>2017-05-19</v>
      </c>
      <c r="J2253" t="s">
        <v>5365</v>
      </c>
      <c r="K2253" s="17" t="s">
        <v>34</v>
      </c>
      <c r="L2253">
        <v>3</v>
      </c>
    </row>
    <row r="2254" spans="1:12" x14ac:dyDescent="0.25">
      <c r="A2254" t="s">
        <v>5366</v>
      </c>
      <c r="B2254" t="s">
        <v>482</v>
      </c>
      <c r="C2254" t="s">
        <v>107</v>
      </c>
      <c r="D2254" t="s">
        <v>9527</v>
      </c>
      <c r="E2254">
        <v>35</v>
      </c>
      <c r="F2254" t="s">
        <v>153</v>
      </c>
      <c r="G2254" t="s">
        <v>127</v>
      </c>
      <c r="H2254" t="s">
        <v>5367</v>
      </c>
      <c r="I2254" s="1" t="d">
        <v>2007-10-26</v>
      </c>
      <c r="J2254" t="s">
        <v>5368</v>
      </c>
      <c r="K2254" s="17" t="s">
        <v>34</v>
      </c>
      <c r="L2254">
        <v>1</v>
      </c>
    </row>
    <row r="2255" spans="1:12" x14ac:dyDescent="0.25">
      <c r="A2255" t="s">
        <v>5369</v>
      </c>
      <c r="B2255" t="s">
        <v>130</v>
      </c>
      <c r="C2255" t="s">
        <v>291</v>
      </c>
      <c r="D2255" t="s">
        <v>46</v>
      </c>
      <c r="E2255">
        <v>37</v>
      </c>
      <c r="F2255" t="s">
        <v>296</v>
      </c>
      <c r="G2255" t="s">
        <v>82</v>
      </c>
      <c r="H2255" t="s">
        <v>5370</v>
      </c>
      <c r="I2255" s="1" t="d">
        <v>2016-02-11</v>
      </c>
      <c r="J2255" t="s">
        <v>2763</v>
      </c>
      <c r="K2255" s="17" t="s">
        <v>118</v>
      </c>
      <c r="L2255">
        <v>4</v>
      </c>
    </row>
    <row r="2256" spans="1:12" x14ac:dyDescent="0.25">
      <c r="A2256" t="s">
        <v>5371</v>
      </c>
      <c r="B2256" t="s">
        <v>874</v>
      </c>
      <c r="C2256" t="s">
        <v>751</v>
      </c>
      <c r="D2256" t="s">
        <v>23</v>
      </c>
      <c r="E2256">
        <v>25</v>
      </c>
      <c r="F2256" t="s">
        <v>75</v>
      </c>
      <c r="G2256" t="s">
        <v>25</v>
      </c>
      <c r="I2256" s="1" t="d">
        <v>2017-08-25</v>
      </c>
      <c r="J2256" t="s">
        <v>1073</v>
      </c>
      <c r="K2256" s="17" t="s">
        <v>42</v>
      </c>
      <c r="L2256">
        <v>4</v>
      </c>
    </row>
    <row r="2257" spans="1:12" x14ac:dyDescent="0.25">
      <c r="A2257" t="s">
        <v>5372</v>
      </c>
      <c r="B2257" t="s">
        <v>1738</v>
      </c>
      <c r="C2257" t="s">
        <v>107</v>
      </c>
      <c r="D2257" t="s">
        <v>23</v>
      </c>
      <c r="E2257">
        <v>50</v>
      </c>
      <c r="F2257" t="s">
        <v>62</v>
      </c>
      <c r="G2257" t="s">
        <v>159</v>
      </c>
      <c r="H2257" t="s">
        <v>5373</v>
      </c>
      <c r="I2257" s="1" t="d">
        <v>2024-05-30</v>
      </c>
      <c r="J2257" t="s">
        <v>5374</v>
      </c>
      <c r="K2257" s="17" t="s">
        <v>27</v>
      </c>
      <c r="L2257">
        <v>1</v>
      </c>
    </row>
    <row r="2258" spans="1:12" x14ac:dyDescent="0.25">
      <c r="A2258" t="s">
        <v>5375</v>
      </c>
      <c r="B2258" t="s">
        <v>199</v>
      </c>
      <c r="C2258" t="s">
        <v>624</v>
      </c>
      <c r="D2258" t="s">
        <v>9527</v>
      </c>
      <c r="E2258">
        <v>35</v>
      </c>
      <c r="F2258" t="s">
        <v>211</v>
      </c>
      <c r="G2258" t="s">
        <v>231</v>
      </c>
      <c r="H2258" t="s">
        <v>5376</v>
      </c>
      <c r="I2258" s="1" t="d">
        <v>2006-10-01</v>
      </c>
      <c r="J2258" t="s">
        <v>1655</v>
      </c>
      <c r="K2258" s="17" t="s">
        <v>370</v>
      </c>
      <c r="L2258">
        <v>4</v>
      </c>
    </row>
    <row r="2259" spans="1:12" x14ac:dyDescent="0.25">
      <c r="A2259" t="s">
        <v>5377</v>
      </c>
      <c r="B2259" t="s">
        <v>2095</v>
      </c>
      <c r="C2259" t="s">
        <v>540</v>
      </c>
      <c r="D2259" t="s">
        <v>23</v>
      </c>
      <c r="E2259">
        <v>44</v>
      </c>
      <c r="F2259" t="s">
        <v>196</v>
      </c>
      <c r="G2259" t="s">
        <v>217</v>
      </c>
      <c r="H2259" t="s">
        <v>5378</v>
      </c>
      <c r="I2259" s="1" t="d">
        <v>2011-05-03</v>
      </c>
      <c r="J2259" t="s">
        <v>3546</v>
      </c>
      <c r="K2259" s="17" t="s">
        <v>27</v>
      </c>
      <c r="L2259">
        <v>4</v>
      </c>
    </row>
    <row r="2260" spans="1:12" x14ac:dyDescent="0.25">
      <c r="A2260" t="s">
        <v>5379</v>
      </c>
      <c r="B2260" t="s">
        <v>2877</v>
      </c>
      <c r="C2260" t="s">
        <v>163</v>
      </c>
      <c r="D2260" t="s">
        <v>46</v>
      </c>
      <c r="E2260">
        <v>37</v>
      </c>
      <c r="F2260" t="s">
        <v>81</v>
      </c>
      <c r="G2260" t="s">
        <v>458</v>
      </c>
      <c r="I2260" s="1" t="d">
        <v>2024-01-25</v>
      </c>
      <c r="J2260" t="s">
        <v>836</v>
      </c>
      <c r="K2260" s="17" t="s">
        <v>58</v>
      </c>
      <c r="L2260">
        <v>3</v>
      </c>
    </row>
    <row r="2261" spans="1:12" x14ac:dyDescent="0.25">
      <c r="A2261" t="s">
        <v>5380</v>
      </c>
      <c r="B2261" t="s">
        <v>2272</v>
      </c>
      <c r="C2261" t="s">
        <v>244</v>
      </c>
      <c r="D2261" t="s">
        <v>46</v>
      </c>
      <c r="E2261">
        <v>27</v>
      </c>
      <c r="F2261" t="s">
        <v>146</v>
      </c>
      <c r="G2261" t="s">
        <v>205</v>
      </c>
      <c r="H2261">
        <v>94969</v>
      </c>
      <c r="J2261" t="s">
        <v>1375</v>
      </c>
      <c r="K2261" s="17" t="s">
        <v>90</v>
      </c>
      <c r="L2261">
        <v>3</v>
      </c>
    </row>
    <row r="2262" spans="1:12" x14ac:dyDescent="0.25">
      <c r="A2262" t="s">
        <v>5381</v>
      </c>
      <c r="B2262" t="s">
        <v>3186</v>
      </c>
      <c r="C2262" t="s">
        <v>1248</v>
      </c>
      <c r="D2262" t="s">
        <v>46</v>
      </c>
      <c r="E2262">
        <v>32</v>
      </c>
      <c r="F2262" t="s">
        <v>238</v>
      </c>
      <c r="G2262" t="s">
        <v>39</v>
      </c>
      <c r="I2262" s="1" t="d">
        <v>2006-05-06</v>
      </c>
      <c r="J2262" t="s">
        <v>1102</v>
      </c>
      <c r="K2262" s="17" t="s">
        <v>27</v>
      </c>
      <c r="L2262">
        <v>5</v>
      </c>
    </row>
    <row r="2263" spans="1:12" x14ac:dyDescent="0.25">
      <c r="A2263" t="s">
        <v>5382</v>
      </c>
      <c r="B2263" t="s">
        <v>709</v>
      </c>
      <c r="C2263" t="s">
        <v>135</v>
      </c>
      <c r="D2263" t="s">
        <v>9527</v>
      </c>
      <c r="E2263">
        <v>30</v>
      </c>
      <c r="F2263" t="s">
        <v>230</v>
      </c>
      <c r="G2263" t="s">
        <v>39</v>
      </c>
      <c r="H2263">
        <v>59882</v>
      </c>
      <c r="I2263" s="1" t="d">
        <v>2024-04-23</v>
      </c>
      <c r="J2263" t="s">
        <v>5237</v>
      </c>
      <c r="K2263" s="17" t="s">
        <v>90</v>
      </c>
      <c r="L2263">
        <v>4</v>
      </c>
    </row>
    <row r="2264" spans="1:12" x14ac:dyDescent="0.25">
      <c r="A2264" t="s">
        <v>5383</v>
      </c>
      <c r="B2264" t="s">
        <v>199</v>
      </c>
      <c r="C2264" t="s">
        <v>624</v>
      </c>
      <c r="D2264" t="s">
        <v>23</v>
      </c>
      <c r="E2264">
        <v>54</v>
      </c>
      <c r="F2264" t="s">
        <v>532</v>
      </c>
      <c r="G2264" t="s">
        <v>1215</v>
      </c>
      <c r="H2264" t="s">
        <v>5384</v>
      </c>
      <c r="I2264" s="1" t="d">
        <v>2024-04-29</v>
      </c>
      <c r="J2264" t="s">
        <v>1655</v>
      </c>
      <c r="K2264" s="17" t="s">
        <v>19</v>
      </c>
      <c r="L2264">
        <v>4</v>
      </c>
    </row>
    <row r="2265" spans="1:12" x14ac:dyDescent="0.25">
      <c r="A2265" t="s">
        <v>5385</v>
      </c>
      <c r="B2265" t="s">
        <v>1096</v>
      </c>
      <c r="C2265" t="s">
        <v>988</v>
      </c>
      <c r="D2265" t="s">
        <v>46</v>
      </c>
      <c r="E2265">
        <v>21</v>
      </c>
      <c r="F2265" t="s">
        <v>978</v>
      </c>
      <c r="G2265" t="s">
        <v>82</v>
      </c>
      <c r="H2265" t="s">
        <v>5386</v>
      </c>
      <c r="I2265" s="1" t="d">
        <v>2020-06-22</v>
      </c>
      <c r="J2265" t="s">
        <v>3226</v>
      </c>
      <c r="K2265" s="17" t="s">
        <v>19</v>
      </c>
      <c r="L2265">
        <v>3</v>
      </c>
    </row>
    <row r="2266" spans="1:12" x14ac:dyDescent="0.25">
      <c r="A2266" t="s">
        <v>5387</v>
      </c>
      <c r="B2266" t="s">
        <v>37</v>
      </c>
      <c r="C2266" t="s">
        <v>5388</v>
      </c>
      <c r="D2266" t="s">
        <v>23</v>
      </c>
      <c r="E2266">
        <v>45</v>
      </c>
      <c r="F2266" t="s">
        <v>2700</v>
      </c>
      <c r="G2266" t="s">
        <v>191</v>
      </c>
      <c r="H2266">
        <v>78622</v>
      </c>
      <c r="I2266" s="1" t="d">
        <v>2007-10-19</v>
      </c>
      <c r="J2266" t="s">
        <v>5389</v>
      </c>
      <c r="K2266" s="17" t="s">
        <v>184</v>
      </c>
      <c r="L2266">
        <v>3</v>
      </c>
    </row>
    <row r="2267" spans="1:12" x14ac:dyDescent="0.25">
      <c r="A2267" t="s">
        <v>4822</v>
      </c>
      <c r="B2267" t="s">
        <v>566</v>
      </c>
      <c r="C2267" t="s">
        <v>555</v>
      </c>
      <c r="D2267" t="s">
        <v>46</v>
      </c>
      <c r="E2267">
        <v>37</v>
      </c>
      <c r="G2267" t="s">
        <v>159</v>
      </c>
      <c r="I2267" s="1" t="d">
        <v>2008-11-27</v>
      </c>
      <c r="J2267" t="s">
        <v>4823</v>
      </c>
      <c r="K2267" s="17" t="s">
        <v>149</v>
      </c>
      <c r="L2267">
        <v>3</v>
      </c>
    </row>
    <row r="2268" spans="1:12" x14ac:dyDescent="0.25">
      <c r="A2268" t="s">
        <v>5390</v>
      </c>
      <c r="B2268" t="s">
        <v>36</v>
      </c>
      <c r="C2268" t="s">
        <v>512</v>
      </c>
      <c r="D2268" t="s">
        <v>9527</v>
      </c>
      <c r="E2268">
        <v>23</v>
      </c>
      <c r="F2268" t="s">
        <v>859</v>
      </c>
      <c r="G2268" t="s">
        <v>378</v>
      </c>
      <c r="H2268" t="s">
        <v>5391</v>
      </c>
      <c r="I2268" s="1" t="d">
        <v>2019-07-15</v>
      </c>
      <c r="J2268" t="s">
        <v>1299</v>
      </c>
      <c r="K2268" s="17" t="s">
        <v>50</v>
      </c>
      <c r="L2268">
        <v>4</v>
      </c>
    </row>
    <row r="2269" spans="1:12" x14ac:dyDescent="0.25">
      <c r="A2269" t="s">
        <v>5392</v>
      </c>
      <c r="B2269" t="s">
        <v>3131</v>
      </c>
      <c r="C2269" t="s">
        <v>237</v>
      </c>
      <c r="D2269" t="s">
        <v>23</v>
      </c>
      <c r="E2269">
        <v>32</v>
      </c>
      <c r="F2269" t="s">
        <v>532</v>
      </c>
      <c r="G2269" t="s">
        <v>351</v>
      </c>
      <c r="H2269" t="s">
        <v>5393</v>
      </c>
      <c r="I2269" s="1" t="d">
        <v>2023-04-23</v>
      </c>
      <c r="J2269" t="s">
        <v>1391</v>
      </c>
      <c r="K2269" s="17" t="s">
        <v>90</v>
      </c>
      <c r="L2269">
        <v>4</v>
      </c>
    </row>
    <row r="2270" spans="1:12" x14ac:dyDescent="0.25">
      <c r="A2270" t="s">
        <v>5394</v>
      </c>
      <c r="B2270" t="s">
        <v>936</v>
      </c>
      <c r="C2270" t="s">
        <v>477</v>
      </c>
      <c r="D2270" t="s">
        <v>23</v>
      </c>
      <c r="E2270">
        <v>43</v>
      </c>
      <c r="F2270" t="s">
        <v>978</v>
      </c>
      <c r="G2270" t="s">
        <v>109</v>
      </c>
      <c r="H2270">
        <v>91062</v>
      </c>
      <c r="I2270" s="1" t="d">
        <v>2021-01-10</v>
      </c>
      <c r="J2270" t="s">
        <v>3610</v>
      </c>
      <c r="K2270" s="17" t="s">
        <v>71</v>
      </c>
      <c r="L2270">
        <v>3</v>
      </c>
    </row>
    <row r="2271" spans="1:12" x14ac:dyDescent="0.25">
      <c r="A2271" t="s">
        <v>5395</v>
      </c>
      <c r="B2271" t="s">
        <v>1096</v>
      </c>
      <c r="C2271" t="s">
        <v>158</v>
      </c>
      <c r="D2271" t="s">
        <v>23</v>
      </c>
      <c r="E2271">
        <v>21</v>
      </c>
      <c r="F2271" t="s">
        <v>108</v>
      </c>
      <c r="G2271" t="s">
        <v>69</v>
      </c>
      <c r="H2271" s="2">
        <v>-91946</v>
      </c>
      <c r="I2271" s="1" t="d">
        <v>2017-09-10</v>
      </c>
      <c r="J2271" t="s">
        <v>5396</v>
      </c>
      <c r="K2271" s="17" t="s">
        <v>71</v>
      </c>
      <c r="L2271">
        <v>5</v>
      </c>
    </row>
    <row r="2272" spans="1:12" x14ac:dyDescent="0.25">
      <c r="A2272" t="s">
        <v>5397</v>
      </c>
      <c r="B2272" t="s">
        <v>520</v>
      </c>
      <c r="C2272" t="s">
        <v>462</v>
      </c>
      <c r="D2272" t="s">
        <v>46</v>
      </c>
      <c r="E2272">
        <v>27</v>
      </c>
      <c r="F2272" t="s">
        <v>277</v>
      </c>
      <c r="G2272" t="s">
        <v>1215</v>
      </c>
      <c r="H2272" t="s">
        <v>5398</v>
      </c>
      <c r="I2272" s="1" t="d">
        <v>2008-10-21</v>
      </c>
      <c r="J2272" t="s">
        <v>3496</v>
      </c>
      <c r="K2272" s="17" t="s">
        <v>19</v>
      </c>
      <c r="L2272">
        <v>3</v>
      </c>
    </row>
    <row r="2273" spans="1:12" x14ac:dyDescent="0.25">
      <c r="A2273" t="s">
        <v>5399</v>
      </c>
      <c r="B2273" t="s">
        <v>2095</v>
      </c>
      <c r="C2273" t="s">
        <v>847</v>
      </c>
      <c r="D2273" t="s">
        <v>23</v>
      </c>
      <c r="E2273">
        <v>31</v>
      </c>
      <c r="F2273" t="s">
        <v>269</v>
      </c>
      <c r="G2273" t="s">
        <v>48</v>
      </c>
      <c r="I2273" s="1" t="d">
        <v>2016-12-15</v>
      </c>
      <c r="J2273" t="s">
        <v>3525</v>
      </c>
      <c r="K2273" s="17" t="s">
        <v>34</v>
      </c>
      <c r="L2273">
        <v>4</v>
      </c>
    </row>
    <row r="2274" spans="1:12" x14ac:dyDescent="0.25">
      <c r="A2274" t="s">
        <v>5400</v>
      </c>
      <c r="B2274" t="s">
        <v>833</v>
      </c>
      <c r="C2274" t="s">
        <v>457</v>
      </c>
      <c r="D2274" t="s">
        <v>9527</v>
      </c>
      <c r="E2274">
        <v>43</v>
      </c>
      <c r="F2274" t="s">
        <v>264</v>
      </c>
      <c r="G2274" t="s">
        <v>82</v>
      </c>
      <c r="I2274" s="1" t="d">
        <v>2012-10-04</v>
      </c>
      <c r="J2274" t="s">
        <v>279</v>
      </c>
      <c r="K2274" s="17" t="s">
        <v>50</v>
      </c>
      <c r="L2274">
        <v>3</v>
      </c>
    </row>
    <row r="2275" spans="1:12" x14ac:dyDescent="0.25">
      <c r="A2275" t="s">
        <v>5401</v>
      </c>
      <c r="B2275" t="s">
        <v>630</v>
      </c>
      <c r="C2275" t="s">
        <v>140</v>
      </c>
      <c r="D2275" t="s">
        <v>46</v>
      </c>
      <c r="E2275">
        <v>64</v>
      </c>
      <c r="F2275" t="s">
        <v>200</v>
      </c>
      <c r="G2275" t="s">
        <v>387</v>
      </c>
      <c r="H2275" t="s">
        <v>5402</v>
      </c>
      <c r="I2275" s="1" t="d">
        <v>2021-05-13</v>
      </c>
      <c r="J2275" t="s">
        <v>1761</v>
      </c>
      <c r="K2275" s="17" t="s">
        <v>71</v>
      </c>
      <c r="L2275">
        <v>4</v>
      </c>
    </row>
    <row r="2276" spans="1:12" x14ac:dyDescent="0.25">
      <c r="A2276" t="s">
        <v>5403</v>
      </c>
      <c r="B2276" t="s">
        <v>2811</v>
      </c>
      <c r="C2276" t="s">
        <v>4138</v>
      </c>
      <c r="D2276" t="s">
        <v>9527</v>
      </c>
      <c r="E2276">
        <v>47</v>
      </c>
      <c r="F2276" t="s">
        <v>576</v>
      </c>
      <c r="G2276" t="s">
        <v>141</v>
      </c>
      <c r="H2276" t="s">
        <v>5404</v>
      </c>
      <c r="I2276" s="1" t="d">
        <v>2006-04-13</v>
      </c>
      <c r="J2276" t="s">
        <v>123</v>
      </c>
      <c r="K2276" s="17" t="s">
        <v>27</v>
      </c>
      <c r="L2276">
        <v>4</v>
      </c>
    </row>
    <row r="2277" spans="1:12" x14ac:dyDescent="0.25">
      <c r="A2277" t="s">
        <v>5405</v>
      </c>
      <c r="B2277" t="s">
        <v>112</v>
      </c>
      <c r="C2277" t="s">
        <v>474</v>
      </c>
      <c r="D2277" t="s">
        <v>9527</v>
      </c>
      <c r="E2277">
        <v>48</v>
      </c>
      <c r="F2277" t="s">
        <v>62</v>
      </c>
      <c r="G2277" t="s">
        <v>48</v>
      </c>
      <c r="H2277" t="s">
        <v>5406</v>
      </c>
      <c r="I2277" s="1" t="d">
        <v>2018-07-02</v>
      </c>
      <c r="J2277" t="s">
        <v>5349</v>
      </c>
      <c r="K2277" s="17" t="s">
        <v>207</v>
      </c>
      <c r="L2277">
        <v>3</v>
      </c>
    </row>
    <row r="2278" spans="1:12" x14ac:dyDescent="0.25">
      <c r="A2278" t="s">
        <v>5407</v>
      </c>
      <c r="B2278" t="s">
        <v>262</v>
      </c>
      <c r="C2278" t="s">
        <v>3781</v>
      </c>
      <c r="D2278" t="s">
        <v>9527</v>
      </c>
      <c r="E2278">
        <v>32</v>
      </c>
      <c r="F2278" t="s">
        <v>2723</v>
      </c>
      <c r="G2278" t="s">
        <v>82</v>
      </c>
      <c r="H2278" t="s">
        <v>5408</v>
      </c>
      <c r="I2278" s="1" t="d">
        <v>2014-05-22</v>
      </c>
      <c r="J2278" t="s">
        <v>5409</v>
      </c>
      <c r="K2278" s="17" t="s">
        <v>71</v>
      </c>
      <c r="L2278">
        <v>1</v>
      </c>
    </row>
    <row r="2279" spans="1:12" x14ac:dyDescent="0.25">
      <c r="A2279" t="s">
        <v>5410</v>
      </c>
      <c r="B2279" t="s">
        <v>637</v>
      </c>
      <c r="C2279" t="s">
        <v>2918</v>
      </c>
      <c r="D2279" t="s">
        <v>46</v>
      </c>
      <c r="E2279">
        <v>39</v>
      </c>
      <c r="F2279" t="s">
        <v>264</v>
      </c>
      <c r="G2279" t="s">
        <v>32</v>
      </c>
      <c r="H2279">
        <v>77811</v>
      </c>
      <c r="I2279" s="1" t="d">
        <v>2023-05-08</v>
      </c>
      <c r="J2279" t="s">
        <v>1822</v>
      </c>
      <c r="K2279" s="17" t="s">
        <v>50</v>
      </c>
      <c r="L2279">
        <v>3</v>
      </c>
    </row>
    <row r="2280" spans="1:12" x14ac:dyDescent="0.25">
      <c r="A2280" t="s">
        <v>5411</v>
      </c>
      <c r="B2280" t="s">
        <v>2041</v>
      </c>
      <c r="C2280" t="s">
        <v>1248</v>
      </c>
      <c r="D2280" t="s">
        <v>23</v>
      </c>
      <c r="E2280">
        <v>31</v>
      </c>
      <c r="G2280" t="s">
        <v>217</v>
      </c>
      <c r="H2280">
        <v>120227</v>
      </c>
      <c r="I2280" s="1" t="d">
        <v>2011-08-07</v>
      </c>
      <c r="J2280" t="s">
        <v>2958</v>
      </c>
      <c r="K2280" s="17" t="s">
        <v>19</v>
      </c>
      <c r="L2280">
        <v>3</v>
      </c>
    </row>
    <row r="2281" spans="1:12" x14ac:dyDescent="0.25">
      <c r="A2281" t="s">
        <v>5412</v>
      </c>
      <c r="B2281" t="s">
        <v>906</v>
      </c>
      <c r="C2281" t="s">
        <v>660</v>
      </c>
      <c r="D2281" t="s">
        <v>23</v>
      </c>
      <c r="E2281">
        <v>50</v>
      </c>
      <c r="F2281" t="s">
        <v>216</v>
      </c>
      <c r="G2281" t="s">
        <v>16</v>
      </c>
      <c r="H2281" t="s">
        <v>5413</v>
      </c>
      <c r="I2281" s="1" t="d">
        <v>2021-07-13</v>
      </c>
      <c r="J2281" t="s">
        <v>5414</v>
      </c>
      <c r="K2281" s="17" t="s">
        <v>27</v>
      </c>
      <c r="L2281">
        <v>3</v>
      </c>
    </row>
    <row r="2282" spans="1:12" x14ac:dyDescent="0.25">
      <c r="A2282" t="s">
        <v>5415</v>
      </c>
      <c r="B2282" t="s">
        <v>3569</v>
      </c>
      <c r="C2282" t="s">
        <v>1266</v>
      </c>
      <c r="D2282" t="s">
        <v>46</v>
      </c>
      <c r="E2282">
        <v>37</v>
      </c>
      <c r="F2282" t="s">
        <v>81</v>
      </c>
      <c r="G2282" t="s">
        <v>1556</v>
      </c>
      <c r="H2282" t="s">
        <v>5416</v>
      </c>
      <c r="I2282" s="1" t="d">
        <v>2013-08-11</v>
      </c>
      <c r="J2282" t="s">
        <v>3922</v>
      </c>
      <c r="K2282" s="17" t="s">
        <v>19</v>
      </c>
      <c r="L2282">
        <v>3</v>
      </c>
    </row>
    <row r="2283" spans="1:12" x14ac:dyDescent="0.25">
      <c r="A2283" t="s">
        <v>5417</v>
      </c>
      <c r="B2283" t="s">
        <v>670</v>
      </c>
      <c r="C2283" t="s">
        <v>1248</v>
      </c>
      <c r="D2283" t="s">
        <v>23</v>
      </c>
      <c r="E2283">
        <v>48</v>
      </c>
      <c r="F2283" t="s">
        <v>2065</v>
      </c>
      <c r="G2283" t="s">
        <v>63</v>
      </c>
      <c r="H2283" s="2">
        <v>177712</v>
      </c>
      <c r="I2283" s="1" t="d">
        <v>2007-08-13</v>
      </c>
      <c r="J2283" t="s">
        <v>1250</v>
      </c>
      <c r="K2283" s="17" t="s">
        <v>19</v>
      </c>
      <c r="L2283">
        <v>4</v>
      </c>
    </row>
    <row r="2284" spans="1:12" x14ac:dyDescent="0.25">
      <c r="A2284" t="s">
        <v>5418</v>
      </c>
      <c r="B2284" t="s">
        <v>833</v>
      </c>
      <c r="C2284" t="s">
        <v>715</v>
      </c>
      <c r="D2284" t="s">
        <v>23</v>
      </c>
      <c r="E2284">
        <v>21</v>
      </c>
      <c r="F2284" t="s">
        <v>509</v>
      </c>
      <c r="G2284" t="s">
        <v>351</v>
      </c>
      <c r="H2284" t="s">
        <v>5419</v>
      </c>
      <c r="J2284" t="s">
        <v>4802</v>
      </c>
      <c r="K2284" s="17" t="s">
        <v>90</v>
      </c>
      <c r="L2284">
        <v>4</v>
      </c>
    </row>
    <row r="2285" spans="1:12" x14ac:dyDescent="0.25">
      <c r="A2285" t="s">
        <v>5420</v>
      </c>
      <c r="B2285" t="s">
        <v>130</v>
      </c>
      <c r="C2285" t="s">
        <v>5421</v>
      </c>
      <c r="D2285" t="s">
        <v>46</v>
      </c>
      <c r="E2285">
        <v>43</v>
      </c>
      <c r="G2285" t="s">
        <v>212</v>
      </c>
      <c r="H2285">
        <v>68907</v>
      </c>
      <c r="I2285" s="1" t="d">
        <v>2018-07-28</v>
      </c>
      <c r="J2285" t="s">
        <v>3505</v>
      </c>
      <c r="K2285" s="17" t="s">
        <v>71</v>
      </c>
      <c r="L2285">
        <v>3</v>
      </c>
    </row>
    <row r="2286" spans="1:12" x14ac:dyDescent="0.25">
      <c r="A2286" t="s">
        <v>5422</v>
      </c>
      <c r="B2286" t="s">
        <v>583</v>
      </c>
      <c r="C2286" t="s">
        <v>932</v>
      </c>
      <c r="D2286" t="s">
        <v>46</v>
      </c>
      <c r="E2286">
        <v>46</v>
      </c>
      <c r="F2286" t="s">
        <v>108</v>
      </c>
      <c r="G2286" t="s">
        <v>48</v>
      </c>
      <c r="H2286" s="2">
        <v>73013</v>
      </c>
      <c r="I2286" s="1" t="d">
        <v>2011-01-11</v>
      </c>
      <c r="J2286" t="s">
        <v>1314</v>
      </c>
      <c r="K2286" s="17" t="s">
        <v>100</v>
      </c>
      <c r="L2286">
        <v>3</v>
      </c>
    </row>
    <row r="2287" spans="1:12" x14ac:dyDescent="0.25">
      <c r="A2287" t="s">
        <v>5423</v>
      </c>
      <c r="B2287" t="s">
        <v>1086</v>
      </c>
      <c r="C2287" t="s">
        <v>45</v>
      </c>
      <c r="D2287" t="s">
        <v>46</v>
      </c>
      <c r="E2287">
        <v>46</v>
      </c>
      <c r="F2287" t="s">
        <v>190</v>
      </c>
      <c r="G2287" t="s">
        <v>39</v>
      </c>
      <c r="H2287">
        <v>60906</v>
      </c>
      <c r="I2287" s="1" t="d">
        <v>2021-10-12</v>
      </c>
      <c r="J2287" t="s">
        <v>1748</v>
      </c>
      <c r="K2287" s="17" t="s">
        <v>42</v>
      </c>
      <c r="L2287">
        <v>4</v>
      </c>
    </row>
    <row r="2288" spans="1:12" x14ac:dyDescent="0.25">
      <c r="A2288" t="s">
        <v>5424</v>
      </c>
      <c r="B2288" t="s">
        <v>162</v>
      </c>
      <c r="C2288" t="s">
        <v>5425</v>
      </c>
      <c r="D2288" t="s">
        <v>23</v>
      </c>
      <c r="E2288">
        <v>39</v>
      </c>
      <c r="F2288" t="s">
        <v>253</v>
      </c>
      <c r="G2288" t="s">
        <v>357</v>
      </c>
      <c r="H2288" t="s">
        <v>5426</v>
      </c>
      <c r="I2288" s="1" t="d">
        <v>2005-02-22</v>
      </c>
      <c r="J2288" t="s">
        <v>1483</v>
      </c>
      <c r="K2288" s="17" t="s">
        <v>58</v>
      </c>
      <c r="L2288">
        <v>3</v>
      </c>
    </row>
    <row r="2289" spans="1:12" x14ac:dyDescent="0.25">
      <c r="A2289" t="s">
        <v>5427</v>
      </c>
      <c r="B2289" t="s">
        <v>680</v>
      </c>
      <c r="C2289" t="s">
        <v>474</v>
      </c>
      <c r="D2289" t="s">
        <v>9527</v>
      </c>
      <c r="E2289">
        <v>28</v>
      </c>
      <c r="F2289" t="s">
        <v>559</v>
      </c>
      <c r="G2289" t="s">
        <v>115</v>
      </c>
      <c r="H2289" t="s">
        <v>5428</v>
      </c>
      <c r="I2289" s="1" t="d">
        <v>2017-03-18</v>
      </c>
      <c r="J2289" t="s">
        <v>5429</v>
      </c>
      <c r="K2289" s="17" t="s">
        <v>90</v>
      </c>
      <c r="L2289">
        <v>3</v>
      </c>
    </row>
    <row r="2290" spans="1:12" x14ac:dyDescent="0.25">
      <c r="A2290" t="s">
        <v>5430</v>
      </c>
      <c r="B2290" t="s">
        <v>5263</v>
      </c>
      <c r="C2290" t="s">
        <v>395</v>
      </c>
      <c r="D2290" t="s">
        <v>46</v>
      </c>
      <c r="E2290">
        <v>55</v>
      </c>
      <c r="F2290" t="s">
        <v>253</v>
      </c>
      <c r="G2290" t="s">
        <v>39</v>
      </c>
      <c r="I2290" s="1" t="d">
        <v>2022-09-18</v>
      </c>
      <c r="J2290" t="s">
        <v>856</v>
      </c>
      <c r="K2290" s="17" t="s">
        <v>370</v>
      </c>
      <c r="L2290">
        <v>4</v>
      </c>
    </row>
    <row r="2291" spans="1:12" x14ac:dyDescent="0.25">
      <c r="A2291" t="s">
        <v>5431</v>
      </c>
      <c r="B2291" t="s">
        <v>60</v>
      </c>
      <c r="C2291" t="s">
        <v>1377</v>
      </c>
      <c r="D2291" t="s">
        <v>23</v>
      </c>
      <c r="E2291">
        <v>25</v>
      </c>
      <c r="F2291" t="s">
        <v>104</v>
      </c>
      <c r="G2291" t="s">
        <v>16</v>
      </c>
      <c r="H2291" s="2">
        <v>82607</v>
      </c>
      <c r="I2291" s="1" t="d">
        <v>2020-04-24</v>
      </c>
      <c r="J2291" t="s">
        <v>1380</v>
      </c>
      <c r="K2291" s="17" t="s">
        <v>370</v>
      </c>
      <c r="L2291">
        <v>2</v>
      </c>
    </row>
    <row r="2292" spans="1:12" x14ac:dyDescent="0.25">
      <c r="A2292" t="s">
        <v>5432</v>
      </c>
      <c r="B2292" t="s">
        <v>664</v>
      </c>
      <c r="C2292" t="s">
        <v>2242</v>
      </c>
      <c r="D2292" t="s">
        <v>23</v>
      </c>
      <c r="E2292">
        <v>25</v>
      </c>
      <c r="F2292" t="s">
        <v>126</v>
      </c>
      <c r="G2292" t="s">
        <v>82</v>
      </c>
      <c r="H2292" s="2">
        <v>60964</v>
      </c>
      <c r="I2292" s="1" t="d">
        <v>2019-11-13</v>
      </c>
      <c r="J2292" t="s">
        <v>18</v>
      </c>
      <c r="K2292" s="17" t="s">
        <v>42</v>
      </c>
      <c r="L2292">
        <v>4</v>
      </c>
    </row>
    <row r="2293" spans="1:12" x14ac:dyDescent="0.25">
      <c r="A2293" t="s">
        <v>5433</v>
      </c>
      <c r="B2293" t="s">
        <v>60</v>
      </c>
      <c r="C2293" t="s">
        <v>3643</v>
      </c>
      <c r="D2293" t="s">
        <v>9527</v>
      </c>
      <c r="E2293">
        <v>38</v>
      </c>
      <c r="F2293" t="s">
        <v>216</v>
      </c>
      <c r="G2293" t="s">
        <v>351</v>
      </c>
      <c r="H2293" t="s">
        <v>5434</v>
      </c>
      <c r="I2293" s="1" t="d">
        <v>2021-09-08</v>
      </c>
      <c r="J2293" t="s">
        <v>5435</v>
      </c>
      <c r="K2293" s="17" t="s">
        <v>184</v>
      </c>
      <c r="L2293">
        <v>3</v>
      </c>
    </row>
    <row r="2294" spans="1:12" x14ac:dyDescent="0.25">
      <c r="A2294" t="s">
        <v>5436</v>
      </c>
      <c r="B2294" t="s">
        <v>467</v>
      </c>
      <c r="C2294" t="s">
        <v>103</v>
      </c>
      <c r="D2294" t="s">
        <v>23</v>
      </c>
      <c r="E2294">
        <v>26</v>
      </c>
      <c r="F2294" t="s">
        <v>356</v>
      </c>
      <c r="G2294" t="s">
        <v>796</v>
      </c>
      <c r="I2294" s="1" t="d">
        <v>2009-04-26</v>
      </c>
      <c r="J2294" t="s">
        <v>468</v>
      </c>
      <c r="K2294" s="17" t="s">
        <v>42</v>
      </c>
      <c r="L2294">
        <v>4</v>
      </c>
    </row>
    <row r="2295" spans="1:12" x14ac:dyDescent="0.25">
      <c r="A2295" t="s">
        <v>5437</v>
      </c>
      <c r="B2295" t="s">
        <v>194</v>
      </c>
      <c r="C2295" t="s">
        <v>22</v>
      </c>
      <c r="D2295" t="s">
        <v>23</v>
      </c>
      <c r="E2295">
        <v>42</v>
      </c>
      <c r="F2295" t="s">
        <v>38</v>
      </c>
      <c r="G2295" t="s">
        <v>16</v>
      </c>
      <c r="I2295" s="1" t="d">
        <v>2016-10-07</v>
      </c>
      <c r="J2295" t="s">
        <v>4405</v>
      </c>
      <c r="K2295" s="17" t="s">
        <v>149</v>
      </c>
      <c r="L2295">
        <v>5</v>
      </c>
    </row>
    <row r="2296" spans="1:12" x14ac:dyDescent="0.25">
      <c r="A2296" t="s">
        <v>5438</v>
      </c>
      <c r="B2296" t="s">
        <v>228</v>
      </c>
      <c r="C2296" t="s">
        <v>1320</v>
      </c>
      <c r="D2296" t="s">
        <v>46</v>
      </c>
      <c r="E2296">
        <v>54</v>
      </c>
      <c r="F2296" t="s">
        <v>54</v>
      </c>
      <c r="G2296" t="s">
        <v>55</v>
      </c>
      <c r="H2296">
        <v>52212</v>
      </c>
      <c r="I2296" s="1" t="d">
        <v>2015-11-25</v>
      </c>
      <c r="J2296" t="s">
        <v>5439</v>
      </c>
      <c r="K2296" s="17" t="s">
        <v>71</v>
      </c>
      <c r="L2296">
        <v>3</v>
      </c>
    </row>
    <row r="2297" spans="1:12" x14ac:dyDescent="0.25">
      <c r="A2297" t="s">
        <v>5440</v>
      </c>
      <c r="B2297" t="s">
        <v>1896</v>
      </c>
      <c r="C2297" t="s">
        <v>660</v>
      </c>
      <c r="D2297" t="s">
        <v>9527</v>
      </c>
      <c r="E2297">
        <v>44</v>
      </c>
      <c r="F2297" t="s">
        <v>918</v>
      </c>
      <c r="G2297" t="s">
        <v>205</v>
      </c>
      <c r="H2297">
        <v>78822</v>
      </c>
      <c r="I2297" s="1" t="d">
        <v>2021-01-07</v>
      </c>
      <c r="J2297" t="s">
        <v>3117</v>
      </c>
      <c r="K2297" s="17" t="s">
        <v>19</v>
      </c>
      <c r="L2297">
        <v>3</v>
      </c>
    </row>
    <row r="2298" spans="1:12" x14ac:dyDescent="0.25">
      <c r="A2298" t="s">
        <v>5441</v>
      </c>
      <c r="B2298" t="s">
        <v>594</v>
      </c>
      <c r="C2298" t="s">
        <v>175</v>
      </c>
      <c r="D2298" t="s">
        <v>9527</v>
      </c>
      <c r="E2298">
        <v>44</v>
      </c>
      <c r="F2298" t="s">
        <v>2937</v>
      </c>
      <c r="G2298" t="s">
        <v>141</v>
      </c>
      <c r="I2298" s="1" t="d">
        <v>2023-06-04</v>
      </c>
      <c r="J2298" t="s">
        <v>1084</v>
      </c>
      <c r="K2298" s="17" t="s">
        <v>42</v>
      </c>
      <c r="L2298">
        <v>3</v>
      </c>
    </row>
    <row r="2299" spans="1:12" x14ac:dyDescent="0.25">
      <c r="A2299" t="s">
        <v>5442</v>
      </c>
      <c r="B2299" t="s">
        <v>5443</v>
      </c>
      <c r="C2299" t="s">
        <v>3242</v>
      </c>
      <c r="D2299" t="s">
        <v>23</v>
      </c>
      <c r="E2299">
        <v>37</v>
      </c>
      <c r="F2299" t="s">
        <v>126</v>
      </c>
      <c r="G2299" t="s">
        <v>164</v>
      </c>
      <c r="I2299" s="1" t="d">
        <v>2016-06-22</v>
      </c>
      <c r="J2299" t="s">
        <v>909</v>
      </c>
      <c r="K2299" s="17" t="s">
        <v>27</v>
      </c>
      <c r="L2299">
        <v>4</v>
      </c>
    </row>
    <row r="2300" spans="1:12" x14ac:dyDescent="0.25">
      <c r="A2300" t="s">
        <v>2813</v>
      </c>
      <c r="B2300" t="s">
        <v>130</v>
      </c>
      <c r="C2300" t="s">
        <v>2079</v>
      </c>
      <c r="D2300" t="s">
        <v>23</v>
      </c>
      <c r="E2300">
        <v>45</v>
      </c>
      <c r="F2300" t="s">
        <v>200</v>
      </c>
      <c r="G2300" t="s">
        <v>82</v>
      </c>
      <c r="I2300" s="1" t="d">
        <v>2016-01-02</v>
      </c>
      <c r="J2300" t="s">
        <v>2815</v>
      </c>
      <c r="K2300" s="17" t="s">
        <v>19</v>
      </c>
      <c r="L2300">
        <v>4</v>
      </c>
    </row>
    <row r="2301" spans="1:12" x14ac:dyDescent="0.25">
      <c r="A2301" t="s">
        <v>5444</v>
      </c>
      <c r="B2301" t="s">
        <v>664</v>
      </c>
      <c r="C2301" t="s">
        <v>2572</v>
      </c>
      <c r="D2301" t="s">
        <v>23</v>
      </c>
      <c r="E2301">
        <v>50</v>
      </c>
      <c r="F2301" t="s">
        <v>31</v>
      </c>
      <c r="G2301" t="s">
        <v>191</v>
      </c>
      <c r="I2301" s="1" t="d">
        <v>2020-07-11</v>
      </c>
      <c r="J2301" t="s">
        <v>1711</v>
      </c>
      <c r="K2301" s="17" t="s">
        <v>184</v>
      </c>
      <c r="L2301">
        <v>4</v>
      </c>
    </row>
    <row r="2302" spans="1:12" x14ac:dyDescent="0.25">
      <c r="A2302" t="s">
        <v>5445</v>
      </c>
      <c r="B2302" t="s">
        <v>793</v>
      </c>
      <c r="C2302" t="s">
        <v>107</v>
      </c>
      <c r="D2302" t="s">
        <v>9527</v>
      </c>
      <c r="E2302">
        <v>60</v>
      </c>
      <c r="F2302" t="s">
        <v>126</v>
      </c>
      <c r="G2302" t="s">
        <v>182</v>
      </c>
      <c r="H2302" t="s">
        <v>5446</v>
      </c>
      <c r="I2302" s="1" t="d">
        <v>2021-02-09</v>
      </c>
      <c r="J2302" t="s">
        <v>3450</v>
      </c>
      <c r="K2302" s="17" t="s">
        <v>370</v>
      </c>
      <c r="L2302">
        <v>3</v>
      </c>
    </row>
    <row r="2303" spans="1:12" x14ac:dyDescent="0.25">
      <c r="A2303" t="s">
        <v>5447</v>
      </c>
      <c r="B2303" t="s">
        <v>4348</v>
      </c>
      <c r="C2303" t="s">
        <v>168</v>
      </c>
      <c r="D2303" t="s">
        <v>9527</v>
      </c>
      <c r="E2303">
        <v>45</v>
      </c>
      <c r="F2303" t="s">
        <v>1699</v>
      </c>
      <c r="G2303" t="s">
        <v>614</v>
      </c>
      <c r="H2303" t="s">
        <v>5448</v>
      </c>
      <c r="I2303" s="1" t="d">
        <v>2012-03-31</v>
      </c>
      <c r="J2303" t="s">
        <v>2105</v>
      </c>
      <c r="K2303" s="17" t="s">
        <v>42</v>
      </c>
      <c r="L2303">
        <v>2</v>
      </c>
    </row>
    <row r="2304" spans="1:12" x14ac:dyDescent="0.25">
      <c r="A2304" t="s">
        <v>5449</v>
      </c>
      <c r="B2304" t="s">
        <v>1096</v>
      </c>
      <c r="C2304" t="s">
        <v>5450</v>
      </c>
      <c r="D2304" t="s">
        <v>23</v>
      </c>
      <c r="E2304">
        <v>28</v>
      </c>
      <c r="F2304" t="s">
        <v>94</v>
      </c>
      <c r="G2304" t="s">
        <v>996</v>
      </c>
      <c r="H2304" t="s">
        <v>5451</v>
      </c>
      <c r="I2304" s="1" t="d">
        <v>2015-05-10</v>
      </c>
      <c r="J2304" t="s">
        <v>1053</v>
      </c>
      <c r="K2304" s="17" t="s">
        <v>184</v>
      </c>
      <c r="L2304">
        <v>4</v>
      </c>
    </row>
    <row r="2305" spans="1:12" x14ac:dyDescent="0.25">
      <c r="A2305" t="s">
        <v>5452</v>
      </c>
      <c r="B2305" t="s">
        <v>1301</v>
      </c>
      <c r="C2305" t="s">
        <v>1377</v>
      </c>
      <c r="D2305" t="s">
        <v>23</v>
      </c>
      <c r="E2305">
        <v>37</v>
      </c>
      <c r="F2305" t="s">
        <v>649</v>
      </c>
      <c r="G2305" t="s">
        <v>170</v>
      </c>
      <c r="H2305" t="s">
        <v>5453</v>
      </c>
      <c r="I2305" s="1" t="d">
        <v>2013-08-10</v>
      </c>
      <c r="J2305" t="s">
        <v>4650</v>
      </c>
      <c r="K2305" s="17" t="s">
        <v>90</v>
      </c>
      <c r="L2305">
        <v>5</v>
      </c>
    </row>
    <row r="2306" spans="1:12" x14ac:dyDescent="0.25">
      <c r="A2306" t="s">
        <v>5454</v>
      </c>
      <c r="B2306" t="s">
        <v>4210</v>
      </c>
      <c r="C2306" t="s">
        <v>2079</v>
      </c>
      <c r="D2306" t="s">
        <v>9527</v>
      </c>
      <c r="E2306">
        <v>43</v>
      </c>
      <c r="F2306" t="s">
        <v>54</v>
      </c>
      <c r="G2306" t="s">
        <v>88</v>
      </c>
      <c r="I2306" s="1" t="d">
        <v>2007-01-22</v>
      </c>
      <c r="J2306" t="s">
        <v>5455</v>
      </c>
      <c r="K2306" s="17" t="s">
        <v>184</v>
      </c>
      <c r="L2306">
        <v>5</v>
      </c>
    </row>
    <row r="2307" spans="1:12" x14ac:dyDescent="0.25">
      <c r="A2307" t="s">
        <v>2560</v>
      </c>
      <c r="B2307" t="s">
        <v>144</v>
      </c>
      <c r="C2307" t="s">
        <v>3368</v>
      </c>
      <c r="D2307" t="s">
        <v>46</v>
      </c>
      <c r="E2307">
        <v>21</v>
      </c>
      <c r="F2307" t="s">
        <v>918</v>
      </c>
      <c r="G2307" t="s">
        <v>141</v>
      </c>
      <c r="H2307">
        <v>77554</v>
      </c>
      <c r="I2307" s="1" t="d">
        <v>2022-08-02</v>
      </c>
      <c r="J2307" t="s">
        <v>744</v>
      </c>
      <c r="K2307" s="17" t="s">
        <v>207</v>
      </c>
      <c r="L2307">
        <v>1</v>
      </c>
    </row>
    <row r="2308" spans="1:12" x14ac:dyDescent="0.25">
      <c r="A2308" t="s">
        <v>5456</v>
      </c>
      <c r="B2308" t="s">
        <v>841</v>
      </c>
      <c r="C2308" t="s">
        <v>3694</v>
      </c>
      <c r="D2308" t="s">
        <v>9527</v>
      </c>
      <c r="E2308">
        <v>36</v>
      </c>
      <c r="F2308" t="s">
        <v>126</v>
      </c>
      <c r="G2308" t="s">
        <v>63</v>
      </c>
      <c r="H2308" t="s">
        <v>5457</v>
      </c>
      <c r="I2308" s="1" t="d">
        <v>2015-07-29</v>
      </c>
      <c r="J2308" t="s">
        <v>2577</v>
      </c>
      <c r="K2308" s="17" t="s">
        <v>149</v>
      </c>
      <c r="L2308">
        <v>3</v>
      </c>
    </row>
    <row r="2309" spans="1:12" x14ac:dyDescent="0.25">
      <c r="A2309" t="s">
        <v>5458</v>
      </c>
      <c r="B2309" t="s">
        <v>1877</v>
      </c>
      <c r="C2309" t="s">
        <v>540</v>
      </c>
      <c r="D2309" t="s">
        <v>23</v>
      </c>
      <c r="E2309">
        <v>32</v>
      </c>
      <c r="F2309" t="s">
        <v>211</v>
      </c>
      <c r="G2309" t="s">
        <v>217</v>
      </c>
      <c r="H2309" t="s">
        <v>5459</v>
      </c>
      <c r="I2309" s="1" t="d">
        <v>2021-05-09</v>
      </c>
      <c r="J2309" t="s">
        <v>4723</v>
      </c>
      <c r="K2309" s="17" t="s">
        <v>58</v>
      </c>
      <c r="L2309">
        <v>4</v>
      </c>
    </row>
    <row r="2310" spans="1:12" x14ac:dyDescent="0.25">
      <c r="A2310" t="s">
        <v>5460</v>
      </c>
      <c r="B2310" t="s">
        <v>120</v>
      </c>
      <c r="C2310" t="s">
        <v>1520</v>
      </c>
      <c r="D2310" t="s">
        <v>9527</v>
      </c>
      <c r="E2310">
        <v>39</v>
      </c>
      <c r="F2310" t="s">
        <v>365</v>
      </c>
      <c r="G2310" t="s">
        <v>170</v>
      </c>
      <c r="H2310" s="2">
        <v>55949</v>
      </c>
      <c r="I2310" s="1" t="d">
        <v>2018-04-15</v>
      </c>
      <c r="J2310" t="s">
        <v>5461</v>
      </c>
      <c r="K2310" s="17" t="s">
        <v>34</v>
      </c>
      <c r="L2310">
        <v>3</v>
      </c>
    </row>
    <row r="2311" spans="1:12" x14ac:dyDescent="0.25">
      <c r="A2311" t="s">
        <v>5462</v>
      </c>
      <c r="B2311" t="s">
        <v>228</v>
      </c>
      <c r="C2311" t="s">
        <v>932</v>
      </c>
      <c r="D2311" t="s">
        <v>9527</v>
      </c>
      <c r="E2311">
        <v>27</v>
      </c>
      <c r="F2311" t="s">
        <v>264</v>
      </c>
      <c r="G2311" t="s">
        <v>55</v>
      </c>
      <c r="H2311" t="s">
        <v>5463</v>
      </c>
      <c r="I2311" s="1" t="d">
        <v>2019-11-20</v>
      </c>
      <c r="J2311" t="s">
        <v>4103</v>
      </c>
      <c r="K2311" s="17" t="s">
        <v>184</v>
      </c>
      <c r="L2311">
        <v>3</v>
      </c>
    </row>
    <row r="2312" spans="1:12" x14ac:dyDescent="0.25">
      <c r="A2312" t="s">
        <v>5464</v>
      </c>
      <c r="B2312" t="s">
        <v>3127</v>
      </c>
      <c r="C2312" t="s">
        <v>699</v>
      </c>
      <c r="D2312" t="s">
        <v>23</v>
      </c>
      <c r="E2312">
        <v>46</v>
      </c>
      <c r="F2312" t="s">
        <v>984</v>
      </c>
      <c r="G2312" t="s">
        <v>782</v>
      </c>
      <c r="H2312" s="2">
        <v>66019</v>
      </c>
      <c r="I2312" s="1" t="d">
        <v>2019-07-20</v>
      </c>
      <c r="J2312" t="s">
        <v>2259</v>
      </c>
      <c r="K2312" s="17" t="s">
        <v>118</v>
      </c>
      <c r="L2312">
        <v>2</v>
      </c>
    </row>
    <row r="2313" spans="1:12" x14ac:dyDescent="0.25">
      <c r="A2313" t="s">
        <v>5465</v>
      </c>
      <c r="B2313" t="s">
        <v>931</v>
      </c>
      <c r="C2313" t="s">
        <v>805</v>
      </c>
      <c r="D2313" t="s">
        <v>46</v>
      </c>
      <c r="E2313">
        <v>21</v>
      </c>
      <c r="F2313" t="s">
        <v>576</v>
      </c>
      <c r="G2313" t="s">
        <v>191</v>
      </c>
      <c r="H2313" s="2">
        <v>94147</v>
      </c>
      <c r="I2313" s="1" t="d">
        <v>2007-11-07</v>
      </c>
      <c r="J2313" t="s">
        <v>3073</v>
      </c>
      <c r="K2313" s="17" t="s">
        <v>207</v>
      </c>
      <c r="L2313">
        <v>3</v>
      </c>
    </row>
    <row r="2314" spans="1:12" x14ac:dyDescent="0.25">
      <c r="A2314" t="s">
        <v>5466</v>
      </c>
      <c r="B2314" t="s">
        <v>637</v>
      </c>
      <c r="C2314" t="s">
        <v>349</v>
      </c>
      <c r="D2314" t="s">
        <v>23</v>
      </c>
      <c r="E2314">
        <v>21</v>
      </c>
      <c r="F2314" t="s">
        <v>126</v>
      </c>
      <c r="G2314" t="s">
        <v>39</v>
      </c>
      <c r="H2314" s="2">
        <v>77411</v>
      </c>
      <c r="I2314" s="1" t="d">
        <v>2006-06-03</v>
      </c>
      <c r="J2314" t="s">
        <v>1380</v>
      </c>
      <c r="K2314" s="17" t="s">
        <v>100</v>
      </c>
      <c r="L2314">
        <v>4</v>
      </c>
    </row>
    <row r="2315" spans="1:12" x14ac:dyDescent="0.25">
      <c r="A2315" t="s">
        <v>5467</v>
      </c>
      <c r="B2315" t="s">
        <v>906</v>
      </c>
      <c r="C2315" t="s">
        <v>416</v>
      </c>
      <c r="D2315" t="s">
        <v>46</v>
      </c>
      <c r="E2315">
        <v>22</v>
      </c>
      <c r="G2315" t="s">
        <v>504</v>
      </c>
      <c r="H2315">
        <v>86816</v>
      </c>
      <c r="I2315" s="1" t="d">
        <v>2019-06-15</v>
      </c>
      <c r="J2315" t="s">
        <v>419</v>
      </c>
      <c r="K2315" s="17" t="s">
        <v>27</v>
      </c>
      <c r="L2315">
        <v>4</v>
      </c>
    </row>
    <row r="2316" spans="1:12" x14ac:dyDescent="0.25">
      <c r="A2316" t="s">
        <v>5468</v>
      </c>
      <c r="B2316" t="s">
        <v>151</v>
      </c>
      <c r="C2316" t="s">
        <v>291</v>
      </c>
      <c r="D2316" t="s">
        <v>9527</v>
      </c>
      <c r="E2316">
        <v>29</v>
      </c>
      <c r="F2316" t="s">
        <v>918</v>
      </c>
      <c r="G2316" t="s">
        <v>82</v>
      </c>
      <c r="H2316" s="2">
        <v>-83187</v>
      </c>
      <c r="I2316" s="1" t="d">
        <v>2021-10-16</v>
      </c>
      <c r="J2316" t="s">
        <v>5469</v>
      </c>
      <c r="K2316" s="17" t="s">
        <v>71</v>
      </c>
      <c r="L2316">
        <v>3</v>
      </c>
    </row>
    <row r="2317" spans="1:12" x14ac:dyDescent="0.25">
      <c r="A2317" t="s">
        <v>5470</v>
      </c>
      <c r="B2317" t="s">
        <v>73</v>
      </c>
      <c r="C2317" t="s">
        <v>2249</v>
      </c>
      <c r="D2317" t="s">
        <v>9527</v>
      </c>
      <c r="E2317">
        <v>52</v>
      </c>
      <c r="G2317" t="s">
        <v>16</v>
      </c>
      <c r="H2317" t="s">
        <v>5471</v>
      </c>
      <c r="I2317" s="1" t="d">
        <v>2021-04-01</v>
      </c>
      <c r="J2317" t="s">
        <v>5472</v>
      </c>
      <c r="K2317" s="17" t="s">
        <v>19</v>
      </c>
      <c r="L2317">
        <v>3</v>
      </c>
    </row>
    <row r="2318" spans="1:12" x14ac:dyDescent="0.25">
      <c r="A2318" t="s">
        <v>5473</v>
      </c>
      <c r="B2318" t="s">
        <v>5474</v>
      </c>
      <c r="C2318" t="s">
        <v>474</v>
      </c>
      <c r="D2318" t="s">
        <v>23</v>
      </c>
      <c r="E2318">
        <v>38</v>
      </c>
      <c r="F2318" t="s">
        <v>269</v>
      </c>
      <c r="G2318" t="s">
        <v>82</v>
      </c>
      <c r="H2318" s="2">
        <v>37513</v>
      </c>
      <c r="I2318" s="1" t="d">
        <v>2008-04-04</v>
      </c>
      <c r="J2318" t="s">
        <v>2062</v>
      </c>
      <c r="K2318" s="17" t="s">
        <v>42</v>
      </c>
      <c r="L2318">
        <v>5</v>
      </c>
    </row>
    <row r="2319" spans="1:12" x14ac:dyDescent="0.25">
      <c r="A2319" t="s">
        <v>5475</v>
      </c>
      <c r="B2319" t="s">
        <v>180</v>
      </c>
      <c r="C2319" t="s">
        <v>631</v>
      </c>
      <c r="D2319" t="s">
        <v>9527</v>
      </c>
      <c r="E2319">
        <v>38</v>
      </c>
      <c r="F2319" t="s">
        <v>258</v>
      </c>
      <c r="G2319" t="s">
        <v>297</v>
      </c>
      <c r="H2319" t="s">
        <v>5476</v>
      </c>
      <c r="J2319" t="s">
        <v>890</v>
      </c>
      <c r="K2319" s="17" t="s">
        <v>34</v>
      </c>
      <c r="L2319">
        <v>4</v>
      </c>
    </row>
    <row r="2320" spans="1:12" x14ac:dyDescent="0.25">
      <c r="A2320" t="s">
        <v>5477</v>
      </c>
      <c r="B2320" t="s">
        <v>234</v>
      </c>
      <c r="C2320" t="s">
        <v>5478</v>
      </c>
      <c r="D2320" t="s">
        <v>46</v>
      </c>
      <c r="E2320">
        <v>38</v>
      </c>
      <c r="F2320" t="s">
        <v>319</v>
      </c>
      <c r="G2320" t="s">
        <v>177</v>
      </c>
      <c r="H2320" t="s">
        <v>5479</v>
      </c>
      <c r="I2320" s="1" t="d">
        <v>2019-04-11</v>
      </c>
      <c r="J2320" t="s">
        <v>235</v>
      </c>
      <c r="K2320" s="17" t="s">
        <v>19</v>
      </c>
      <c r="L2320">
        <v>4</v>
      </c>
    </row>
    <row r="2321" spans="1:12" x14ac:dyDescent="0.25">
      <c r="A2321" t="s">
        <v>5480</v>
      </c>
      <c r="B2321" t="s">
        <v>228</v>
      </c>
      <c r="C2321" t="s">
        <v>37</v>
      </c>
      <c r="D2321" t="s">
        <v>23</v>
      </c>
      <c r="E2321">
        <v>51</v>
      </c>
      <c r="F2321" t="s">
        <v>126</v>
      </c>
      <c r="G2321" t="s">
        <v>357</v>
      </c>
      <c r="H2321">
        <v>120620</v>
      </c>
      <c r="I2321" s="1" t="d">
        <v>2012-11-07</v>
      </c>
      <c r="J2321" t="s">
        <v>1782</v>
      </c>
      <c r="K2321" s="17" t="s">
        <v>42</v>
      </c>
      <c r="L2321">
        <v>3</v>
      </c>
    </row>
    <row r="2322" spans="1:12" x14ac:dyDescent="0.25">
      <c r="A2322" t="s">
        <v>5481</v>
      </c>
      <c r="B2322" t="s">
        <v>139</v>
      </c>
      <c r="C2322" t="s">
        <v>2768</v>
      </c>
      <c r="D2322" t="s">
        <v>9527</v>
      </c>
      <c r="E2322">
        <v>21</v>
      </c>
      <c r="F2322" t="s">
        <v>62</v>
      </c>
      <c r="G2322" t="s">
        <v>191</v>
      </c>
      <c r="H2322" t="s">
        <v>5482</v>
      </c>
      <c r="I2322" s="1" t="d">
        <v>2024-07-23</v>
      </c>
      <c r="J2322" t="s">
        <v>1287</v>
      </c>
      <c r="K2322" s="17" t="s">
        <v>34</v>
      </c>
      <c r="L2322">
        <v>5</v>
      </c>
    </row>
    <row r="2323" spans="1:12" x14ac:dyDescent="0.25">
      <c r="A2323" t="s">
        <v>5483</v>
      </c>
      <c r="B2323" t="s">
        <v>5484</v>
      </c>
      <c r="C2323" t="s">
        <v>67</v>
      </c>
      <c r="D2323" t="s">
        <v>23</v>
      </c>
      <c r="E2323">
        <v>42</v>
      </c>
      <c r="F2323" t="s">
        <v>859</v>
      </c>
      <c r="G2323" t="s">
        <v>351</v>
      </c>
      <c r="H2323">
        <v>58083</v>
      </c>
      <c r="I2323" s="1" t="d">
        <v>2005-03-13</v>
      </c>
      <c r="J2323" t="s">
        <v>70</v>
      </c>
      <c r="K2323" s="17" t="s">
        <v>149</v>
      </c>
      <c r="L2323">
        <v>4</v>
      </c>
    </row>
    <row r="2324" spans="1:12" x14ac:dyDescent="0.25">
      <c r="A2324" t="s">
        <v>5485</v>
      </c>
      <c r="B2324" t="s">
        <v>281</v>
      </c>
      <c r="C2324" t="s">
        <v>631</v>
      </c>
      <c r="D2324" t="s">
        <v>9527</v>
      </c>
      <c r="E2324">
        <v>51</v>
      </c>
      <c r="G2324" t="s">
        <v>141</v>
      </c>
      <c r="H2324">
        <v>77177</v>
      </c>
      <c r="I2324" s="1" t="d">
        <v>2023-06-11</v>
      </c>
      <c r="J2324" t="s">
        <v>3003</v>
      </c>
      <c r="K2324" s="17" t="s">
        <v>149</v>
      </c>
      <c r="L2324">
        <v>4</v>
      </c>
    </row>
    <row r="2325" spans="1:12" x14ac:dyDescent="0.25">
      <c r="A2325" t="s">
        <v>5486</v>
      </c>
      <c r="B2325" t="s">
        <v>1769</v>
      </c>
      <c r="C2325" t="s">
        <v>204</v>
      </c>
      <c r="D2325" t="s">
        <v>9527</v>
      </c>
      <c r="E2325">
        <v>33</v>
      </c>
      <c r="G2325" t="s">
        <v>283</v>
      </c>
      <c r="H2325">
        <v>201123</v>
      </c>
      <c r="I2325" s="1" t="d">
        <v>2012-10-26</v>
      </c>
      <c r="J2325" t="s">
        <v>5461</v>
      </c>
      <c r="K2325" s="17" t="s">
        <v>19</v>
      </c>
      <c r="L2325">
        <v>3</v>
      </c>
    </row>
    <row r="2326" spans="1:12" x14ac:dyDescent="0.25">
      <c r="A2326" t="s">
        <v>5487</v>
      </c>
      <c r="B2326" t="s">
        <v>709</v>
      </c>
      <c r="C2326" t="s">
        <v>103</v>
      </c>
      <c r="D2326" t="s">
        <v>9527</v>
      </c>
      <c r="E2326">
        <v>53</v>
      </c>
      <c r="F2326" t="s">
        <v>200</v>
      </c>
      <c r="G2326" t="s">
        <v>170</v>
      </c>
      <c r="I2326" s="1" t="d">
        <v>2012-03-14</v>
      </c>
      <c r="J2326" t="s">
        <v>1536</v>
      </c>
      <c r="K2326" s="17" t="s">
        <v>149</v>
      </c>
      <c r="L2326">
        <v>3</v>
      </c>
    </row>
    <row r="2327" spans="1:12" x14ac:dyDescent="0.25">
      <c r="A2327" t="s">
        <v>5488</v>
      </c>
      <c r="B2327" t="s">
        <v>571</v>
      </c>
      <c r="C2327" t="s">
        <v>4138</v>
      </c>
      <c r="D2327" t="s">
        <v>9527</v>
      </c>
      <c r="E2327">
        <v>38</v>
      </c>
      <c r="F2327" t="s">
        <v>296</v>
      </c>
      <c r="G2327" t="s">
        <v>288</v>
      </c>
      <c r="H2327" t="s">
        <v>5489</v>
      </c>
      <c r="I2327" s="1" t="d">
        <v>2016-12-29</v>
      </c>
      <c r="J2327" t="s">
        <v>4171</v>
      </c>
      <c r="K2327" s="17" t="s">
        <v>42</v>
      </c>
      <c r="L2327">
        <v>2</v>
      </c>
    </row>
    <row r="2328" spans="1:12" x14ac:dyDescent="0.25">
      <c r="A2328" t="s">
        <v>5490</v>
      </c>
      <c r="B2328" t="s">
        <v>52</v>
      </c>
      <c r="C2328" t="s">
        <v>45</v>
      </c>
      <c r="D2328" t="s">
        <v>46</v>
      </c>
      <c r="E2328">
        <v>23</v>
      </c>
      <c r="F2328" t="s">
        <v>264</v>
      </c>
      <c r="G2328" t="s">
        <v>82</v>
      </c>
      <c r="H2328" t="s">
        <v>5491</v>
      </c>
      <c r="I2328" s="1" t="d">
        <v>2021-02-21</v>
      </c>
      <c r="J2328" t="s">
        <v>4986</v>
      </c>
      <c r="K2328" s="17" t="s">
        <v>370</v>
      </c>
      <c r="L2328">
        <v>4</v>
      </c>
    </row>
    <row r="2329" spans="1:12" x14ac:dyDescent="0.25">
      <c r="A2329" t="s">
        <v>5492</v>
      </c>
      <c r="B2329" t="s">
        <v>335</v>
      </c>
      <c r="C2329" t="s">
        <v>457</v>
      </c>
      <c r="D2329" t="s">
        <v>23</v>
      </c>
      <c r="E2329">
        <v>33</v>
      </c>
      <c r="G2329" t="s">
        <v>69</v>
      </c>
      <c r="H2329" s="2">
        <v>49271</v>
      </c>
      <c r="I2329" s="1" t="d">
        <v>2008-06-04</v>
      </c>
      <c r="J2329" t="s">
        <v>4038</v>
      </c>
      <c r="K2329" s="17" t="s">
        <v>149</v>
      </c>
      <c r="L2329">
        <v>3</v>
      </c>
    </row>
    <row r="2330" spans="1:12" x14ac:dyDescent="0.25">
      <c r="A2330" t="s">
        <v>5493</v>
      </c>
      <c r="B2330" t="s">
        <v>1162</v>
      </c>
      <c r="C2330" t="s">
        <v>3643</v>
      </c>
      <c r="D2330" t="s">
        <v>46</v>
      </c>
      <c r="E2330">
        <v>43</v>
      </c>
      <c r="F2330" t="s">
        <v>559</v>
      </c>
      <c r="G2330" t="s">
        <v>16</v>
      </c>
      <c r="H2330" t="s">
        <v>5494</v>
      </c>
      <c r="I2330" s="1" t="d">
        <v>2008-06-26</v>
      </c>
      <c r="J2330" t="s">
        <v>1424</v>
      </c>
      <c r="K2330" s="17" t="s">
        <v>58</v>
      </c>
      <c r="L2330">
        <v>3</v>
      </c>
    </row>
    <row r="2331" spans="1:12" x14ac:dyDescent="0.25">
      <c r="A2331" t="s">
        <v>5495</v>
      </c>
      <c r="B2331" t="s">
        <v>804</v>
      </c>
      <c r="C2331" t="s">
        <v>5496</v>
      </c>
      <c r="D2331" t="s">
        <v>23</v>
      </c>
      <c r="E2331">
        <v>37</v>
      </c>
      <c r="F2331" t="s">
        <v>319</v>
      </c>
      <c r="G2331" t="s">
        <v>191</v>
      </c>
      <c r="H2331" t="s">
        <v>5497</v>
      </c>
      <c r="I2331" s="1" t="d">
        <v>2008-07-14</v>
      </c>
      <c r="J2331" t="s">
        <v>2285</v>
      </c>
      <c r="K2331" s="17" t="s">
        <v>149</v>
      </c>
      <c r="L2331">
        <v>3</v>
      </c>
    </row>
    <row r="2332" spans="1:12" x14ac:dyDescent="0.25">
      <c r="A2332" t="s">
        <v>5498</v>
      </c>
      <c r="B2332" t="s">
        <v>769</v>
      </c>
      <c r="C2332" t="s">
        <v>416</v>
      </c>
      <c r="D2332" t="s">
        <v>9527</v>
      </c>
      <c r="E2332">
        <v>33</v>
      </c>
      <c r="F2332" t="s">
        <v>296</v>
      </c>
      <c r="G2332" t="s">
        <v>109</v>
      </c>
      <c r="I2332" s="1" t="d">
        <v>2021-12-18</v>
      </c>
      <c r="J2332" t="s">
        <v>3455</v>
      </c>
      <c r="K2332" s="17" t="s">
        <v>42</v>
      </c>
      <c r="L2332">
        <v>5</v>
      </c>
    </row>
    <row r="2333" spans="1:12" x14ac:dyDescent="0.25">
      <c r="A2333" t="s">
        <v>5499</v>
      </c>
      <c r="B2333" t="s">
        <v>659</v>
      </c>
      <c r="C2333" t="s">
        <v>107</v>
      </c>
      <c r="D2333" t="s">
        <v>9527</v>
      </c>
      <c r="E2333">
        <v>30</v>
      </c>
      <c r="F2333" t="s">
        <v>200</v>
      </c>
      <c r="G2333" t="s">
        <v>170</v>
      </c>
      <c r="H2333">
        <v>96578</v>
      </c>
      <c r="I2333" s="1" t="d">
        <v>2024-05-10</v>
      </c>
      <c r="J2333" t="s">
        <v>5024</v>
      </c>
      <c r="K2333" s="17" t="s">
        <v>71</v>
      </c>
      <c r="L2333">
        <v>3</v>
      </c>
    </row>
    <row r="2334" spans="1:12" x14ac:dyDescent="0.25">
      <c r="A2334" t="s">
        <v>5500</v>
      </c>
      <c r="B2334" t="s">
        <v>1051</v>
      </c>
      <c r="C2334" t="s">
        <v>168</v>
      </c>
      <c r="D2334" t="s">
        <v>23</v>
      </c>
      <c r="E2334">
        <v>28</v>
      </c>
      <c r="F2334" t="s">
        <v>68</v>
      </c>
      <c r="G2334" t="s">
        <v>39</v>
      </c>
      <c r="H2334" t="s">
        <v>5501</v>
      </c>
      <c r="I2334" s="1" t="d">
        <v>2020-10-09</v>
      </c>
      <c r="J2334" t="s">
        <v>3452</v>
      </c>
      <c r="K2334" s="17" t="s">
        <v>100</v>
      </c>
      <c r="L2334">
        <v>3</v>
      </c>
    </row>
    <row r="2335" spans="1:12" x14ac:dyDescent="0.25">
      <c r="A2335" t="s">
        <v>5502</v>
      </c>
      <c r="B2335" t="s">
        <v>174</v>
      </c>
      <c r="C2335" t="s">
        <v>1622</v>
      </c>
      <c r="D2335" t="s">
        <v>9527</v>
      </c>
      <c r="E2335">
        <v>43</v>
      </c>
      <c r="F2335" t="s">
        <v>1195</v>
      </c>
      <c r="G2335" t="s">
        <v>39</v>
      </c>
      <c r="H2335" t="s">
        <v>5503</v>
      </c>
      <c r="I2335" s="1" t="d">
        <v>2006-06-11</v>
      </c>
      <c r="J2335" t="s">
        <v>5504</v>
      </c>
      <c r="K2335" s="17" t="s">
        <v>19</v>
      </c>
      <c r="L2335">
        <v>3</v>
      </c>
    </row>
    <row r="2336" spans="1:12" x14ac:dyDescent="0.25">
      <c r="A2336" t="s">
        <v>5505</v>
      </c>
      <c r="B2336" t="s">
        <v>1350</v>
      </c>
      <c r="C2336" t="s">
        <v>521</v>
      </c>
      <c r="D2336" t="s">
        <v>46</v>
      </c>
      <c r="E2336">
        <v>40</v>
      </c>
      <c r="F2336" t="s">
        <v>1983</v>
      </c>
      <c r="G2336" t="s">
        <v>82</v>
      </c>
      <c r="I2336" s="1" t="d">
        <v>2014-08-22</v>
      </c>
      <c r="J2336" t="s">
        <v>1314</v>
      </c>
      <c r="K2336" s="17" t="s">
        <v>42</v>
      </c>
      <c r="L2336">
        <v>3</v>
      </c>
    </row>
    <row r="2337" spans="1:12" x14ac:dyDescent="0.25">
      <c r="A2337" t="s">
        <v>5506</v>
      </c>
      <c r="B2337" t="s">
        <v>2252</v>
      </c>
      <c r="C2337" t="s">
        <v>531</v>
      </c>
      <c r="D2337" t="s">
        <v>9527</v>
      </c>
      <c r="E2337">
        <v>40</v>
      </c>
      <c r="F2337" t="s">
        <v>264</v>
      </c>
      <c r="G2337" t="s">
        <v>16</v>
      </c>
      <c r="H2337" t="s">
        <v>5507</v>
      </c>
      <c r="J2337" t="s">
        <v>2853</v>
      </c>
      <c r="K2337" s="17" t="s">
        <v>100</v>
      </c>
      <c r="L2337">
        <v>4</v>
      </c>
    </row>
    <row r="2338" spans="1:12" x14ac:dyDescent="0.25">
      <c r="A2338" t="s">
        <v>5508</v>
      </c>
      <c r="B2338" t="s">
        <v>3201</v>
      </c>
      <c r="C2338" t="s">
        <v>521</v>
      </c>
      <c r="D2338" t="s">
        <v>46</v>
      </c>
      <c r="E2338">
        <v>41</v>
      </c>
      <c r="F2338" t="s">
        <v>24</v>
      </c>
      <c r="G2338" t="s">
        <v>177</v>
      </c>
      <c r="H2338" t="s">
        <v>5509</v>
      </c>
      <c r="I2338" s="1" t="d">
        <v>2023-08-16</v>
      </c>
      <c r="J2338" t="s">
        <v>5510</v>
      </c>
      <c r="K2338" s="17" t="s">
        <v>149</v>
      </c>
      <c r="L2338">
        <v>3</v>
      </c>
    </row>
    <row r="2339" spans="1:12" x14ac:dyDescent="0.25">
      <c r="A2339" t="s">
        <v>5511</v>
      </c>
      <c r="B2339" t="s">
        <v>1096</v>
      </c>
      <c r="C2339" t="s">
        <v>67</v>
      </c>
      <c r="D2339" t="s">
        <v>23</v>
      </c>
      <c r="E2339">
        <v>28</v>
      </c>
      <c r="F2339" t="s">
        <v>108</v>
      </c>
      <c r="G2339" t="s">
        <v>191</v>
      </c>
      <c r="H2339" s="2">
        <v>83220</v>
      </c>
      <c r="I2339" s="1" t="d">
        <v>2012-12-03</v>
      </c>
      <c r="J2339" t="s">
        <v>2216</v>
      </c>
      <c r="K2339" s="17" t="s">
        <v>42</v>
      </c>
      <c r="L2339">
        <v>3</v>
      </c>
    </row>
    <row r="2340" spans="1:12" x14ac:dyDescent="0.25">
      <c r="A2340" t="s">
        <v>5512</v>
      </c>
      <c r="B2340" t="s">
        <v>786</v>
      </c>
      <c r="C2340" t="s">
        <v>2755</v>
      </c>
      <c r="D2340" t="s">
        <v>9527</v>
      </c>
      <c r="E2340">
        <v>21</v>
      </c>
      <c r="F2340" t="s">
        <v>104</v>
      </c>
      <c r="G2340" t="s">
        <v>3197</v>
      </c>
      <c r="H2340" t="s">
        <v>5513</v>
      </c>
      <c r="I2340" s="1" t="d">
        <v>2021-08-10</v>
      </c>
      <c r="J2340" t="s">
        <v>5514</v>
      </c>
      <c r="K2340" s="17" t="s">
        <v>71</v>
      </c>
      <c r="L2340">
        <v>3</v>
      </c>
    </row>
    <row r="2341" spans="1:12" x14ac:dyDescent="0.25">
      <c r="A2341" t="s">
        <v>5515</v>
      </c>
      <c r="B2341" t="s">
        <v>394</v>
      </c>
      <c r="C2341" t="s">
        <v>3075</v>
      </c>
      <c r="D2341" t="s">
        <v>9527</v>
      </c>
      <c r="E2341">
        <v>51</v>
      </c>
      <c r="G2341" t="s">
        <v>191</v>
      </c>
      <c r="H2341" s="2">
        <v>75025</v>
      </c>
      <c r="J2341" t="s">
        <v>5516</v>
      </c>
      <c r="K2341" s="17" t="s">
        <v>149</v>
      </c>
      <c r="L2341">
        <v>1</v>
      </c>
    </row>
    <row r="2342" spans="1:12" x14ac:dyDescent="0.25">
      <c r="A2342" t="s">
        <v>5517</v>
      </c>
      <c r="B2342" t="s">
        <v>5193</v>
      </c>
      <c r="C2342" t="s">
        <v>988</v>
      </c>
      <c r="D2342" t="s">
        <v>9527</v>
      </c>
      <c r="E2342">
        <v>54</v>
      </c>
      <c r="F2342" t="s">
        <v>200</v>
      </c>
      <c r="G2342" t="s">
        <v>16</v>
      </c>
      <c r="H2342" t="s">
        <v>5518</v>
      </c>
      <c r="I2342" s="1" t="d">
        <v>2016-07-05</v>
      </c>
      <c r="J2342" t="s">
        <v>5519</v>
      </c>
      <c r="K2342" s="17" t="s">
        <v>149</v>
      </c>
      <c r="L2342">
        <v>4</v>
      </c>
    </row>
    <row r="2343" spans="1:12" x14ac:dyDescent="0.25">
      <c r="A2343" t="s">
        <v>5520</v>
      </c>
      <c r="B2343" t="s">
        <v>86</v>
      </c>
      <c r="C2343" t="s">
        <v>2079</v>
      </c>
      <c r="D2343" t="s">
        <v>46</v>
      </c>
      <c r="E2343">
        <v>39</v>
      </c>
      <c r="F2343" t="s">
        <v>859</v>
      </c>
      <c r="G2343" t="s">
        <v>39</v>
      </c>
      <c r="H2343" s="2">
        <v>56432</v>
      </c>
      <c r="I2343" s="1" t="d">
        <v>2005-11-15</v>
      </c>
      <c r="J2343" t="s">
        <v>4445</v>
      </c>
      <c r="K2343" s="17" t="s">
        <v>27</v>
      </c>
      <c r="L2343">
        <v>3</v>
      </c>
    </row>
    <row r="2344" spans="1:12" x14ac:dyDescent="0.25">
      <c r="A2344" t="s">
        <v>5521</v>
      </c>
      <c r="B2344" t="s">
        <v>52</v>
      </c>
      <c r="C2344" t="s">
        <v>37</v>
      </c>
      <c r="D2344" t="s">
        <v>46</v>
      </c>
      <c r="E2344">
        <v>38</v>
      </c>
      <c r="F2344" t="s">
        <v>108</v>
      </c>
      <c r="G2344" t="s">
        <v>95</v>
      </c>
      <c r="H2344" t="s">
        <v>5522</v>
      </c>
      <c r="I2344" s="1" t="d">
        <v>2020-03-08</v>
      </c>
      <c r="J2344" t="s">
        <v>1782</v>
      </c>
      <c r="K2344" s="17" t="s">
        <v>19</v>
      </c>
      <c r="L2344">
        <v>5</v>
      </c>
    </row>
    <row r="2345" spans="1:12" x14ac:dyDescent="0.25">
      <c r="A2345" t="s">
        <v>5523</v>
      </c>
      <c r="B2345" t="s">
        <v>199</v>
      </c>
      <c r="C2345" t="s">
        <v>1248</v>
      </c>
      <c r="D2345" t="s">
        <v>46</v>
      </c>
      <c r="E2345">
        <v>22</v>
      </c>
      <c r="F2345" t="s">
        <v>417</v>
      </c>
      <c r="G2345" t="s">
        <v>231</v>
      </c>
      <c r="H2345" t="s">
        <v>5524</v>
      </c>
      <c r="I2345" s="1" t="d">
        <v>2017-05-02</v>
      </c>
      <c r="J2345" t="s">
        <v>2914</v>
      </c>
      <c r="K2345" s="17" t="s">
        <v>100</v>
      </c>
      <c r="L2345">
        <v>3</v>
      </c>
    </row>
    <row r="2346" spans="1:12" x14ac:dyDescent="0.25">
      <c r="A2346" t="s">
        <v>4301</v>
      </c>
      <c r="B2346" t="s">
        <v>162</v>
      </c>
      <c r="C2346" t="s">
        <v>4302</v>
      </c>
      <c r="D2346" t="s">
        <v>46</v>
      </c>
      <c r="E2346">
        <v>24</v>
      </c>
      <c r="F2346" t="s">
        <v>918</v>
      </c>
      <c r="G2346" t="s">
        <v>39</v>
      </c>
      <c r="H2346" t="s">
        <v>4303</v>
      </c>
      <c r="J2346" t="s">
        <v>1483</v>
      </c>
      <c r="K2346" s="17" t="s">
        <v>71</v>
      </c>
      <c r="L2346">
        <v>5</v>
      </c>
    </row>
    <row r="2347" spans="1:12" x14ac:dyDescent="0.25">
      <c r="A2347" t="s">
        <v>5525</v>
      </c>
      <c r="B2347" t="s">
        <v>2272</v>
      </c>
      <c r="C2347" t="s">
        <v>377</v>
      </c>
      <c r="D2347" t="s">
        <v>23</v>
      </c>
      <c r="E2347">
        <v>44</v>
      </c>
      <c r="F2347" t="s">
        <v>2771</v>
      </c>
      <c r="G2347" t="s">
        <v>32</v>
      </c>
      <c r="H2347">
        <v>999999</v>
      </c>
      <c r="I2347" s="1" t="d">
        <v>2022-11-02</v>
      </c>
      <c r="J2347" t="s">
        <v>2760</v>
      </c>
      <c r="K2347" s="17" t="s">
        <v>207</v>
      </c>
      <c r="L2347">
        <v>5</v>
      </c>
    </row>
    <row r="2348" spans="1:12" x14ac:dyDescent="0.25">
      <c r="A2348" t="s">
        <v>5526</v>
      </c>
      <c r="B2348" t="s">
        <v>563</v>
      </c>
      <c r="C2348" t="s">
        <v>4084</v>
      </c>
      <c r="D2348" t="s">
        <v>9527</v>
      </c>
      <c r="E2348">
        <v>40</v>
      </c>
      <c r="F2348" t="s">
        <v>216</v>
      </c>
      <c r="G2348" t="s">
        <v>205</v>
      </c>
      <c r="H2348">
        <v>59084</v>
      </c>
      <c r="I2348" s="1" t="d">
        <v>2021-11-04</v>
      </c>
      <c r="J2348" t="s">
        <v>3299</v>
      </c>
      <c r="K2348" s="17" t="s">
        <v>58</v>
      </c>
      <c r="L2348">
        <v>4</v>
      </c>
    </row>
    <row r="2349" spans="1:12" x14ac:dyDescent="0.25">
      <c r="A2349" t="s">
        <v>5254</v>
      </c>
      <c r="B2349" t="s">
        <v>1096</v>
      </c>
      <c r="C2349" t="s">
        <v>37</v>
      </c>
      <c r="D2349" t="s">
        <v>9527</v>
      </c>
      <c r="E2349">
        <v>24</v>
      </c>
      <c r="F2349" t="s">
        <v>971</v>
      </c>
      <c r="G2349" t="s">
        <v>39</v>
      </c>
      <c r="H2349" t="s">
        <v>5255</v>
      </c>
      <c r="I2349" s="1" t="d">
        <v>2019-12-13</v>
      </c>
      <c r="J2349" t="s">
        <v>5256</v>
      </c>
      <c r="K2349" s="17" t="s">
        <v>19</v>
      </c>
      <c r="L2349">
        <v>5</v>
      </c>
    </row>
    <row r="2350" spans="1:12" x14ac:dyDescent="0.25">
      <c r="A2350" t="s">
        <v>5527</v>
      </c>
      <c r="B2350" t="s">
        <v>1605</v>
      </c>
      <c r="C2350" t="s">
        <v>1442</v>
      </c>
      <c r="D2350" t="s">
        <v>46</v>
      </c>
      <c r="E2350">
        <v>46</v>
      </c>
      <c r="F2350" t="s">
        <v>422</v>
      </c>
      <c r="G2350" t="s">
        <v>337</v>
      </c>
      <c r="H2350">
        <v>61782</v>
      </c>
      <c r="I2350" s="1" t="d">
        <v>2018-11-15</v>
      </c>
      <c r="J2350" t="s">
        <v>1416</v>
      </c>
      <c r="K2350" s="17" t="s">
        <v>34</v>
      </c>
      <c r="L2350">
        <v>5</v>
      </c>
    </row>
    <row r="2351" spans="1:12" x14ac:dyDescent="0.25">
      <c r="A2351" t="s">
        <v>5528</v>
      </c>
      <c r="B2351" t="s">
        <v>323</v>
      </c>
      <c r="C2351" t="s">
        <v>790</v>
      </c>
      <c r="D2351" t="s">
        <v>46</v>
      </c>
      <c r="E2351">
        <v>45</v>
      </c>
      <c r="F2351" t="s">
        <v>75</v>
      </c>
      <c r="G2351" t="s">
        <v>302</v>
      </c>
      <c r="H2351" t="s">
        <v>5529</v>
      </c>
      <c r="I2351" s="1" t="d">
        <v>2010-07-22</v>
      </c>
      <c r="J2351" t="s">
        <v>5215</v>
      </c>
      <c r="K2351" s="17" t="s">
        <v>71</v>
      </c>
      <c r="L2351">
        <v>3</v>
      </c>
    </row>
    <row r="2352" spans="1:12" x14ac:dyDescent="0.25">
      <c r="A2352" t="s">
        <v>5530</v>
      </c>
      <c r="B2352" t="s">
        <v>228</v>
      </c>
      <c r="C2352" t="s">
        <v>729</v>
      </c>
      <c r="D2352" t="s">
        <v>9527</v>
      </c>
      <c r="E2352">
        <v>21</v>
      </c>
      <c r="G2352" t="s">
        <v>39</v>
      </c>
      <c r="H2352" t="s">
        <v>5531</v>
      </c>
      <c r="I2352" s="1" t="d">
        <v>2023-01-14</v>
      </c>
      <c r="J2352" t="s">
        <v>1225</v>
      </c>
      <c r="K2352" s="17" t="s">
        <v>50</v>
      </c>
      <c r="L2352">
        <v>3</v>
      </c>
    </row>
    <row r="2353" spans="1:12" x14ac:dyDescent="0.25">
      <c r="A2353" t="s">
        <v>5532</v>
      </c>
      <c r="B2353" t="s">
        <v>1181</v>
      </c>
      <c r="C2353" t="s">
        <v>80</v>
      </c>
      <c r="D2353" t="s">
        <v>23</v>
      </c>
      <c r="E2353">
        <v>27</v>
      </c>
      <c r="F2353" t="s">
        <v>24</v>
      </c>
      <c r="G2353" t="s">
        <v>2569</v>
      </c>
      <c r="H2353" s="2">
        <v>86154</v>
      </c>
      <c r="J2353" t="s">
        <v>49</v>
      </c>
      <c r="K2353" s="17" t="s">
        <v>50</v>
      </c>
      <c r="L2353">
        <v>3</v>
      </c>
    </row>
    <row r="2354" spans="1:12" x14ac:dyDescent="0.25">
      <c r="A2354" t="s">
        <v>5533</v>
      </c>
      <c r="B2354" t="s">
        <v>652</v>
      </c>
      <c r="C2354" t="s">
        <v>215</v>
      </c>
      <c r="D2354" t="s">
        <v>46</v>
      </c>
      <c r="E2354">
        <v>48</v>
      </c>
      <c r="F2354" t="s">
        <v>108</v>
      </c>
      <c r="G2354" t="s">
        <v>16</v>
      </c>
      <c r="H2354" t="s">
        <v>5534</v>
      </c>
      <c r="I2354" s="1" t="d">
        <v>2019-07-09</v>
      </c>
      <c r="J2354" t="s">
        <v>5435</v>
      </c>
      <c r="K2354" s="17" t="s">
        <v>34</v>
      </c>
      <c r="L2354">
        <v>4</v>
      </c>
    </row>
    <row r="2355" spans="1:12" x14ac:dyDescent="0.25">
      <c r="A2355" t="s">
        <v>5535</v>
      </c>
      <c r="B2355" t="s">
        <v>102</v>
      </c>
      <c r="C2355" t="s">
        <v>3532</v>
      </c>
      <c r="D2355" t="s">
        <v>46</v>
      </c>
      <c r="E2355">
        <v>41</v>
      </c>
      <c r="F2355" t="s">
        <v>1851</v>
      </c>
      <c r="G2355" t="s">
        <v>205</v>
      </c>
      <c r="H2355" t="s">
        <v>5536</v>
      </c>
      <c r="I2355" s="1" t="d">
        <v>2008-01-23</v>
      </c>
      <c r="J2355" t="s">
        <v>3217</v>
      </c>
      <c r="K2355" s="17" t="s">
        <v>34</v>
      </c>
      <c r="L2355">
        <v>4</v>
      </c>
    </row>
    <row r="2356" spans="1:12" x14ac:dyDescent="0.25">
      <c r="A2356" t="s">
        <v>5537</v>
      </c>
      <c r="B2356" t="s">
        <v>5538</v>
      </c>
      <c r="C2356" t="s">
        <v>5539</v>
      </c>
      <c r="D2356" t="s">
        <v>46</v>
      </c>
      <c r="E2356">
        <v>37</v>
      </c>
      <c r="F2356" t="s">
        <v>94</v>
      </c>
      <c r="G2356" t="s">
        <v>278</v>
      </c>
      <c r="H2356" t="s">
        <v>5540</v>
      </c>
      <c r="I2356" s="1" t="d">
        <v>2023-07-18</v>
      </c>
      <c r="J2356" t="s">
        <v>5541</v>
      </c>
      <c r="K2356" s="17" t="s">
        <v>42</v>
      </c>
      <c r="L2356">
        <v>4</v>
      </c>
    </row>
    <row r="2357" spans="1:12" x14ac:dyDescent="0.25">
      <c r="A2357" t="s">
        <v>5542</v>
      </c>
      <c r="B2357" t="s">
        <v>507</v>
      </c>
      <c r="C2357" t="s">
        <v>295</v>
      </c>
      <c r="D2357" t="s">
        <v>9527</v>
      </c>
      <c r="E2357">
        <v>27</v>
      </c>
      <c r="F2357" t="s">
        <v>296</v>
      </c>
      <c r="G2357" t="s">
        <v>1285</v>
      </c>
      <c r="H2357">
        <v>86473</v>
      </c>
      <c r="J2357" t="s">
        <v>5543</v>
      </c>
      <c r="K2357" s="17" t="s">
        <v>50</v>
      </c>
      <c r="L2357">
        <v>3</v>
      </c>
    </row>
    <row r="2358" spans="1:12" x14ac:dyDescent="0.25">
      <c r="A2358" t="s">
        <v>5544</v>
      </c>
      <c r="B2358" t="s">
        <v>5545</v>
      </c>
      <c r="C2358" t="s">
        <v>61</v>
      </c>
      <c r="D2358" t="s">
        <v>23</v>
      </c>
      <c r="E2358">
        <v>29</v>
      </c>
      <c r="F2358" t="s">
        <v>422</v>
      </c>
      <c r="G2358" t="s">
        <v>88</v>
      </c>
      <c r="H2358" t="s">
        <v>5546</v>
      </c>
      <c r="I2358" s="1" t="d">
        <v>2017-10-08</v>
      </c>
      <c r="J2358" t="s">
        <v>791</v>
      </c>
      <c r="K2358" s="17" t="s">
        <v>207</v>
      </c>
      <c r="L2358">
        <v>4</v>
      </c>
    </row>
    <row r="2359" spans="1:12" x14ac:dyDescent="0.25">
      <c r="A2359" t="s">
        <v>5547</v>
      </c>
      <c r="B2359" t="s">
        <v>21</v>
      </c>
      <c r="C2359" t="s">
        <v>381</v>
      </c>
      <c r="D2359" t="s">
        <v>46</v>
      </c>
      <c r="E2359">
        <v>37</v>
      </c>
      <c r="F2359" t="s">
        <v>918</v>
      </c>
      <c r="G2359" t="s">
        <v>39</v>
      </c>
      <c r="H2359" s="2">
        <v>80336</v>
      </c>
      <c r="I2359" s="1" t="d">
        <v>2014-12-28</v>
      </c>
      <c r="J2359" t="s">
        <v>26</v>
      </c>
      <c r="K2359" s="17" t="s">
        <v>27</v>
      </c>
      <c r="L2359">
        <v>3</v>
      </c>
    </row>
    <row r="2360" spans="1:12" x14ac:dyDescent="0.25">
      <c r="A2360" t="s">
        <v>5548</v>
      </c>
      <c r="B2360" t="s">
        <v>394</v>
      </c>
      <c r="C2360" t="s">
        <v>361</v>
      </c>
      <c r="D2360" t="s">
        <v>9527</v>
      </c>
      <c r="E2360">
        <v>38</v>
      </c>
      <c r="F2360" t="s">
        <v>559</v>
      </c>
      <c r="G2360" t="s">
        <v>63</v>
      </c>
      <c r="H2360" t="s">
        <v>5549</v>
      </c>
      <c r="I2360" s="1" t="d">
        <v>2013-12-22</v>
      </c>
      <c r="J2360" t="s">
        <v>688</v>
      </c>
      <c r="K2360" s="17" t="s">
        <v>184</v>
      </c>
      <c r="L2360">
        <v>4</v>
      </c>
    </row>
    <row r="2361" spans="1:12" x14ac:dyDescent="0.25">
      <c r="A2361" t="s">
        <v>5550</v>
      </c>
      <c r="B2361" t="s">
        <v>2697</v>
      </c>
      <c r="C2361" t="s">
        <v>74</v>
      </c>
      <c r="D2361" t="s">
        <v>9527</v>
      </c>
      <c r="E2361">
        <v>47</v>
      </c>
      <c r="F2361" t="s">
        <v>4781</v>
      </c>
      <c r="G2361" t="s">
        <v>55</v>
      </c>
      <c r="H2361" t="s">
        <v>5551</v>
      </c>
      <c r="I2361" s="1" t="d">
        <v>2024-06-18</v>
      </c>
      <c r="J2361" t="s">
        <v>5552</v>
      </c>
      <c r="K2361" s="17" t="s">
        <v>370</v>
      </c>
      <c r="L2361">
        <v>4</v>
      </c>
    </row>
    <row r="2362" spans="1:12" x14ac:dyDescent="0.25">
      <c r="A2362" t="s">
        <v>5553</v>
      </c>
      <c r="B2362" t="s">
        <v>566</v>
      </c>
      <c r="C2362" t="s">
        <v>830</v>
      </c>
      <c r="D2362" t="s">
        <v>9527</v>
      </c>
      <c r="E2362">
        <v>36</v>
      </c>
      <c r="F2362" t="s">
        <v>54</v>
      </c>
      <c r="G2362" t="s">
        <v>191</v>
      </c>
      <c r="H2362" t="s">
        <v>5554</v>
      </c>
      <c r="I2362" s="1" t="d">
        <v>2007-09-13</v>
      </c>
      <c r="J2362" t="s">
        <v>5555</v>
      </c>
      <c r="K2362" s="17" t="s">
        <v>149</v>
      </c>
      <c r="L2362">
        <v>3</v>
      </c>
    </row>
    <row r="2363" spans="1:12" x14ac:dyDescent="0.25">
      <c r="A2363" t="s">
        <v>5556</v>
      </c>
      <c r="B2363" t="s">
        <v>340</v>
      </c>
      <c r="C2363" t="s">
        <v>790</v>
      </c>
      <c r="D2363" t="s">
        <v>23</v>
      </c>
      <c r="E2363">
        <v>26</v>
      </c>
      <c r="F2363" t="s">
        <v>3978</v>
      </c>
      <c r="G2363" t="s">
        <v>39</v>
      </c>
      <c r="H2363" t="s">
        <v>5557</v>
      </c>
      <c r="I2363" s="1" t="d">
        <v>2022-05-04</v>
      </c>
      <c r="J2363" t="s">
        <v>5558</v>
      </c>
      <c r="K2363" s="17" t="s">
        <v>100</v>
      </c>
      <c r="L2363">
        <v>3</v>
      </c>
    </row>
    <row r="2364" spans="1:12" x14ac:dyDescent="0.25">
      <c r="A2364" t="s">
        <v>5559</v>
      </c>
      <c r="B2364" t="s">
        <v>2061</v>
      </c>
      <c r="C2364" t="s">
        <v>3849</v>
      </c>
      <c r="D2364" t="s">
        <v>46</v>
      </c>
      <c r="E2364">
        <v>33</v>
      </c>
      <c r="F2364" t="s">
        <v>559</v>
      </c>
      <c r="G2364" t="s">
        <v>387</v>
      </c>
      <c r="I2364" s="1" t="d">
        <v>2017-04-05</v>
      </c>
      <c r="J2364" t="s">
        <v>2747</v>
      </c>
      <c r="K2364" s="17" t="s">
        <v>370</v>
      </c>
      <c r="L2364">
        <v>4</v>
      </c>
    </row>
    <row r="2365" spans="1:12" x14ac:dyDescent="0.25">
      <c r="A2365" t="s">
        <v>5560</v>
      </c>
      <c r="B2365" t="s">
        <v>3201</v>
      </c>
      <c r="C2365" t="s">
        <v>5561</v>
      </c>
      <c r="D2365" t="s">
        <v>9527</v>
      </c>
      <c r="E2365">
        <v>40</v>
      </c>
      <c r="F2365" t="s">
        <v>81</v>
      </c>
      <c r="G2365" t="s">
        <v>39</v>
      </c>
      <c r="H2365">
        <v>51127</v>
      </c>
      <c r="I2365" s="1" t="d">
        <v>2019-01-08</v>
      </c>
      <c r="J2365" t="s">
        <v>5562</v>
      </c>
      <c r="K2365" s="17" t="s">
        <v>370</v>
      </c>
      <c r="L2365">
        <v>3</v>
      </c>
    </row>
    <row r="2366" spans="1:12" x14ac:dyDescent="0.25">
      <c r="A2366" t="s">
        <v>5563</v>
      </c>
      <c r="B2366" t="s">
        <v>221</v>
      </c>
      <c r="C2366" t="s">
        <v>552</v>
      </c>
      <c r="D2366" t="s">
        <v>9527</v>
      </c>
      <c r="E2366">
        <v>51</v>
      </c>
      <c r="F2366" t="s">
        <v>859</v>
      </c>
      <c r="G2366" t="s">
        <v>205</v>
      </c>
      <c r="H2366">
        <v>70168</v>
      </c>
      <c r="I2366" s="1" t="d">
        <v>2019-11-01</v>
      </c>
      <c r="J2366" t="s">
        <v>3232</v>
      </c>
      <c r="K2366" s="17" t="s">
        <v>149</v>
      </c>
      <c r="L2366">
        <v>3</v>
      </c>
    </row>
    <row r="2367" spans="1:12" x14ac:dyDescent="0.25">
      <c r="A2367" t="s">
        <v>5564</v>
      </c>
      <c r="B2367" t="s">
        <v>1213</v>
      </c>
      <c r="C2367" t="s">
        <v>516</v>
      </c>
      <c r="D2367" t="s">
        <v>46</v>
      </c>
      <c r="E2367">
        <v>21</v>
      </c>
      <c r="G2367" t="s">
        <v>212</v>
      </c>
      <c r="H2367" t="s">
        <v>5565</v>
      </c>
      <c r="I2367" s="1" t="d">
        <v>2006-11-23</v>
      </c>
      <c r="J2367" t="s">
        <v>446</v>
      </c>
      <c r="K2367" s="17" t="s">
        <v>34</v>
      </c>
      <c r="L2367">
        <v>4</v>
      </c>
    </row>
    <row r="2368" spans="1:12" x14ac:dyDescent="0.25">
      <c r="A2368" t="s">
        <v>5566</v>
      </c>
      <c r="B2368" t="s">
        <v>29</v>
      </c>
      <c r="C2368" t="s">
        <v>763</v>
      </c>
      <c r="D2368" t="s">
        <v>9527</v>
      </c>
      <c r="E2368">
        <v>31</v>
      </c>
      <c r="F2368" t="s">
        <v>645</v>
      </c>
      <c r="G2368" t="s">
        <v>82</v>
      </c>
      <c r="I2368" s="1" t="d">
        <v>2014-06-18</v>
      </c>
      <c r="J2368" t="s">
        <v>4521</v>
      </c>
      <c r="K2368" s="17" t="s">
        <v>58</v>
      </c>
      <c r="L2368">
        <v>5</v>
      </c>
    </row>
    <row r="2369" spans="1:12" x14ac:dyDescent="0.25">
      <c r="A2369" t="s">
        <v>5357</v>
      </c>
      <c r="B2369" t="s">
        <v>5358</v>
      </c>
      <c r="C2369" t="s">
        <v>483</v>
      </c>
      <c r="D2369" t="s">
        <v>46</v>
      </c>
      <c r="E2369">
        <v>48</v>
      </c>
      <c r="G2369" t="s">
        <v>39</v>
      </c>
      <c r="H2369" t="s">
        <v>5359</v>
      </c>
      <c r="I2369" s="1" t="d">
        <v>2016-06-21</v>
      </c>
      <c r="J2369" t="s">
        <v>5360</v>
      </c>
      <c r="K2369" s="17" t="s">
        <v>50</v>
      </c>
      <c r="L2369">
        <v>3</v>
      </c>
    </row>
    <row r="2370" spans="1:12" x14ac:dyDescent="0.25">
      <c r="A2370" t="s">
        <v>5567</v>
      </c>
      <c r="B2370" t="s">
        <v>3135</v>
      </c>
      <c r="C2370" t="s">
        <v>1442</v>
      </c>
      <c r="D2370" t="s">
        <v>9527</v>
      </c>
      <c r="E2370">
        <v>21</v>
      </c>
      <c r="F2370" t="s">
        <v>576</v>
      </c>
      <c r="G2370" t="s">
        <v>82</v>
      </c>
      <c r="H2370" t="s">
        <v>5568</v>
      </c>
      <c r="I2370" s="1" t="d">
        <v>2023-05-03</v>
      </c>
      <c r="J2370" t="s">
        <v>4070</v>
      </c>
      <c r="K2370" s="17" t="s">
        <v>184</v>
      </c>
      <c r="L2370">
        <v>4</v>
      </c>
    </row>
    <row r="2371" spans="1:12" x14ac:dyDescent="0.25">
      <c r="A2371" t="s">
        <v>5569</v>
      </c>
      <c r="B2371" t="s">
        <v>906</v>
      </c>
      <c r="C2371" t="s">
        <v>291</v>
      </c>
      <c r="D2371" t="s">
        <v>46</v>
      </c>
      <c r="E2371">
        <v>58</v>
      </c>
      <c r="F2371" t="s">
        <v>114</v>
      </c>
      <c r="G2371" t="s">
        <v>39</v>
      </c>
      <c r="H2371">
        <v>92068</v>
      </c>
      <c r="I2371" s="1" t="d">
        <v>2013-01-21</v>
      </c>
      <c r="J2371" t="s">
        <v>2073</v>
      </c>
      <c r="K2371" s="17" t="s">
        <v>118</v>
      </c>
      <c r="L2371">
        <v>3</v>
      </c>
    </row>
    <row r="2372" spans="1:12" x14ac:dyDescent="0.25">
      <c r="A2372" t="s">
        <v>5570</v>
      </c>
      <c r="B2372" t="s">
        <v>566</v>
      </c>
      <c r="C2372" t="s">
        <v>599</v>
      </c>
      <c r="D2372" t="s">
        <v>9527</v>
      </c>
      <c r="E2372">
        <v>42</v>
      </c>
      <c r="F2372" t="s">
        <v>190</v>
      </c>
      <c r="G2372" t="s">
        <v>69</v>
      </c>
      <c r="H2372" s="2">
        <v>59767</v>
      </c>
      <c r="I2372" s="1" t="d">
        <v>2023-04-27</v>
      </c>
      <c r="J2372" t="s">
        <v>678</v>
      </c>
      <c r="K2372" s="17" t="s">
        <v>149</v>
      </c>
      <c r="L2372">
        <v>3</v>
      </c>
    </row>
    <row r="2373" spans="1:12" x14ac:dyDescent="0.25">
      <c r="A2373" t="s">
        <v>5571</v>
      </c>
      <c r="B2373" t="s">
        <v>1051</v>
      </c>
      <c r="C2373" t="s">
        <v>2292</v>
      </c>
      <c r="D2373" t="s">
        <v>23</v>
      </c>
      <c r="E2373">
        <v>49</v>
      </c>
      <c r="F2373" t="s">
        <v>15</v>
      </c>
      <c r="G2373" t="s">
        <v>170</v>
      </c>
      <c r="I2373" s="1" t="d">
        <v>2008-04-15</v>
      </c>
      <c r="J2373" t="s">
        <v>5396</v>
      </c>
      <c r="K2373" s="17" t="s">
        <v>27</v>
      </c>
      <c r="L2373">
        <v>3</v>
      </c>
    </row>
    <row r="2374" spans="1:12" x14ac:dyDescent="0.25">
      <c r="A2374" t="s">
        <v>5572</v>
      </c>
      <c r="B2374" t="s">
        <v>2222</v>
      </c>
      <c r="C2374" t="s">
        <v>121</v>
      </c>
      <c r="D2374" t="s">
        <v>23</v>
      </c>
      <c r="E2374">
        <v>40</v>
      </c>
      <c r="F2374" t="s">
        <v>399</v>
      </c>
      <c r="G2374" t="s">
        <v>39</v>
      </c>
      <c r="H2374" s="2">
        <v>54987</v>
      </c>
      <c r="I2374" s="1" t="d">
        <v>2009-10-29</v>
      </c>
      <c r="J2374" t="s">
        <v>4697</v>
      </c>
      <c r="K2374" s="17" t="s">
        <v>184</v>
      </c>
      <c r="L2374">
        <v>3</v>
      </c>
    </row>
    <row r="2375" spans="1:12" x14ac:dyDescent="0.25">
      <c r="A2375" t="s">
        <v>5573</v>
      </c>
      <c r="B2375" t="s">
        <v>355</v>
      </c>
      <c r="C2375" t="s">
        <v>3820</v>
      </c>
      <c r="D2375" t="s">
        <v>23</v>
      </c>
      <c r="E2375">
        <v>31</v>
      </c>
      <c r="F2375" t="s">
        <v>122</v>
      </c>
      <c r="G2375" t="s">
        <v>217</v>
      </c>
      <c r="H2375" t="s">
        <v>5574</v>
      </c>
      <c r="J2375" t="s">
        <v>5575</v>
      </c>
      <c r="K2375" s="17" t="s">
        <v>71</v>
      </c>
      <c r="L2375">
        <v>2</v>
      </c>
    </row>
    <row r="2376" spans="1:12" x14ac:dyDescent="0.25">
      <c r="A2376" t="s">
        <v>5576</v>
      </c>
      <c r="B2376" t="s">
        <v>376</v>
      </c>
      <c r="C2376" t="s">
        <v>618</v>
      </c>
      <c r="D2376" t="s">
        <v>9527</v>
      </c>
      <c r="E2376">
        <v>41</v>
      </c>
      <c r="F2376" t="s">
        <v>422</v>
      </c>
      <c r="G2376" t="s">
        <v>69</v>
      </c>
      <c r="I2376" s="1" t="d">
        <v>2012-01-23</v>
      </c>
      <c r="J2376" t="s">
        <v>564</v>
      </c>
      <c r="K2376" s="17" t="s">
        <v>118</v>
      </c>
      <c r="L2376">
        <v>4</v>
      </c>
    </row>
    <row r="2377" spans="1:12" x14ac:dyDescent="0.25">
      <c r="A2377" t="s">
        <v>5577</v>
      </c>
      <c r="B2377" t="s">
        <v>571</v>
      </c>
      <c r="C2377" t="s">
        <v>37</v>
      </c>
      <c r="D2377" t="s">
        <v>23</v>
      </c>
      <c r="E2377">
        <v>49</v>
      </c>
      <c r="F2377" t="s">
        <v>411</v>
      </c>
      <c r="G2377" t="s">
        <v>1277</v>
      </c>
      <c r="H2377" t="s">
        <v>5578</v>
      </c>
      <c r="I2377" s="1" t="d">
        <v>2005-02-22</v>
      </c>
      <c r="J2377" t="s">
        <v>802</v>
      </c>
      <c r="K2377" s="17" t="s">
        <v>207</v>
      </c>
      <c r="L2377">
        <v>1</v>
      </c>
    </row>
    <row r="2378" spans="1:12" x14ac:dyDescent="0.25">
      <c r="A2378" t="s">
        <v>5579</v>
      </c>
      <c r="B2378" t="s">
        <v>664</v>
      </c>
      <c r="C2378" t="s">
        <v>827</v>
      </c>
      <c r="D2378" t="s">
        <v>9527</v>
      </c>
      <c r="E2378">
        <v>45</v>
      </c>
      <c r="F2378" t="s">
        <v>522</v>
      </c>
      <c r="G2378" t="s">
        <v>907</v>
      </c>
      <c r="H2378" t="s">
        <v>5580</v>
      </c>
      <c r="I2378" s="1" t="d">
        <v>2009-04-07</v>
      </c>
      <c r="J2378" t="s">
        <v>4278</v>
      </c>
      <c r="K2378" s="17" t="s">
        <v>50</v>
      </c>
      <c r="L2378">
        <v>2</v>
      </c>
    </row>
    <row r="2379" spans="1:12" x14ac:dyDescent="0.25">
      <c r="A2379" t="s">
        <v>5581</v>
      </c>
      <c r="B2379" t="s">
        <v>5127</v>
      </c>
      <c r="C2379" t="s">
        <v>3781</v>
      </c>
      <c r="D2379" t="s">
        <v>9527</v>
      </c>
      <c r="E2379">
        <v>37</v>
      </c>
      <c r="F2379" t="s">
        <v>200</v>
      </c>
      <c r="G2379" t="s">
        <v>177</v>
      </c>
      <c r="H2379">
        <v>82329</v>
      </c>
      <c r="I2379" s="1" t="d">
        <v>2023-05-04</v>
      </c>
      <c r="J2379" t="s">
        <v>3491</v>
      </c>
      <c r="K2379" s="17" t="s">
        <v>184</v>
      </c>
      <c r="L2379">
        <v>4</v>
      </c>
    </row>
    <row r="2380" spans="1:12" x14ac:dyDescent="0.25">
      <c r="A2380" t="s">
        <v>5582</v>
      </c>
      <c r="B2380" t="s">
        <v>112</v>
      </c>
      <c r="C2380" t="s">
        <v>2531</v>
      </c>
      <c r="D2380" t="s">
        <v>9527</v>
      </c>
      <c r="E2380">
        <v>40</v>
      </c>
      <c r="F2380" t="s">
        <v>253</v>
      </c>
      <c r="G2380" t="s">
        <v>82</v>
      </c>
      <c r="H2380" t="s">
        <v>5583</v>
      </c>
      <c r="I2380" s="1" t="d">
        <v>2007-03-19</v>
      </c>
      <c r="J2380" t="s">
        <v>537</v>
      </c>
      <c r="K2380" s="17" t="s">
        <v>90</v>
      </c>
      <c r="L2380">
        <v>2</v>
      </c>
    </row>
    <row r="2381" spans="1:12" x14ac:dyDescent="0.25">
      <c r="A2381" t="s">
        <v>5584</v>
      </c>
      <c r="B2381" t="s">
        <v>139</v>
      </c>
      <c r="C2381" t="s">
        <v>555</v>
      </c>
      <c r="D2381" t="s">
        <v>23</v>
      </c>
      <c r="E2381">
        <v>32</v>
      </c>
      <c r="F2381" t="s">
        <v>978</v>
      </c>
      <c r="G2381" t="s">
        <v>177</v>
      </c>
      <c r="H2381">
        <v>79150</v>
      </c>
      <c r="I2381" s="1" t="d">
        <v>2006-04-17</v>
      </c>
      <c r="J2381" t="s">
        <v>1261</v>
      </c>
      <c r="K2381" s="17" t="s">
        <v>50</v>
      </c>
      <c r="L2381">
        <v>3</v>
      </c>
    </row>
    <row r="2382" spans="1:12" x14ac:dyDescent="0.25">
      <c r="A2382" t="s">
        <v>5585</v>
      </c>
      <c r="B2382" t="s">
        <v>1002</v>
      </c>
      <c r="C2382" t="s">
        <v>516</v>
      </c>
      <c r="D2382" t="s">
        <v>23</v>
      </c>
      <c r="E2382">
        <v>51</v>
      </c>
      <c r="F2382" t="s">
        <v>196</v>
      </c>
      <c r="G2382" t="s">
        <v>526</v>
      </c>
      <c r="H2382" t="s">
        <v>5586</v>
      </c>
      <c r="I2382" s="1" t="d">
        <v>2024-11-13</v>
      </c>
      <c r="J2382" t="s">
        <v>289</v>
      </c>
      <c r="K2382" s="17" t="s">
        <v>58</v>
      </c>
      <c r="L2382">
        <v>3</v>
      </c>
    </row>
    <row r="2383" spans="1:12" x14ac:dyDescent="0.25">
      <c r="A2383" t="s">
        <v>5587</v>
      </c>
      <c r="B2383" t="s">
        <v>112</v>
      </c>
      <c r="C2383" t="s">
        <v>710</v>
      </c>
      <c r="D2383" t="s">
        <v>9527</v>
      </c>
      <c r="E2383">
        <v>34</v>
      </c>
      <c r="F2383" t="s">
        <v>68</v>
      </c>
      <c r="G2383" t="s">
        <v>526</v>
      </c>
      <c r="H2383" t="s">
        <v>5588</v>
      </c>
      <c r="I2383" s="1" t="d">
        <v>2009-06-26</v>
      </c>
      <c r="J2383" t="s">
        <v>5589</v>
      </c>
      <c r="K2383" s="17" t="s">
        <v>71</v>
      </c>
      <c r="L2383">
        <v>3</v>
      </c>
    </row>
    <row r="2384" spans="1:12" x14ac:dyDescent="0.25">
      <c r="A2384" t="s">
        <v>5590</v>
      </c>
      <c r="B2384" t="s">
        <v>1181</v>
      </c>
      <c r="C2384" t="s">
        <v>318</v>
      </c>
      <c r="D2384" t="s">
        <v>23</v>
      </c>
      <c r="E2384">
        <v>34</v>
      </c>
      <c r="F2384" t="s">
        <v>245</v>
      </c>
      <c r="G2384" t="s">
        <v>205</v>
      </c>
      <c r="H2384" t="s">
        <v>5591</v>
      </c>
      <c r="I2384" s="1" t="d">
        <v>2008-09-21</v>
      </c>
      <c r="J2384" t="s">
        <v>5592</v>
      </c>
      <c r="K2384" s="17" t="s">
        <v>34</v>
      </c>
      <c r="L2384">
        <v>4</v>
      </c>
    </row>
    <row r="2385" spans="1:12" x14ac:dyDescent="0.25">
      <c r="A2385" t="s">
        <v>5593</v>
      </c>
      <c r="B2385" t="s">
        <v>728</v>
      </c>
      <c r="C2385" t="s">
        <v>1320</v>
      </c>
      <c r="D2385" t="s">
        <v>46</v>
      </c>
      <c r="E2385">
        <v>21</v>
      </c>
      <c r="F2385" t="s">
        <v>411</v>
      </c>
      <c r="G2385" t="s">
        <v>95</v>
      </c>
      <c r="H2385" s="2">
        <v>47776</v>
      </c>
      <c r="I2385" s="1" t="d">
        <v>2021-08-24</v>
      </c>
      <c r="J2385" t="s">
        <v>5594</v>
      </c>
      <c r="K2385" s="17" t="s">
        <v>149</v>
      </c>
      <c r="L2385">
        <v>4</v>
      </c>
    </row>
    <row r="2386" spans="1:12" x14ac:dyDescent="0.25">
      <c r="A2386" t="s">
        <v>5595</v>
      </c>
      <c r="B2386" t="s">
        <v>5596</v>
      </c>
      <c r="C2386" t="s">
        <v>1030</v>
      </c>
      <c r="D2386" t="s">
        <v>23</v>
      </c>
      <c r="E2386">
        <v>39</v>
      </c>
      <c r="F2386" t="s">
        <v>15</v>
      </c>
      <c r="G2386" t="s">
        <v>82</v>
      </c>
      <c r="H2386" s="2">
        <v>92486</v>
      </c>
      <c r="I2386" s="1" t="d">
        <v>2023-09-02</v>
      </c>
      <c r="J2386" t="s">
        <v>5597</v>
      </c>
      <c r="K2386" s="17" t="s">
        <v>19</v>
      </c>
      <c r="L2386">
        <v>5</v>
      </c>
    </row>
    <row r="2387" spans="1:12" x14ac:dyDescent="0.25">
      <c r="A2387" t="s">
        <v>5598</v>
      </c>
      <c r="B2387" t="s">
        <v>841</v>
      </c>
      <c r="C2387" t="s">
        <v>427</v>
      </c>
      <c r="D2387" t="s">
        <v>9527</v>
      </c>
      <c r="E2387">
        <v>54</v>
      </c>
      <c r="F2387" t="s">
        <v>5599</v>
      </c>
      <c r="G2387" t="s">
        <v>212</v>
      </c>
      <c r="I2387" s="1" t="d">
        <v>2005-05-07</v>
      </c>
      <c r="J2387" t="s">
        <v>5600</v>
      </c>
      <c r="K2387" s="17" t="s">
        <v>50</v>
      </c>
      <c r="L2387">
        <v>3</v>
      </c>
    </row>
    <row r="2388" spans="1:12" x14ac:dyDescent="0.25">
      <c r="A2388" t="s">
        <v>5601</v>
      </c>
      <c r="B2388" t="s">
        <v>21</v>
      </c>
      <c r="C2388" t="s">
        <v>252</v>
      </c>
      <c r="D2388" t="s">
        <v>23</v>
      </c>
      <c r="E2388">
        <v>40</v>
      </c>
      <c r="F2388" t="s">
        <v>296</v>
      </c>
      <c r="G2388" t="s">
        <v>115</v>
      </c>
      <c r="H2388" s="2">
        <v>77442</v>
      </c>
      <c r="I2388" s="1" t="d">
        <v>2005-11-28</v>
      </c>
      <c r="J2388" t="s">
        <v>619</v>
      </c>
      <c r="K2388" s="17" t="s">
        <v>184</v>
      </c>
      <c r="L2388">
        <v>3</v>
      </c>
    </row>
    <row r="2389" spans="1:12" x14ac:dyDescent="0.25">
      <c r="A2389" t="s">
        <v>5602</v>
      </c>
      <c r="B2389" t="s">
        <v>718</v>
      </c>
      <c r="C2389" t="s">
        <v>4655</v>
      </c>
      <c r="D2389" t="s">
        <v>46</v>
      </c>
      <c r="E2389">
        <v>30</v>
      </c>
      <c r="F2389" t="s">
        <v>1716</v>
      </c>
      <c r="G2389" t="s">
        <v>1329</v>
      </c>
      <c r="H2389" t="s">
        <v>5603</v>
      </c>
      <c r="I2389" s="1" t="d">
        <v>2019-11-06</v>
      </c>
      <c r="J2389" t="s">
        <v>4270</v>
      </c>
      <c r="K2389" s="17" t="s">
        <v>207</v>
      </c>
      <c r="L2389">
        <v>3</v>
      </c>
    </row>
    <row r="2390" spans="1:12" x14ac:dyDescent="0.25">
      <c r="A2390" t="s">
        <v>5604</v>
      </c>
      <c r="B2390" t="s">
        <v>652</v>
      </c>
      <c r="C2390" t="s">
        <v>766</v>
      </c>
      <c r="D2390" t="s">
        <v>46</v>
      </c>
      <c r="E2390">
        <v>45</v>
      </c>
      <c r="F2390" t="s">
        <v>47</v>
      </c>
      <c r="G2390" t="s">
        <v>212</v>
      </c>
      <c r="H2390" s="2">
        <v>56267</v>
      </c>
      <c r="J2390" t="s">
        <v>2725</v>
      </c>
      <c r="K2390" s="17" t="s">
        <v>34</v>
      </c>
      <c r="L2390">
        <v>1</v>
      </c>
    </row>
    <row r="2391" spans="1:12" x14ac:dyDescent="0.25">
      <c r="A2391" t="s">
        <v>5605</v>
      </c>
      <c r="B2391" t="s">
        <v>5606</v>
      </c>
      <c r="C2391" t="s">
        <v>1881</v>
      </c>
      <c r="D2391" t="s">
        <v>46</v>
      </c>
      <c r="E2391">
        <v>36</v>
      </c>
      <c r="F2391" t="s">
        <v>417</v>
      </c>
      <c r="G2391" t="s">
        <v>39</v>
      </c>
      <c r="H2391" s="2">
        <v>51280</v>
      </c>
      <c r="I2391" s="1" t="d">
        <v>2005-07-27</v>
      </c>
      <c r="J2391" t="s">
        <v>2766</v>
      </c>
      <c r="K2391" s="17" t="s">
        <v>58</v>
      </c>
      <c r="L2391">
        <v>4</v>
      </c>
    </row>
    <row r="2392" spans="1:12" x14ac:dyDescent="0.25">
      <c r="A2392" t="s">
        <v>5607</v>
      </c>
      <c r="B2392" t="s">
        <v>2491</v>
      </c>
      <c r="C2392" t="s">
        <v>140</v>
      </c>
      <c r="D2392" t="s">
        <v>46</v>
      </c>
      <c r="E2392">
        <v>26</v>
      </c>
      <c r="F2392" t="s">
        <v>1590</v>
      </c>
      <c r="G2392" t="s">
        <v>82</v>
      </c>
      <c r="H2392" t="s">
        <v>5608</v>
      </c>
      <c r="I2392" s="1" t="d">
        <v>2018-08-09</v>
      </c>
      <c r="J2392" t="s">
        <v>1289</v>
      </c>
      <c r="K2392" s="17" t="s">
        <v>42</v>
      </c>
      <c r="L2392">
        <v>4</v>
      </c>
    </row>
    <row r="2393" spans="1:12" x14ac:dyDescent="0.25">
      <c r="A2393" t="s">
        <v>3930</v>
      </c>
      <c r="B2393" t="s">
        <v>37</v>
      </c>
      <c r="C2393" t="s">
        <v>295</v>
      </c>
      <c r="D2393" t="s">
        <v>23</v>
      </c>
      <c r="E2393">
        <v>40</v>
      </c>
      <c r="G2393" t="s">
        <v>1645</v>
      </c>
      <c r="H2393" s="2">
        <v>35006</v>
      </c>
      <c r="I2393" s="1" t="d">
        <v>2024-04-30</v>
      </c>
      <c r="J2393" t="s">
        <v>505</v>
      </c>
      <c r="K2393" s="17" t="s">
        <v>34</v>
      </c>
      <c r="L2393">
        <v>4</v>
      </c>
    </row>
    <row r="2394" spans="1:12" x14ac:dyDescent="0.25">
      <c r="A2394" t="s">
        <v>5609</v>
      </c>
      <c r="B2394" t="s">
        <v>1086</v>
      </c>
      <c r="C2394" t="s">
        <v>624</v>
      </c>
      <c r="D2394" t="s">
        <v>23</v>
      </c>
      <c r="E2394">
        <v>66</v>
      </c>
      <c r="F2394" t="s">
        <v>406</v>
      </c>
      <c r="G2394" t="s">
        <v>39</v>
      </c>
      <c r="H2394" t="s">
        <v>5610</v>
      </c>
      <c r="I2394" s="1" t="d">
        <v>2009-06-22</v>
      </c>
      <c r="J2394" t="s">
        <v>5611</v>
      </c>
      <c r="K2394" s="17" t="s">
        <v>42</v>
      </c>
      <c r="L2394">
        <v>3</v>
      </c>
    </row>
    <row r="2395" spans="1:12" x14ac:dyDescent="0.25">
      <c r="A2395" t="s">
        <v>5612</v>
      </c>
      <c r="B2395" t="s">
        <v>2706</v>
      </c>
      <c r="C2395" t="s">
        <v>665</v>
      </c>
      <c r="D2395" t="s">
        <v>46</v>
      </c>
      <c r="E2395">
        <v>36</v>
      </c>
      <c r="F2395" t="s">
        <v>787</v>
      </c>
      <c r="G2395" t="s">
        <v>55</v>
      </c>
      <c r="H2395">
        <v>98724</v>
      </c>
      <c r="J2395" t="s">
        <v>1485</v>
      </c>
      <c r="K2395" s="17" t="s">
        <v>184</v>
      </c>
      <c r="L2395">
        <v>1</v>
      </c>
    </row>
    <row r="2396" spans="1:12" x14ac:dyDescent="0.25">
      <c r="A2396" t="s">
        <v>5613</v>
      </c>
      <c r="B2396" t="s">
        <v>1997</v>
      </c>
      <c r="C2396" t="s">
        <v>145</v>
      </c>
      <c r="D2396" t="s">
        <v>46</v>
      </c>
      <c r="E2396">
        <v>49</v>
      </c>
      <c r="F2396" t="s">
        <v>62</v>
      </c>
      <c r="G2396" t="s">
        <v>1215</v>
      </c>
      <c r="H2396" t="s">
        <v>5614</v>
      </c>
      <c r="I2396" s="1" t="d">
        <v>2005-05-18</v>
      </c>
      <c r="J2396" t="s">
        <v>1938</v>
      </c>
      <c r="K2396" s="17" t="s">
        <v>184</v>
      </c>
      <c r="L2396">
        <v>4</v>
      </c>
    </row>
    <row r="2397" spans="1:12" x14ac:dyDescent="0.25">
      <c r="A2397" t="s">
        <v>5615</v>
      </c>
      <c r="B2397" t="s">
        <v>251</v>
      </c>
      <c r="C2397" t="s">
        <v>1384</v>
      </c>
      <c r="D2397" t="s">
        <v>23</v>
      </c>
      <c r="E2397">
        <v>33</v>
      </c>
      <c r="F2397" t="s">
        <v>649</v>
      </c>
      <c r="G2397" t="s">
        <v>177</v>
      </c>
      <c r="H2397" t="s">
        <v>5616</v>
      </c>
      <c r="I2397" s="1" t="d">
        <v>2005-08-12</v>
      </c>
      <c r="J2397" t="s">
        <v>5617</v>
      </c>
      <c r="K2397" s="17" t="s">
        <v>207</v>
      </c>
      <c r="L2397">
        <v>3</v>
      </c>
    </row>
    <row r="2398" spans="1:12" x14ac:dyDescent="0.25">
      <c r="A2398" t="s">
        <v>5618</v>
      </c>
      <c r="B2398" t="s">
        <v>3609</v>
      </c>
      <c r="C2398" t="s">
        <v>5619</v>
      </c>
      <c r="D2398" t="s">
        <v>23</v>
      </c>
      <c r="E2398">
        <v>43</v>
      </c>
      <c r="F2398" t="s">
        <v>196</v>
      </c>
      <c r="G2398" t="s">
        <v>69</v>
      </c>
      <c r="H2398" t="s">
        <v>5620</v>
      </c>
      <c r="I2398" s="1" t="d">
        <v>2010-09-28</v>
      </c>
      <c r="J2398" t="s">
        <v>5290</v>
      </c>
      <c r="K2398" s="17" t="s">
        <v>42</v>
      </c>
      <c r="L2398">
        <v>4</v>
      </c>
    </row>
    <row r="2399" spans="1:12" x14ac:dyDescent="0.25">
      <c r="A2399" t="s">
        <v>3977</v>
      </c>
      <c r="B2399" t="s">
        <v>3652</v>
      </c>
      <c r="C2399" t="s">
        <v>966</v>
      </c>
      <c r="D2399" t="s">
        <v>9527</v>
      </c>
      <c r="E2399">
        <v>38</v>
      </c>
      <c r="F2399" t="s">
        <v>3978</v>
      </c>
      <c r="G2399" t="s">
        <v>205</v>
      </c>
      <c r="I2399" s="1" t="d">
        <v>2013-05-25</v>
      </c>
      <c r="J2399" t="s">
        <v>3979</v>
      </c>
      <c r="K2399" s="17" t="s">
        <v>207</v>
      </c>
      <c r="L2399">
        <v>4</v>
      </c>
    </row>
    <row r="2400" spans="1:12" x14ac:dyDescent="0.25">
      <c r="A2400" t="s">
        <v>5621</v>
      </c>
      <c r="B2400" t="s">
        <v>630</v>
      </c>
      <c r="C2400" t="s">
        <v>215</v>
      </c>
      <c r="D2400" t="s">
        <v>23</v>
      </c>
      <c r="E2400">
        <v>36</v>
      </c>
      <c r="F2400" t="s">
        <v>200</v>
      </c>
      <c r="G2400" t="s">
        <v>69</v>
      </c>
      <c r="I2400" s="1" t="d">
        <v>2017-02-20</v>
      </c>
      <c r="J2400" t="s">
        <v>3677</v>
      </c>
      <c r="K2400" s="17" t="s">
        <v>27</v>
      </c>
      <c r="L2400">
        <v>4</v>
      </c>
    </row>
    <row r="2401" spans="1:12" x14ac:dyDescent="0.25">
      <c r="A2401" t="s">
        <v>5622</v>
      </c>
      <c r="B2401" t="s">
        <v>804</v>
      </c>
      <c r="C2401" t="s">
        <v>758</v>
      </c>
      <c r="D2401" t="s">
        <v>23</v>
      </c>
      <c r="E2401">
        <v>25</v>
      </c>
      <c r="F2401" t="s">
        <v>3280</v>
      </c>
      <c r="G2401" t="s">
        <v>147</v>
      </c>
      <c r="H2401" t="s">
        <v>5623</v>
      </c>
      <c r="I2401" s="1" t="d">
        <v>2011-11-05</v>
      </c>
      <c r="J2401" t="s">
        <v>2206</v>
      </c>
      <c r="K2401" s="17" t="s">
        <v>370</v>
      </c>
      <c r="L2401">
        <v>2</v>
      </c>
    </row>
    <row r="2402" spans="1:12" x14ac:dyDescent="0.25">
      <c r="A2402" t="s">
        <v>5624</v>
      </c>
      <c r="B2402" t="s">
        <v>439</v>
      </c>
      <c r="C2402" t="s">
        <v>4565</v>
      </c>
      <c r="D2402" t="s">
        <v>23</v>
      </c>
      <c r="E2402">
        <v>35</v>
      </c>
      <c r="F2402" t="s">
        <v>406</v>
      </c>
      <c r="G2402" t="s">
        <v>48</v>
      </c>
      <c r="I2402" s="1" t="d">
        <v>2013-08-25</v>
      </c>
      <c r="J2402" t="s">
        <v>4427</v>
      </c>
      <c r="K2402" s="17" t="s">
        <v>100</v>
      </c>
      <c r="L2402">
        <v>4</v>
      </c>
    </row>
    <row r="2403" spans="1:12" x14ac:dyDescent="0.25">
      <c r="A2403" t="s">
        <v>5625</v>
      </c>
      <c r="B2403" t="s">
        <v>2697</v>
      </c>
      <c r="C2403" t="s">
        <v>204</v>
      </c>
      <c r="D2403" t="s">
        <v>46</v>
      </c>
      <c r="E2403">
        <v>32</v>
      </c>
      <c r="F2403" t="s">
        <v>186</v>
      </c>
      <c r="G2403" t="s">
        <v>996</v>
      </c>
      <c r="I2403" s="1" t="d">
        <v>2024-03-08</v>
      </c>
      <c r="J2403" t="s">
        <v>5626</v>
      </c>
      <c r="K2403" s="17" t="s">
        <v>118</v>
      </c>
      <c r="L2403">
        <v>2</v>
      </c>
    </row>
    <row r="2404" spans="1:12" x14ac:dyDescent="0.25">
      <c r="A2404" t="s">
        <v>5627</v>
      </c>
      <c r="B2404" t="s">
        <v>1002</v>
      </c>
      <c r="C2404" t="s">
        <v>474</v>
      </c>
      <c r="D2404" t="s">
        <v>46</v>
      </c>
      <c r="E2404">
        <v>44</v>
      </c>
      <c r="F2404" t="s">
        <v>47</v>
      </c>
      <c r="G2404" t="s">
        <v>526</v>
      </c>
      <c r="H2404" t="s">
        <v>5628</v>
      </c>
      <c r="I2404" s="1" t="d">
        <v>2015-03-15</v>
      </c>
      <c r="J2404" t="s">
        <v>475</v>
      </c>
      <c r="K2404" s="17" t="s">
        <v>184</v>
      </c>
      <c r="L2404">
        <v>4</v>
      </c>
    </row>
    <row r="2405" spans="1:12" x14ac:dyDescent="0.25">
      <c r="A2405" t="s">
        <v>5629</v>
      </c>
      <c r="B2405" t="s">
        <v>5630</v>
      </c>
      <c r="C2405" t="s">
        <v>555</v>
      </c>
      <c r="D2405" t="s">
        <v>23</v>
      </c>
      <c r="E2405">
        <v>39</v>
      </c>
      <c r="F2405" t="s">
        <v>24</v>
      </c>
      <c r="G2405" t="s">
        <v>82</v>
      </c>
      <c r="I2405" s="1" t="d">
        <v>2019-11-19</v>
      </c>
      <c r="J2405" t="s">
        <v>1185</v>
      </c>
      <c r="K2405" s="17" t="s">
        <v>370</v>
      </c>
      <c r="L2405">
        <v>4</v>
      </c>
    </row>
    <row r="2406" spans="1:12" x14ac:dyDescent="0.25">
      <c r="A2406" t="s">
        <v>5631</v>
      </c>
      <c r="B2406" t="s">
        <v>199</v>
      </c>
      <c r="C2406" t="s">
        <v>5632</v>
      </c>
      <c r="D2406" t="s">
        <v>23</v>
      </c>
      <c r="E2406">
        <v>47</v>
      </c>
      <c r="F2406" t="s">
        <v>15</v>
      </c>
      <c r="G2406" t="s">
        <v>115</v>
      </c>
      <c r="H2406" t="s">
        <v>5633</v>
      </c>
      <c r="I2406" s="1" t="d">
        <v>2024-04-10</v>
      </c>
      <c r="J2406" t="s">
        <v>1741</v>
      </c>
      <c r="K2406" s="17" t="s">
        <v>50</v>
      </c>
      <c r="L2406">
        <v>2</v>
      </c>
    </row>
    <row r="2407" spans="1:12" x14ac:dyDescent="0.25">
      <c r="A2407" t="s">
        <v>5634</v>
      </c>
      <c r="B2407" t="s">
        <v>2697</v>
      </c>
      <c r="C2407" t="s">
        <v>2231</v>
      </c>
      <c r="D2407" t="s">
        <v>46</v>
      </c>
      <c r="E2407">
        <v>21</v>
      </c>
      <c r="F2407" t="s">
        <v>264</v>
      </c>
      <c r="G2407" t="s">
        <v>205</v>
      </c>
      <c r="H2407" t="s">
        <v>5635</v>
      </c>
      <c r="I2407" s="1" t="d">
        <v>2014-01-02</v>
      </c>
      <c r="J2407" t="s">
        <v>1852</v>
      </c>
      <c r="K2407" s="17" t="s">
        <v>149</v>
      </c>
      <c r="L2407">
        <v>4</v>
      </c>
    </row>
    <row r="2408" spans="1:12" x14ac:dyDescent="0.25">
      <c r="A2408" t="s">
        <v>5636</v>
      </c>
      <c r="B2408" t="s">
        <v>5637</v>
      </c>
      <c r="C2408" t="s">
        <v>970</v>
      </c>
      <c r="D2408" t="s">
        <v>46</v>
      </c>
      <c r="E2408">
        <v>48</v>
      </c>
      <c r="G2408" t="s">
        <v>458</v>
      </c>
      <c r="H2408" s="2">
        <v>42330</v>
      </c>
      <c r="I2408" s="1" t="d">
        <v>2006-05-11</v>
      </c>
      <c r="J2408" t="s">
        <v>4253</v>
      </c>
      <c r="K2408" s="17" t="s">
        <v>100</v>
      </c>
      <c r="L2408">
        <v>4</v>
      </c>
    </row>
    <row r="2409" spans="1:12" x14ac:dyDescent="0.25">
      <c r="A2409" t="s">
        <v>5638</v>
      </c>
      <c r="B2409" t="s">
        <v>571</v>
      </c>
      <c r="C2409" t="s">
        <v>295</v>
      </c>
      <c r="D2409" t="s">
        <v>46</v>
      </c>
      <c r="E2409">
        <v>39</v>
      </c>
      <c r="F2409" t="s">
        <v>253</v>
      </c>
      <c r="G2409" t="s">
        <v>205</v>
      </c>
      <c r="H2409" t="s">
        <v>5639</v>
      </c>
      <c r="I2409" s="1" t="d">
        <v>2015-12-15</v>
      </c>
      <c r="J2409" t="s">
        <v>2366</v>
      </c>
      <c r="K2409" s="17" t="s">
        <v>100</v>
      </c>
      <c r="L2409">
        <v>4</v>
      </c>
    </row>
    <row r="2410" spans="1:12" x14ac:dyDescent="0.25">
      <c r="A2410" t="s">
        <v>5640</v>
      </c>
      <c r="B2410" t="s">
        <v>1086</v>
      </c>
      <c r="C2410" t="s">
        <v>483</v>
      </c>
      <c r="D2410" t="s">
        <v>46</v>
      </c>
      <c r="E2410">
        <v>35</v>
      </c>
      <c r="F2410" t="s">
        <v>365</v>
      </c>
      <c r="G2410" t="s">
        <v>3277</v>
      </c>
      <c r="H2410" t="s">
        <v>5641</v>
      </c>
      <c r="I2410" s="1" t="d">
        <v>2016-12-06</v>
      </c>
      <c r="J2410" t="s">
        <v>2162</v>
      </c>
      <c r="K2410" s="17" t="s">
        <v>90</v>
      </c>
      <c r="L2410">
        <v>4</v>
      </c>
    </row>
    <row r="2411" spans="1:12" x14ac:dyDescent="0.25">
      <c r="A2411" t="s">
        <v>5344</v>
      </c>
      <c r="B2411" t="s">
        <v>92</v>
      </c>
      <c r="C2411" t="s">
        <v>1734</v>
      </c>
      <c r="D2411" t="s">
        <v>9527</v>
      </c>
      <c r="E2411">
        <v>34</v>
      </c>
      <c r="F2411" t="s">
        <v>4075</v>
      </c>
      <c r="G2411" t="s">
        <v>337</v>
      </c>
      <c r="I2411" s="1" t="d">
        <v>2013-08-18</v>
      </c>
      <c r="J2411" t="s">
        <v>5345</v>
      </c>
      <c r="K2411" s="17" t="s">
        <v>50</v>
      </c>
      <c r="L2411">
        <v>4</v>
      </c>
    </row>
    <row r="2412" spans="1:12" x14ac:dyDescent="0.25">
      <c r="A2412" t="s">
        <v>5642</v>
      </c>
      <c r="B2412" t="s">
        <v>1784</v>
      </c>
      <c r="C2412" t="s">
        <v>1248</v>
      </c>
      <c r="D2412" t="s">
        <v>46</v>
      </c>
      <c r="E2412">
        <v>40</v>
      </c>
      <c r="F2412" t="s">
        <v>245</v>
      </c>
      <c r="G2412" t="s">
        <v>283</v>
      </c>
      <c r="I2412" s="1" t="d">
        <v>2013-10-08</v>
      </c>
      <c r="J2412" t="s">
        <v>5643</v>
      </c>
      <c r="K2412" s="17" t="s">
        <v>50</v>
      </c>
      <c r="L2412">
        <v>4</v>
      </c>
    </row>
    <row r="2413" spans="1:12" x14ac:dyDescent="0.25">
      <c r="A2413" t="s">
        <v>5644</v>
      </c>
      <c r="B2413" t="s">
        <v>1241</v>
      </c>
      <c r="C2413" t="s">
        <v>1320</v>
      </c>
      <c r="D2413" t="s">
        <v>46</v>
      </c>
      <c r="E2413">
        <v>28</v>
      </c>
      <c r="F2413" t="s">
        <v>176</v>
      </c>
      <c r="G2413" t="s">
        <v>48</v>
      </c>
      <c r="H2413">
        <v>55743</v>
      </c>
      <c r="I2413" s="1" t="d">
        <v>2006-06-26</v>
      </c>
      <c r="J2413" t="s">
        <v>5645</v>
      </c>
      <c r="K2413" s="17" t="s">
        <v>58</v>
      </c>
      <c r="L2413">
        <v>2</v>
      </c>
    </row>
    <row r="2414" spans="1:12" x14ac:dyDescent="0.25">
      <c r="A2414" t="s">
        <v>5646</v>
      </c>
      <c r="B2414" t="s">
        <v>874</v>
      </c>
      <c r="C2414" t="s">
        <v>2013</v>
      </c>
      <c r="D2414" t="s">
        <v>23</v>
      </c>
      <c r="E2414">
        <v>36</v>
      </c>
      <c r="F2414" t="s">
        <v>532</v>
      </c>
      <c r="G2414" t="s">
        <v>177</v>
      </c>
      <c r="H2414">
        <v>57460</v>
      </c>
      <c r="I2414" s="1" t="d">
        <v>2021-09-23</v>
      </c>
      <c r="J2414" t="s">
        <v>1717</v>
      </c>
      <c r="K2414" s="17" t="s">
        <v>42</v>
      </c>
      <c r="L2414">
        <v>4</v>
      </c>
    </row>
    <row r="2415" spans="1:12" x14ac:dyDescent="0.25">
      <c r="A2415" t="s">
        <v>5647</v>
      </c>
      <c r="B2415" t="s">
        <v>571</v>
      </c>
      <c r="C2415" t="s">
        <v>1320</v>
      </c>
      <c r="D2415" t="s">
        <v>46</v>
      </c>
      <c r="E2415">
        <v>40</v>
      </c>
      <c r="F2415" t="s">
        <v>264</v>
      </c>
      <c r="G2415" t="s">
        <v>141</v>
      </c>
      <c r="H2415" t="s">
        <v>5648</v>
      </c>
      <c r="I2415" s="1" t="d">
        <v>2021-12-26</v>
      </c>
      <c r="J2415" t="s">
        <v>1708</v>
      </c>
      <c r="K2415" s="17" t="s">
        <v>100</v>
      </c>
      <c r="L2415">
        <v>3</v>
      </c>
    </row>
    <row r="2416" spans="1:12" x14ac:dyDescent="0.25">
      <c r="A2416" t="s">
        <v>5649</v>
      </c>
      <c r="B2416" t="s">
        <v>5650</v>
      </c>
      <c r="C2416" t="s">
        <v>204</v>
      </c>
      <c r="D2416" t="s">
        <v>23</v>
      </c>
      <c r="E2416">
        <v>35</v>
      </c>
      <c r="F2416" t="s">
        <v>585</v>
      </c>
      <c r="G2416" t="s">
        <v>357</v>
      </c>
      <c r="I2416" s="1" t="d">
        <v>2022-10-04</v>
      </c>
      <c r="J2416" t="s">
        <v>5461</v>
      </c>
      <c r="K2416" s="17" t="s">
        <v>19</v>
      </c>
      <c r="L2416">
        <v>3</v>
      </c>
    </row>
    <row r="2417" spans="1:12" x14ac:dyDescent="0.25">
      <c r="A2417" t="s">
        <v>5651</v>
      </c>
      <c r="B2417" t="s">
        <v>1096</v>
      </c>
      <c r="C2417" t="s">
        <v>215</v>
      </c>
      <c r="D2417" t="s">
        <v>23</v>
      </c>
      <c r="E2417">
        <v>39</v>
      </c>
      <c r="F2417" t="s">
        <v>2700</v>
      </c>
      <c r="G2417" t="s">
        <v>55</v>
      </c>
      <c r="H2417" t="s">
        <v>5652</v>
      </c>
      <c r="J2417" t="s">
        <v>5147</v>
      </c>
      <c r="K2417" s="17" t="s">
        <v>90</v>
      </c>
      <c r="L2417">
        <v>2</v>
      </c>
    </row>
    <row r="2418" spans="1:12" x14ac:dyDescent="0.25">
      <c r="A2418" t="s">
        <v>5653</v>
      </c>
      <c r="B2418" t="s">
        <v>73</v>
      </c>
      <c r="C2418" t="s">
        <v>5654</v>
      </c>
      <c r="D2418" t="s">
        <v>9527</v>
      </c>
      <c r="E2418">
        <v>34</v>
      </c>
      <c r="F2418" t="s">
        <v>645</v>
      </c>
      <c r="G2418" t="s">
        <v>82</v>
      </c>
      <c r="H2418" t="s">
        <v>5655</v>
      </c>
      <c r="I2418" s="1" t="d">
        <v>2019-03-17</v>
      </c>
      <c r="J2418" t="s">
        <v>84</v>
      </c>
      <c r="K2418" s="17" t="s">
        <v>100</v>
      </c>
      <c r="L2418">
        <v>3</v>
      </c>
    </row>
    <row r="2419" spans="1:12" x14ac:dyDescent="0.25">
      <c r="A2419" t="s">
        <v>5656</v>
      </c>
      <c r="B2419" t="s">
        <v>1301</v>
      </c>
      <c r="C2419" t="s">
        <v>2300</v>
      </c>
      <c r="D2419" t="s">
        <v>9527</v>
      </c>
      <c r="E2419">
        <v>35</v>
      </c>
      <c r="F2419" t="s">
        <v>296</v>
      </c>
      <c r="G2419" t="s">
        <v>1285</v>
      </c>
      <c r="H2419" s="2">
        <v>83911</v>
      </c>
      <c r="I2419" s="1" t="d">
        <v>2014-08-07</v>
      </c>
      <c r="J2419" t="s">
        <v>4650</v>
      </c>
      <c r="K2419" s="17" t="s">
        <v>71</v>
      </c>
      <c r="L2419">
        <v>3</v>
      </c>
    </row>
    <row r="2420" spans="1:12" x14ac:dyDescent="0.25">
      <c r="A2420" t="s">
        <v>5657</v>
      </c>
      <c r="B2420" t="s">
        <v>1481</v>
      </c>
      <c r="C2420" t="s">
        <v>1266</v>
      </c>
      <c r="D2420" t="s">
        <v>23</v>
      </c>
      <c r="E2420">
        <v>32</v>
      </c>
      <c r="F2420" t="s">
        <v>2065</v>
      </c>
      <c r="G2420" t="s">
        <v>1215</v>
      </c>
      <c r="H2420" t="s">
        <v>5658</v>
      </c>
      <c r="I2420" s="1" t="d">
        <v>2009-11-17</v>
      </c>
      <c r="J2420" t="s">
        <v>3059</v>
      </c>
      <c r="K2420" s="17" t="s">
        <v>100</v>
      </c>
      <c r="L2420">
        <v>3</v>
      </c>
    </row>
    <row r="2421" spans="1:12" x14ac:dyDescent="0.25">
      <c r="A2421" t="s">
        <v>5659</v>
      </c>
      <c r="B2421" t="s">
        <v>410</v>
      </c>
      <c r="C2421" t="s">
        <v>263</v>
      </c>
      <c r="D2421" t="s">
        <v>9527</v>
      </c>
      <c r="E2421">
        <v>34</v>
      </c>
      <c r="G2421" t="s">
        <v>1121</v>
      </c>
      <c r="H2421" s="2">
        <v>149999</v>
      </c>
      <c r="I2421" s="1" t="d">
        <v>2024-11-06</v>
      </c>
      <c r="J2421" t="s">
        <v>1255</v>
      </c>
      <c r="K2421" s="17" t="s">
        <v>207</v>
      </c>
      <c r="L2421">
        <v>3</v>
      </c>
    </row>
    <row r="2422" spans="1:12" x14ac:dyDescent="0.25">
      <c r="A2422" t="s">
        <v>5660</v>
      </c>
      <c r="B2422" t="s">
        <v>1644</v>
      </c>
      <c r="C2422" t="s">
        <v>175</v>
      </c>
      <c r="D2422" t="s">
        <v>9527</v>
      </c>
      <c r="E2422">
        <v>47</v>
      </c>
      <c r="F2422" t="s">
        <v>532</v>
      </c>
      <c r="G2422" t="s">
        <v>912</v>
      </c>
      <c r="H2422">
        <v>68039</v>
      </c>
      <c r="I2422" s="1" t="d">
        <v>2009-05-20</v>
      </c>
      <c r="J2422" t="s">
        <v>5661</v>
      </c>
      <c r="K2422" s="17" t="s">
        <v>42</v>
      </c>
      <c r="L2422">
        <v>4</v>
      </c>
    </row>
    <row r="2423" spans="1:12" x14ac:dyDescent="0.25">
      <c r="A2423" t="s">
        <v>5662</v>
      </c>
      <c r="B2423" t="s">
        <v>1371</v>
      </c>
      <c r="C2423" t="s">
        <v>710</v>
      </c>
      <c r="D2423" t="s">
        <v>46</v>
      </c>
      <c r="E2423">
        <v>45</v>
      </c>
      <c r="F2423" t="s">
        <v>186</v>
      </c>
      <c r="G2423" t="s">
        <v>63</v>
      </c>
      <c r="H2423" s="2">
        <v>183960</v>
      </c>
      <c r="I2423" s="1" t="d">
        <v>2016-06-13</v>
      </c>
      <c r="J2423" t="s">
        <v>4907</v>
      </c>
      <c r="K2423" s="17" t="s">
        <v>370</v>
      </c>
      <c r="L2423">
        <v>5</v>
      </c>
    </row>
    <row r="2424" spans="1:12" x14ac:dyDescent="0.25">
      <c r="A2424" t="s">
        <v>5663</v>
      </c>
      <c r="B2424" t="s">
        <v>2248</v>
      </c>
      <c r="C2424" t="s">
        <v>158</v>
      </c>
      <c r="D2424" t="s">
        <v>23</v>
      </c>
      <c r="E2424">
        <v>31</v>
      </c>
      <c r="F2424" t="s">
        <v>230</v>
      </c>
      <c r="G2424" t="s">
        <v>16</v>
      </c>
      <c r="H2424">
        <v>86964</v>
      </c>
      <c r="I2424" s="1" t="d">
        <v>2010-04-02</v>
      </c>
      <c r="J2424" t="s">
        <v>2881</v>
      </c>
      <c r="K2424" s="17" t="s">
        <v>27</v>
      </c>
      <c r="L2424">
        <v>3</v>
      </c>
    </row>
    <row r="2425" spans="1:12" x14ac:dyDescent="0.25">
      <c r="A2425" t="s">
        <v>5664</v>
      </c>
      <c r="B2425" t="s">
        <v>120</v>
      </c>
      <c r="C2425" t="s">
        <v>204</v>
      </c>
      <c r="D2425" t="s">
        <v>23</v>
      </c>
      <c r="E2425">
        <v>32</v>
      </c>
      <c r="F2425" t="s">
        <v>978</v>
      </c>
      <c r="G2425" t="s">
        <v>82</v>
      </c>
      <c r="H2425">
        <v>91034</v>
      </c>
      <c r="I2425" s="1" t="d">
        <v>2011-06-09</v>
      </c>
      <c r="J2425" t="s">
        <v>5461</v>
      </c>
      <c r="K2425" s="17" t="s">
        <v>58</v>
      </c>
      <c r="L2425">
        <v>3</v>
      </c>
    </row>
    <row r="2426" spans="1:12" x14ac:dyDescent="0.25">
      <c r="A2426" t="s">
        <v>5665</v>
      </c>
      <c r="B2426" t="s">
        <v>670</v>
      </c>
      <c r="C2426" t="s">
        <v>324</v>
      </c>
      <c r="D2426" t="s">
        <v>23</v>
      </c>
      <c r="E2426">
        <v>40</v>
      </c>
      <c r="F2426" t="s">
        <v>230</v>
      </c>
      <c r="G2426" t="s">
        <v>88</v>
      </c>
      <c r="H2426" t="s">
        <v>5666</v>
      </c>
      <c r="I2426" s="1" t="d">
        <v>2024-04-12</v>
      </c>
      <c r="J2426" t="s">
        <v>2609</v>
      </c>
      <c r="K2426" s="17" t="s">
        <v>42</v>
      </c>
      <c r="L2426">
        <v>4</v>
      </c>
    </row>
    <row r="2427" spans="1:12" x14ac:dyDescent="0.25">
      <c r="A2427" t="s">
        <v>5667</v>
      </c>
      <c r="B2427" t="s">
        <v>548</v>
      </c>
      <c r="C2427" t="s">
        <v>540</v>
      </c>
      <c r="D2427" t="s">
        <v>9527</v>
      </c>
      <c r="E2427">
        <v>24</v>
      </c>
      <c r="F2427" t="s">
        <v>296</v>
      </c>
      <c r="G2427" t="s">
        <v>5668</v>
      </c>
      <c r="H2427" t="s">
        <v>5669</v>
      </c>
      <c r="I2427" s="1" t="d">
        <v>2017-04-04</v>
      </c>
      <c r="J2427" t="s">
        <v>605</v>
      </c>
      <c r="K2427" s="17" t="s">
        <v>58</v>
      </c>
      <c r="L2427">
        <v>3</v>
      </c>
    </row>
    <row r="2428" spans="1:12" x14ac:dyDescent="0.25">
      <c r="A2428" t="s">
        <v>5670</v>
      </c>
      <c r="B2428" t="s">
        <v>709</v>
      </c>
      <c r="C2428" t="s">
        <v>5671</v>
      </c>
      <c r="D2428" t="s">
        <v>23</v>
      </c>
      <c r="E2428">
        <v>33</v>
      </c>
      <c r="F2428" t="s">
        <v>31</v>
      </c>
      <c r="G2428" t="s">
        <v>48</v>
      </c>
      <c r="H2428" t="s">
        <v>5672</v>
      </c>
      <c r="I2428" s="1" t="d">
        <v>2010-08-21</v>
      </c>
      <c r="J2428" t="s">
        <v>2701</v>
      </c>
      <c r="K2428" s="17" t="s">
        <v>27</v>
      </c>
      <c r="L2428">
        <v>4</v>
      </c>
    </row>
    <row r="2429" spans="1:12" x14ac:dyDescent="0.25">
      <c r="A2429" t="s">
        <v>5673</v>
      </c>
      <c r="B2429" t="s">
        <v>1503</v>
      </c>
      <c r="C2429" t="s">
        <v>145</v>
      </c>
      <c r="D2429" t="s">
        <v>23</v>
      </c>
      <c r="E2429">
        <v>39</v>
      </c>
      <c r="F2429" t="s">
        <v>62</v>
      </c>
      <c r="G2429" t="s">
        <v>1866</v>
      </c>
      <c r="H2429">
        <v>88057</v>
      </c>
      <c r="J2429" t="s">
        <v>1995</v>
      </c>
      <c r="K2429" s="17" t="s">
        <v>34</v>
      </c>
      <c r="L2429">
        <v>4</v>
      </c>
    </row>
    <row r="2430" spans="1:12" x14ac:dyDescent="0.25">
      <c r="A2430" t="s">
        <v>5674</v>
      </c>
      <c r="B2430" t="s">
        <v>862</v>
      </c>
      <c r="C2430" t="s">
        <v>204</v>
      </c>
      <c r="D2430" t="s">
        <v>46</v>
      </c>
      <c r="E2430">
        <v>40</v>
      </c>
      <c r="F2430" t="s">
        <v>478</v>
      </c>
      <c r="G2430" t="s">
        <v>127</v>
      </c>
      <c r="H2430" t="s">
        <v>5675</v>
      </c>
      <c r="I2430" s="1" t="d">
        <v>2008-01-20</v>
      </c>
      <c r="J2430" t="s">
        <v>863</v>
      </c>
      <c r="K2430" s="17" t="s">
        <v>58</v>
      </c>
      <c r="L2430">
        <v>4</v>
      </c>
    </row>
    <row r="2431" spans="1:12" x14ac:dyDescent="0.25">
      <c r="A2431" t="s">
        <v>5676</v>
      </c>
      <c r="B2431" t="s">
        <v>79</v>
      </c>
      <c r="C2431" t="s">
        <v>2231</v>
      </c>
      <c r="D2431" t="s">
        <v>23</v>
      </c>
      <c r="E2431">
        <v>38</v>
      </c>
      <c r="F2431" t="s">
        <v>971</v>
      </c>
      <c r="G2431" t="s">
        <v>212</v>
      </c>
      <c r="H2431">
        <v>108739</v>
      </c>
      <c r="I2431" s="1" t="d">
        <v>2014-11-15</v>
      </c>
      <c r="J2431" t="s">
        <v>2099</v>
      </c>
      <c r="K2431" s="17" t="s">
        <v>19</v>
      </c>
      <c r="L2431">
        <v>3</v>
      </c>
    </row>
    <row r="2432" spans="1:12" x14ac:dyDescent="0.25">
      <c r="A2432" t="s">
        <v>5677</v>
      </c>
      <c r="B2432" t="s">
        <v>281</v>
      </c>
      <c r="C2432" t="s">
        <v>37</v>
      </c>
      <c r="D2432" t="s">
        <v>46</v>
      </c>
      <c r="E2432">
        <v>45</v>
      </c>
      <c r="F2432" t="s">
        <v>522</v>
      </c>
      <c r="G2432" t="s">
        <v>82</v>
      </c>
      <c r="I2432" s="1" t="d">
        <v>2010-10-16</v>
      </c>
      <c r="J2432" t="s">
        <v>284</v>
      </c>
      <c r="K2432" s="17" t="s">
        <v>118</v>
      </c>
      <c r="L2432">
        <v>3</v>
      </c>
    </row>
    <row r="2433" spans="1:12" x14ac:dyDescent="0.25">
      <c r="A2433" t="s">
        <v>5678</v>
      </c>
      <c r="B2433" t="s">
        <v>507</v>
      </c>
      <c r="C2433" t="s">
        <v>584</v>
      </c>
      <c r="D2433" t="s">
        <v>23</v>
      </c>
      <c r="E2433">
        <v>38</v>
      </c>
      <c r="F2433" t="s">
        <v>4781</v>
      </c>
      <c r="G2433" t="s">
        <v>182</v>
      </c>
      <c r="H2433" t="s">
        <v>5679</v>
      </c>
      <c r="I2433" s="1" t="d">
        <v>2016-03-28</v>
      </c>
      <c r="J2433" t="s">
        <v>5680</v>
      </c>
      <c r="K2433" s="17" t="s">
        <v>58</v>
      </c>
      <c r="L2433">
        <v>3</v>
      </c>
    </row>
    <row r="2434" spans="1:12" x14ac:dyDescent="0.25">
      <c r="A2434" t="s">
        <v>5681</v>
      </c>
      <c r="B2434" t="s">
        <v>2581</v>
      </c>
      <c r="C2434" t="s">
        <v>140</v>
      </c>
      <c r="D2434" t="s">
        <v>23</v>
      </c>
      <c r="E2434">
        <v>45</v>
      </c>
      <c r="F2434" t="s">
        <v>146</v>
      </c>
      <c r="G2434" t="s">
        <v>1285</v>
      </c>
      <c r="H2434" t="s">
        <v>5682</v>
      </c>
      <c r="I2434" s="1" t="d">
        <v>2007-01-05</v>
      </c>
      <c r="J2434" t="s">
        <v>513</v>
      </c>
      <c r="K2434" s="17" t="s">
        <v>370</v>
      </c>
      <c r="L2434">
        <v>4</v>
      </c>
    </row>
    <row r="2435" spans="1:12" x14ac:dyDescent="0.25">
      <c r="A2435" t="s">
        <v>5683</v>
      </c>
      <c r="B2435" t="s">
        <v>1753</v>
      </c>
      <c r="C2435" t="s">
        <v>135</v>
      </c>
      <c r="D2435" t="s">
        <v>23</v>
      </c>
      <c r="E2435">
        <v>38</v>
      </c>
      <c r="F2435" t="s">
        <v>126</v>
      </c>
      <c r="G2435" t="s">
        <v>95</v>
      </c>
      <c r="I2435" s="1" t="d">
        <v>2005-11-24</v>
      </c>
      <c r="J2435" t="s">
        <v>255</v>
      </c>
      <c r="K2435" s="17" t="s">
        <v>100</v>
      </c>
      <c r="L2435">
        <v>4</v>
      </c>
    </row>
    <row r="2436" spans="1:12" x14ac:dyDescent="0.25">
      <c r="A2436" t="s">
        <v>5684</v>
      </c>
      <c r="B2436" t="s">
        <v>874</v>
      </c>
      <c r="C2436" t="s">
        <v>488</v>
      </c>
      <c r="D2436" t="s">
        <v>9527</v>
      </c>
      <c r="E2436">
        <v>37</v>
      </c>
      <c r="G2436" t="s">
        <v>328</v>
      </c>
      <c r="I2436" s="1" t="d">
        <v>2016-08-22</v>
      </c>
      <c r="J2436" t="s">
        <v>876</v>
      </c>
      <c r="K2436" s="17" t="s">
        <v>118</v>
      </c>
      <c r="L2436">
        <v>3</v>
      </c>
    </row>
    <row r="2437" spans="1:12" x14ac:dyDescent="0.25">
      <c r="A2437" t="s">
        <v>5685</v>
      </c>
      <c r="B2437" t="s">
        <v>21</v>
      </c>
      <c r="C2437" t="s">
        <v>405</v>
      </c>
      <c r="D2437" t="s">
        <v>9527</v>
      </c>
      <c r="E2437">
        <v>45</v>
      </c>
      <c r="F2437" t="s">
        <v>94</v>
      </c>
      <c r="G2437" t="s">
        <v>205</v>
      </c>
      <c r="H2437" s="2">
        <v>86201</v>
      </c>
      <c r="I2437" s="1" t="d">
        <v>2023-06-24</v>
      </c>
      <c r="J2437" t="s">
        <v>424</v>
      </c>
      <c r="K2437" s="17" t="s">
        <v>100</v>
      </c>
      <c r="L2437">
        <v>2</v>
      </c>
    </row>
    <row r="2438" spans="1:12" x14ac:dyDescent="0.25">
      <c r="A2438" t="s">
        <v>5686</v>
      </c>
      <c r="B2438" t="s">
        <v>1738</v>
      </c>
      <c r="C2438" t="s">
        <v>145</v>
      </c>
      <c r="D2438" t="s">
        <v>46</v>
      </c>
      <c r="E2438">
        <v>21</v>
      </c>
      <c r="F2438" t="s">
        <v>2937</v>
      </c>
      <c r="G2438" t="s">
        <v>504</v>
      </c>
      <c r="H2438" t="s">
        <v>5687</v>
      </c>
      <c r="I2438" s="1" t="d">
        <v>2007-08-08</v>
      </c>
      <c r="J2438" t="s">
        <v>330</v>
      </c>
      <c r="K2438" s="17" t="s">
        <v>184</v>
      </c>
      <c r="L2438">
        <v>2</v>
      </c>
    </row>
    <row r="2439" spans="1:12" x14ac:dyDescent="0.25">
      <c r="A2439" t="s">
        <v>5688</v>
      </c>
      <c r="B2439" t="s">
        <v>594</v>
      </c>
      <c r="C2439" t="s">
        <v>36</v>
      </c>
      <c r="D2439" t="s">
        <v>46</v>
      </c>
      <c r="E2439">
        <v>30</v>
      </c>
      <c r="G2439" t="s">
        <v>141</v>
      </c>
      <c r="H2439">
        <v>63225</v>
      </c>
      <c r="I2439" s="1" t="d">
        <v>2012-09-06</v>
      </c>
      <c r="J2439" t="s">
        <v>5689</v>
      </c>
      <c r="K2439" s="17" t="s">
        <v>50</v>
      </c>
      <c r="L2439">
        <v>4</v>
      </c>
    </row>
    <row r="2440" spans="1:12" x14ac:dyDescent="0.25">
      <c r="A2440" t="s">
        <v>5690</v>
      </c>
      <c r="B2440" t="s">
        <v>728</v>
      </c>
      <c r="C2440" t="s">
        <v>961</v>
      </c>
      <c r="D2440" t="s">
        <v>23</v>
      </c>
      <c r="E2440">
        <v>44</v>
      </c>
      <c r="F2440" t="s">
        <v>126</v>
      </c>
      <c r="G2440" t="s">
        <v>48</v>
      </c>
      <c r="H2440" t="s">
        <v>5691</v>
      </c>
      <c r="I2440" s="1" t="d">
        <v>2014-09-04</v>
      </c>
      <c r="J2440" t="s">
        <v>3542</v>
      </c>
      <c r="K2440" s="17" t="s">
        <v>149</v>
      </c>
      <c r="L2440">
        <v>3</v>
      </c>
    </row>
    <row r="2441" spans="1:12" x14ac:dyDescent="0.25">
      <c r="A2441" t="s">
        <v>5692</v>
      </c>
      <c r="B2441" t="s">
        <v>130</v>
      </c>
      <c r="C2441" t="s">
        <v>1360</v>
      </c>
      <c r="D2441" t="s">
        <v>23</v>
      </c>
      <c r="E2441">
        <v>30</v>
      </c>
      <c r="G2441" t="s">
        <v>191</v>
      </c>
      <c r="H2441" s="2">
        <v>43469</v>
      </c>
      <c r="I2441" s="1" t="d">
        <v>2021-01-06</v>
      </c>
      <c r="J2441" t="s">
        <v>2439</v>
      </c>
      <c r="K2441" s="17" t="s">
        <v>71</v>
      </c>
      <c r="L2441">
        <v>4</v>
      </c>
    </row>
    <row r="2442" spans="1:12" x14ac:dyDescent="0.25">
      <c r="A2442" t="s">
        <v>481</v>
      </c>
      <c r="B2442" t="s">
        <v>482</v>
      </c>
      <c r="C2442" t="s">
        <v>483</v>
      </c>
      <c r="D2442" t="s">
        <v>46</v>
      </c>
      <c r="E2442">
        <v>50</v>
      </c>
      <c r="F2442" t="s">
        <v>484</v>
      </c>
      <c r="G2442" t="s">
        <v>485</v>
      </c>
      <c r="I2442" s="1" t="d">
        <v>2005-04-25</v>
      </c>
      <c r="J2442" t="s">
        <v>486</v>
      </c>
      <c r="K2442" s="17" t="s">
        <v>207</v>
      </c>
      <c r="L2442">
        <v>4</v>
      </c>
    </row>
    <row r="2443" spans="1:12" x14ac:dyDescent="0.25">
      <c r="A2443" t="s">
        <v>5693</v>
      </c>
      <c r="B2443" t="s">
        <v>3937</v>
      </c>
      <c r="C2443" t="s">
        <v>847</v>
      </c>
      <c r="D2443" t="s">
        <v>23</v>
      </c>
      <c r="E2443">
        <v>41</v>
      </c>
      <c r="G2443" t="s">
        <v>115</v>
      </c>
      <c r="H2443" t="s">
        <v>5694</v>
      </c>
      <c r="I2443" s="1" t="d">
        <v>2011-11-07</v>
      </c>
      <c r="J2443" t="s">
        <v>3525</v>
      </c>
      <c r="K2443" s="17" t="s">
        <v>34</v>
      </c>
      <c r="L2443">
        <v>5</v>
      </c>
    </row>
    <row r="2444" spans="1:12" x14ac:dyDescent="0.25">
      <c r="A2444" t="s">
        <v>5695</v>
      </c>
      <c r="B2444" t="s">
        <v>670</v>
      </c>
      <c r="C2444" t="s">
        <v>53</v>
      </c>
      <c r="D2444" t="s">
        <v>23</v>
      </c>
      <c r="E2444">
        <v>56</v>
      </c>
      <c r="F2444" t="s">
        <v>15</v>
      </c>
      <c r="G2444" t="s">
        <v>1285</v>
      </c>
      <c r="H2444" t="s">
        <v>5696</v>
      </c>
      <c r="I2444" s="1" t="d">
        <v>2018-11-09</v>
      </c>
      <c r="J2444" t="s">
        <v>3682</v>
      </c>
      <c r="K2444" s="17" t="s">
        <v>71</v>
      </c>
      <c r="L2444">
        <v>4</v>
      </c>
    </row>
    <row r="2445" spans="1:12" x14ac:dyDescent="0.25">
      <c r="A2445" t="s">
        <v>5697</v>
      </c>
      <c r="B2445" t="s">
        <v>695</v>
      </c>
      <c r="C2445" t="s">
        <v>5698</v>
      </c>
      <c r="D2445" t="s">
        <v>46</v>
      </c>
      <c r="E2445">
        <v>29</v>
      </c>
      <c r="F2445" t="s">
        <v>1195</v>
      </c>
      <c r="G2445" t="s">
        <v>69</v>
      </c>
      <c r="H2445" t="s">
        <v>5699</v>
      </c>
      <c r="I2445" s="1" t="d">
        <v>2007-10-01</v>
      </c>
      <c r="J2445" t="s">
        <v>5700</v>
      </c>
      <c r="K2445" s="17" t="s">
        <v>370</v>
      </c>
      <c r="L2445">
        <v>3</v>
      </c>
    </row>
    <row r="2446" spans="1:12" x14ac:dyDescent="0.25">
      <c r="A2446" t="s">
        <v>5701</v>
      </c>
      <c r="B2446" t="s">
        <v>1512</v>
      </c>
      <c r="C2446" t="s">
        <v>631</v>
      </c>
      <c r="D2446" t="s">
        <v>23</v>
      </c>
      <c r="E2446">
        <v>49</v>
      </c>
      <c r="F2446" t="s">
        <v>666</v>
      </c>
      <c r="G2446" t="s">
        <v>177</v>
      </c>
      <c r="H2446" s="2">
        <v>48676</v>
      </c>
      <c r="I2446" s="1" t="d">
        <v>2010-04-06</v>
      </c>
      <c r="J2446" t="s">
        <v>1372</v>
      </c>
      <c r="K2446" s="17" t="s">
        <v>42</v>
      </c>
      <c r="L2446">
        <v>3</v>
      </c>
    </row>
    <row r="2447" spans="1:12" x14ac:dyDescent="0.25">
      <c r="A2447" t="s">
        <v>5702</v>
      </c>
      <c r="B2447" t="s">
        <v>1769</v>
      </c>
      <c r="C2447" t="s">
        <v>2231</v>
      </c>
      <c r="D2447" t="s">
        <v>46</v>
      </c>
      <c r="E2447">
        <v>30</v>
      </c>
      <c r="F2447" t="s">
        <v>104</v>
      </c>
      <c r="G2447" t="s">
        <v>205</v>
      </c>
      <c r="H2447" t="s">
        <v>5703</v>
      </c>
      <c r="I2447" s="1" t="d">
        <v>2021-07-25</v>
      </c>
      <c r="J2447" t="s">
        <v>4224</v>
      </c>
      <c r="K2447" s="17" t="s">
        <v>58</v>
      </c>
      <c r="L2447">
        <v>4</v>
      </c>
    </row>
    <row r="2448" spans="1:12" x14ac:dyDescent="0.25">
      <c r="A2448" t="s">
        <v>5704</v>
      </c>
      <c r="B2448" t="s">
        <v>180</v>
      </c>
      <c r="C2448" t="s">
        <v>3368</v>
      </c>
      <c r="D2448" t="s">
        <v>9527</v>
      </c>
      <c r="E2448">
        <v>44</v>
      </c>
      <c r="F2448" t="s">
        <v>365</v>
      </c>
      <c r="G2448" t="s">
        <v>1645</v>
      </c>
      <c r="H2448" t="s">
        <v>5705</v>
      </c>
      <c r="I2448" s="1" t="d">
        <v>2013-01-02</v>
      </c>
      <c r="J2448" t="s">
        <v>2784</v>
      </c>
      <c r="K2448" s="17" t="s">
        <v>19</v>
      </c>
      <c r="L2448">
        <v>3</v>
      </c>
    </row>
    <row r="2449" spans="1:12" x14ac:dyDescent="0.25">
      <c r="A2449" t="s">
        <v>5706</v>
      </c>
      <c r="B2449" t="s">
        <v>345</v>
      </c>
      <c r="C2449" t="s">
        <v>1306</v>
      </c>
      <c r="D2449" t="s">
        <v>23</v>
      </c>
      <c r="E2449">
        <v>27</v>
      </c>
      <c r="F2449" t="s">
        <v>200</v>
      </c>
      <c r="G2449" t="s">
        <v>69</v>
      </c>
      <c r="H2449" s="2">
        <v>111738</v>
      </c>
      <c r="I2449" s="1" t="d">
        <v>2013-08-02</v>
      </c>
      <c r="J2449" t="s">
        <v>5707</v>
      </c>
      <c r="K2449" s="17" t="s">
        <v>100</v>
      </c>
      <c r="L2449">
        <v>3</v>
      </c>
    </row>
    <row r="2450" spans="1:12" x14ac:dyDescent="0.25">
      <c r="A2450" t="s">
        <v>5708</v>
      </c>
      <c r="B2450" t="s">
        <v>1382</v>
      </c>
      <c r="C2450" t="s">
        <v>584</v>
      </c>
      <c r="D2450" t="s">
        <v>46</v>
      </c>
      <c r="E2450">
        <v>32</v>
      </c>
      <c r="F2450" t="s">
        <v>422</v>
      </c>
      <c r="G2450" t="s">
        <v>387</v>
      </c>
      <c r="H2450" t="s">
        <v>5709</v>
      </c>
      <c r="I2450" s="1" t="d">
        <v>2016-01-22</v>
      </c>
      <c r="J2450" t="s">
        <v>5710</v>
      </c>
      <c r="K2450" s="17" t="s">
        <v>19</v>
      </c>
      <c r="L2450">
        <v>4</v>
      </c>
    </row>
    <row r="2451" spans="1:12" x14ac:dyDescent="0.25">
      <c r="A2451" t="s">
        <v>5711</v>
      </c>
      <c r="B2451" t="s">
        <v>470</v>
      </c>
      <c r="C2451" t="s">
        <v>631</v>
      </c>
      <c r="D2451" t="s">
        <v>46</v>
      </c>
      <c r="E2451">
        <v>46</v>
      </c>
      <c r="F2451" t="s">
        <v>2065</v>
      </c>
      <c r="G2451" t="s">
        <v>115</v>
      </c>
      <c r="H2451" s="2">
        <v>97103</v>
      </c>
      <c r="I2451" s="1" t="d">
        <v>2007-05-06</v>
      </c>
      <c r="J2451" t="s">
        <v>1974</v>
      </c>
      <c r="K2451" s="17" t="s">
        <v>90</v>
      </c>
      <c r="L2451">
        <v>1</v>
      </c>
    </row>
    <row r="2452" spans="1:12" x14ac:dyDescent="0.25">
      <c r="A2452" t="s">
        <v>202</v>
      </c>
      <c r="B2452" t="s">
        <v>203</v>
      </c>
      <c r="C2452" t="s">
        <v>204</v>
      </c>
      <c r="D2452" t="s">
        <v>9527</v>
      </c>
      <c r="E2452">
        <v>42</v>
      </c>
      <c r="G2452" t="s">
        <v>205</v>
      </c>
      <c r="H2452" s="2">
        <v>57450</v>
      </c>
      <c r="I2452" s="1" t="d">
        <v>2010-07-08</v>
      </c>
      <c r="J2452" t="s">
        <v>206</v>
      </c>
      <c r="K2452" s="17" t="s">
        <v>207</v>
      </c>
      <c r="L2452">
        <v>3</v>
      </c>
    </row>
    <row r="2453" spans="1:12" x14ac:dyDescent="0.25">
      <c r="A2453" t="s">
        <v>5712</v>
      </c>
      <c r="B2453" t="s">
        <v>44</v>
      </c>
      <c r="C2453" t="s">
        <v>4565</v>
      </c>
      <c r="D2453" t="s">
        <v>23</v>
      </c>
      <c r="E2453">
        <v>36</v>
      </c>
      <c r="G2453" t="s">
        <v>357</v>
      </c>
      <c r="H2453" s="2">
        <v>86254</v>
      </c>
      <c r="I2453" s="1" t="d">
        <v>2008-04-21</v>
      </c>
      <c r="J2453" t="s">
        <v>4427</v>
      </c>
      <c r="K2453" s="17" t="s">
        <v>27</v>
      </c>
      <c r="L2453">
        <v>2</v>
      </c>
    </row>
    <row r="2454" spans="1:12" x14ac:dyDescent="0.25">
      <c r="A2454" t="s">
        <v>5713</v>
      </c>
      <c r="B2454" t="s">
        <v>1316</v>
      </c>
      <c r="C2454" t="s">
        <v>961</v>
      </c>
      <c r="D2454" t="s">
        <v>23</v>
      </c>
      <c r="E2454">
        <v>33</v>
      </c>
      <c r="F2454" t="s">
        <v>865</v>
      </c>
      <c r="G2454" t="s">
        <v>82</v>
      </c>
      <c r="H2454" s="2">
        <v>44721</v>
      </c>
      <c r="I2454" s="1" t="d">
        <v>2023-07-06</v>
      </c>
      <c r="J2454" t="s">
        <v>1748</v>
      </c>
      <c r="K2454" s="17" t="s">
        <v>100</v>
      </c>
      <c r="L2454">
        <v>3</v>
      </c>
    </row>
    <row r="2455" spans="1:12" x14ac:dyDescent="0.25">
      <c r="A2455" t="s">
        <v>5714</v>
      </c>
      <c r="B2455" t="s">
        <v>410</v>
      </c>
      <c r="C2455" t="s">
        <v>552</v>
      </c>
      <c r="D2455" t="s">
        <v>46</v>
      </c>
      <c r="E2455">
        <v>22</v>
      </c>
      <c r="F2455" t="s">
        <v>68</v>
      </c>
      <c r="G2455" t="s">
        <v>88</v>
      </c>
      <c r="H2455">
        <v>107369</v>
      </c>
      <c r="I2455" s="1" t="d">
        <v>2024-10-19</v>
      </c>
      <c r="J2455" t="s">
        <v>5715</v>
      </c>
      <c r="K2455" s="17" t="s">
        <v>184</v>
      </c>
      <c r="L2455">
        <v>3</v>
      </c>
    </row>
    <row r="2456" spans="1:12" x14ac:dyDescent="0.25">
      <c r="A2456" t="s">
        <v>5716</v>
      </c>
      <c r="B2456" t="s">
        <v>3470</v>
      </c>
      <c r="C2456" t="s">
        <v>869</v>
      </c>
      <c r="D2456" t="s">
        <v>46</v>
      </c>
      <c r="E2456">
        <v>51</v>
      </c>
      <c r="F2456" t="s">
        <v>114</v>
      </c>
      <c r="G2456" t="s">
        <v>191</v>
      </c>
      <c r="H2456" t="s">
        <v>5717</v>
      </c>
      <c r="I2456" s="1" t="d">
        <v>2005-05-30</v>
      </c>
      <c r="J2456" t="s">
        <v>5102</v>
      </c>
      <c r="K2456" s="17" t="s">
        <v>370</v>
      </c>
      <c r="L2456">
        <v>3</v>
      </c>
    </row>
    <row r="2457" spans="1:12" x14ac:dyDescent="0.25">
      <c r="A2457" t="s">
        <v>5718</v>
      </c>
      <c r="B2457" t="s">
        <v>2061</v>
      </c>
      <c r="C2457" t="s">
        <v>395</v>
      </c>
      <c r="D2457" t="s">
        <v>46</v>
      </c>
      <c r="E2457">
        <v>29</v>
      </c>
      <c r="F2457" t="s">
        <v>559</v>
      </c>
      <c r="G2457" t="s">
        <v>159</v>
      </c>
      <c r="H2457" t="s">
        <v>5719</v>
      </c>
      <c r="I2457" s="1" t="d">
        <v>2011-09-04</v>
      </c>
      <c r="J2457" t="s">
        <v>1720</v>
      </c>
      <c r="K2457" s="17" t="s">
        <v>50</v>
      </c>
      <c r="L2457">
        <v>4</v>
      </c>
    </row>
    <row r="2458" spans="1:12" x14ac:dyDescent="0.25">
      <c r="A2458" t="s">
        <v>5720</v>
      </c>
      <c r="B2458" t="s">
        <v>664</v>
      </c>
      <c r="C2458" t="s">
        <v>1494</v>
      </c>
      <c r="D2458" t="s">
        <v>46</v>
      </c>
      <c r="E2458">
        <v>41</v>
      </c>
      <c r="F2458" t="s">
        <v>666</v>
      </c>
      <c r="G2458" t="s">
        <v>357</v>
      </c>
      <c r="H2458" t="s">
        <v>5721</v>
      </c>
      <c r="J2458" t="s">
        <v>5722</v>
      </c>
      <c r="K2458" s="17" t="s">
        <v>50</v>
      </c>
      <c r="L2458">
        <v>3</v>
      </c>
    </row>
    <row r="2459" spans="1:12" x14ac:dyDescent="0.25">
      <c r="A2459" t="s">
        <v>5723</v>
      </c>
      <c r="B2459" t="s">
        <v>5724</v>
      </c>
      <c r="C2459" t="s">
        <v>225</v>
      </c>
      <c r="D2459" t="s">
        <v>23</v>
      </c>
      <c r="E2459">
        <v>32</v>
      </c>
      <c r="F2459" t="s">
        <v>399</v>
      </c>
      <c r="G2459" t="s">
        <v>16</v>
      </c>
      <c r="H2459" s="2">
        <v>77179</v>
      </c>
      <c r="I2459" s="1" t="d">
        <v>2012-11-26</v>
      </c>
      <c r="J2459" t="s">
        <v>206</v>
      </c>
      <c r="K2459" s="17" t="s">
        <v>184</v>
      </c>
      <c r="L2459">
        <v>3</v>
      </c>
    </row>
    <row r="2460" spans="1:12" x14ac:dyDescent="0.25">
      <c r="A2460" t="s">
        <v>5725</v>
      </c>
      <c r="B2460" t="s">
        <v>1437</v>
      </c>
      <c r="C2460" t="s">
        <v>229</v>
      </c>
      <c r="D2460" t="s">
        <v>9527</v>
      </c>
      <c r="E2460">
        <v>54</v>
      </c>
      <c r="F2460" t="s">
        <v>146</v>
      </c>
      <c r="G2460" t="s">
        <v>191</v>
      </c>
      <c r="H2460" t="s">
        <v>5726</v>
      </c>
      <c r="I2460" s="1" t="d">
        <v>2021-10-24</v>
      </c>
      <c r="J2460" t="s">
        <v>2187</v>
      </c>
      <c r="K2460" s="17" t="s">
        <v>71</v>
      </c>
      <c r="L2460">
        <v>4</v>
      </c>
    </row>
    <row r="2461" spans="1:12" x14ac:dyDescent="0.25">
      <c r="A2461" t="s">
        <v>5727</v>
      </c>
      <c r="B2461" t="s">
        <v>914</v>
      </c>
      <c r="C2461" t="s">
        <v>121</v>
      </c>
      <c r="D2461" t="s">
        <v>9527</v>
      </c>
      <c r="E2461">
        <v>42</v>
      </c>
      <c r="G2461" t="s">
        <v>55</v>
      </c>
      <c r="H2461" t="s">
        <v>5728</v>
      </c>
      <c r="I2461" s="1" t="d">
        <v>2015-08-27</v>
      </c>
      <c r="J2461" t="s">
        <v>5729</v>
      </c>
      <c r="K2461" s="17" t="s">
        <v>184</v>
      </c>
      <c r="L2461">
        <v>4</v>
      </c>
    </row>
    <row r="2462" spans="1:12" x14ac:dyDescent="0.25">
      <c r="A2462" t="s">
        <v>5730</v>
      </c>
      <c r="B2462" t="s">
        <v>228</v>
      </c>
      <c r="C2462" t="s">
        <v>1030</v>
      </c>
      <c r="D2462" t="s">
        <v>9527</v>
      </c>
      <c r="E2462">
        <v>45</v>
      </c>
      <c r="F2462" t="s">
        <v>666</v>
      </c>
      <c r="G2462" t="s">
        <v>5327</v>
      </c>
      <c r="H2462">
        <v>71137</v>
      </c>
      <c r="I2462" s="1" t="d">
        <v>2010-02-12</v>
      </c>
      <c r="J2462" t="s">
        <v>57</v>
      </c>
      <c r="K2462" s="17" t="s">
        <v>100</v>
      </c>
      <c r="L2462">
        <v>3</v>
      </c>
    </row>
    <row r="2463" spans="1:12" x14ac:dyDescent="0.25">
      <c r="A2463" t="s">
        <v>5731</v>
      </c>
      <c r="B2463" t="s">
        <v>426</v>
      </c>
      <c r="C2463" t="s">
        <v>1266</v>
      </c>
      <c r="D2463" t="s">
        <v>9527</v>
      </c>
      <c r="E2463">
        <v>24</v>
      </c>
      <c r="F2463" t="s">
        <v>104</v>
      </c>
      <c r="G2463" t="s">
        <v>1719</v>
      </c>
      <c r="I2463" s="1" t="d">
        <v>2015-09-08</v>
      </c>
      <c r="J2463" t="s">
        <v>1962</v>
      </c>
      <c r="K2463" s="17" t="s">
        <v>118</v>
      </c>
      <c r="L2463">
        <v>3</v>
      </c>
    </row>
    <row r="2464" spans="1:12" x14ac:dyDescent="0.25">
      <c r="A2464" t="s">
        <v>5732</v>
      </c>
      <c r="B2464" t="s">
        <v>426</v>
      </c>
      <c r="C2464" t="s">
        <v>2918</v>
      </c>
      <c r="D2464" t="s">
        <v>9527</v>
      </c>
      <c r="E2464">
        <v>47</v>
      </c>
      <c r="F2464" t="s">
        <v>75</v>
      </c>
      <c r="G2464" t="s">
        <v>25</v>
      </c>
      <c r="H2464" t="s">
        <v>5733</v>
      </c>
      <c r="I2464" s="1" t="d">
        <v>2012-11-12</v>
      </c>
      <c r="J2464" t="s">
        <v>206</v>
      </c>
      <c r="K2464" s="17" t="s">
        <v>149</v>
      </c>
      <c r="L2464">
        <v>3</v>
      </c>
    </row>
    <row r="2465" spans="1:12" x14ac:dyDescent="0.25">
      <c r="A2465" t="s">
        <v>5734</v>
      </c>
      <c r="B2465" t="s">
        <v>548</v>
      </c>
      <c r="C2465" t="s">
        <v>145</v>
      </c>
      <c r="D2465" t="s">
        <v>9527</v>
      </c>
      <c r="E2465">
        <v>25</v>
      </c>
      <c r="F2465" t="s">
        <v>24</v>
      </c>
      <c r="G2465" t="s">
        <v>95</v>
      </c>
      <c r="I2465" s="1" t="d">
        <v>2020-08-22</v>
      </c>
      <c r="J2465" t="s">
        <v>690</v>
      </c>
      <c r="K2465" s="17" t="s">
        <v>19</v>
      </c>
      <c r="L2465">
        <v>5</v>
      </c>
    </row>
    <row r="2466" spans="1:12" x14ac:dyDescent="0.25">
      <c r="A2466" t="s">
        <v>5735</v>
      </c>
      <c r="B2466" t="s">
        <v>262</v>
      </c>
      <c r="C2466" t="s">
        <v>1442</v>
      </c>
      <c r="D2466" t="s">
        <v>46</v>
      </c>
      <c r="E2466">
        <v>21</v>
      </c>
      <c r="F2466" t="s">
        <v>532</v>
      </c>
      <c r="G2466" t="s">
        <v>127</v>
      </c>
      <c r="I2466" s="1" t="d">
        <v>2018-02-23</v>
      </c>
      <c r="J2466" t="s">
        <v>1741</v>
      </c>
      <c r="K2466" s="17" t="s">
        <v>42</v>
      </c>
      <c r="L2466">
        <v>3</v>
      </c>
    </row>
    <row r="2467" spans="1:12" x14ac:dyDescent="0.25">
      <c r="A2467" t="s">
        <v>1425</v>
      </c>
      <c r="B2467" t="s">
        <v>826</v>
      </c>
      <c r="C2467" t="s">
        <v>3206</v>
      </c>
      <c r="D2467" t="s">
        <v>9527</v>
      </c>
      <c r="E2467">
        <v>26</v>
      </c>
      <c r="F2467" t="s">
        <v>645</v>
      </c>
      <c r="G2467" t="s">
        <v>191</v>
      </c>
      <c r="H2467" t="s">
        <v>5736</v>
      </c>
      <c r="I2467" s="1" t="d">
        <v>2021-04-30</v>
      </c>
      <c r="J2467" t="s">
        <v>1426</v>
      </c>
      <c r="K2467" s="17" t="s">
        <v>370</v>
      </c>
      <c r="L2467">
        <v>4</v>
      </c>
    </row>
    <row r="2468" spans="1:12" x14ac:dyDescent="0.25">
      <c r="A2468" t="s">
        <v>5737</v>
      </c>
      <c r="B2468" t="s">
        <v>1769</v>
      </c>
      <c r="C2468" t="s">
        <v>665</v>
      </c>
      <c r="D2468" t="s">
        <v>23</v>
      </c>
      <c r="E2468">
        <v>35</v>
      </c>
      <c r="F2468" t="s">
        <v>258</v>
      </c>
      <c r="G2468" t="s">
        <v>1663</v>
      </c>
      <c r="H2468" t="s">
        <v>5738</v>
      </c>
      <c r="I2468" s="1" t="d">
        <v>2005-01-31</v>
      </c>
      <c r="J2468" t="s">
        <v>2841</v>
      </c>
      <c r="K2468" s="17" t="s">
        <v>90</v>
      </c>
      <c r="L2468">
        <v>3</v>
      </c>
    </row>
    <row r="2469" spans="1:12" x14ac:dyDescent="0.25">
      <c r="A2469" t="s">
        <v>4989</v>
      </c>
      <c r="B2469" t="s">
        <v>664</v>
      </c>
      <c r="C2469" t="s">
        <v>665</v>
      </c>
      <c r="D2469" t="s">
        <v>23</v>
      </c>
      <c r="E2469">
        <v>48</v>
      </c>
      <c r="F2469" t="s">
        <v>238</v>
      </c>
      <c r="G2469" t="s">
        <v>115</v>
      </c>
      <c r="H2469" t="s">
        <v>4990</v>
      </c>
      <c r="I2469" s="1" t="d">
        <v>2018-10-23</v>
      </c>
      <c r="J2469" t="s">
        <v>668</v>
      </c>
      <c r="K2469" s="17" t="s">
        <v>370</v>
      </c>
      <c r="L2469">
        <v>3</v>
      </c>
    </row>
    <row r="2470" spans="1:12" x14ac:dyDescent="0.25">
      <c r="A2470" t="s">
        <v>5739</v>
      </c>
      <c r="B2470" t="s">
        <v>3332</v>
      </c>
      <c r="C2470" t="s">
        <v>152</v>
      </c>
      <c r="D2470" t="s">
        <v>23</v>
      </c>
      <c r="E2470">
        <v>23</v>
      </c>
      <c r="G2470" t="s">
        <v>88</v>
      </c>
      <c r="I2470" s="1" t="d">
        <v>2012-03-21</v>
      </c>
      <c r="J2470" t="s">
        <v>2506</v>
      </c>
      <c r="K2470" s="17" t="s">
        <v>58</v>
      </c>
      <c r="L2470">
        <v>4</v>
      </c>
    </row>
    <row r="2471" spans="1:12" x14ac:dyDescent="0.25">
      <c r="A2471" t="s">
        <v>5740</v>
      </c>
      <c r="B2471" t="s">
        <v>162</v>
      </c>
      <c r="C2471" t="s">
        <v>1520</v>
      </c>
      <c r="D2471" t="s">
        <v>23</v>
      </c>
      <c r="E2471">
        <v>42</v>
      </c>
      <c r="F2471" t="s">
        <v>238</v>
      </c>
      <c r="G2471" t="s">
        <v>485</v>
      </c>
      <c r="H2471" t="s">
        <v>5741</v>
      </c>
      <c r="I2471" s="1" t="d">
        <v>2024-10-17</v>
      </c>
      <c r="J2471" t="s">
        <v>1507</v>
      </c>
      <c r="K2471" s="17" t="s">
        <v>58</v>
      </c>
      <c r="L2471">
        <v>2</v>
      </c>
    </row>
    <row r="2472" spans="1:12" x14ac:dyDescent="0.25">
      <c r="A2472" t="s">
        <v>5742</v>
      </c>
      <c r="B2472" t="s">
        <v>221</v>
      </c>
      <c r="C2472" t="s">
        <v>189</v>
      </c>
      <c r="D2472" t="s">
        <v>23</v>
      </c>
      <c r="E2472">
        <v>35</v>
      </c>
      <c r="F2472" t="s">
        <v>422</v>
      </c>
      <c r="G2472" t="s">
        <v>387</v>
      </c>
      <c r="H2472">
        <v>171610</v>
      </c>
      <c r="I2472" s="1" t="d">
        <v>2020-04-25</v>
      </c>
      <c r="J2472" t="s">
        <v>5115</v>
      </c>
      <c r="K2472" s="17" t="s">
        <v>370</v>
      </c>
      <c r="L2472">
        <v>3</v>
      </c>
    </row>
    <row r="2473" spans="1:12" x14ac:dyDescent="0.25">
      <c r="A2473" t="s">
        <v>5743</v>
      </c>
      <c r="B2473" t="s">
        <v>139</v>
      </c>
      <c r="C2473" t="s">
        <v>204</v>
      </c>
      <c r="D2473" t="s">
        <v>9527</v>
      </c>
      <c r="E2473">
        <v>35</v>
      </c>
      <c r="F2473" t="s">
        <v>230</v>
      </c>
      <c r="G2473" t="s">
        <v>39</v>
      </c>
      <c r="H2473">
        <v>65486</v>
      </c>
      <c r="I2473" s="1" t="d">
        <v>2023-12-24</v>
      </c>
      <c r="J2473" t="s">
        <v>2332</v>
      </c>
      <c r="K2473" s="17" t="s">
        <v>90</v>
      </c>
      <c r="L2473">
        <v>3</v>
      </c>
    </row>
    <row r="2474" spans="1:12" x14ac:dyDescent="0.25">
      <c r="A2474" t="s">
        <v>5744</v>
      </c>
      <c r="B2474" t="s">
        <v>221</v>
      </c>
      <c r="C2474" t="s">
        <v>152</v>
      </c>
      <c r="D2474" t="s">
        <v>46</v>
      </c>
      <c r="E2474">
        <v>60</v>
      </c>
      <c r="F2474" t="s">
        <v>399</v>
      </c>
      <c r="G2474" t="s">
        <v>82</v>
      </c>
      <c r="I2474" s="1" t="d">
        <v>2017-04-27</v>
      </c>
      <c r="J2474" t="s">
        <v>1882</v>
      </c>
      <c r="K2474" s="17" t="s">
        <v>90</v>
      </c>
      <c r="L2474">
        <v>3</v>
      </c>
    </row>
    <row r="2475" spans="1:12" x14ac:dyDescent="0.25">
      <c r="A2475" t="s">
        <v>5745</v>
      </c>
      <c r="B2475" t="s">
        <v>234</v>
      </c>
      <c r="C2475" t="s">
        <v>751</v>
      </c>
      <c r="D2475" t="s">
        <v>23</v>
      </c>
      <c r="E2475">
        <v>21</v>
      </c>
      <c r="F2475" t="s">
        <v>1214</v>
      </c>
      <c r="G2475" t="s">
        <v>55</v>
      </c>
      <c r="H2475" t="s">
        <v>5746</v>
      </c>
      <c r="I2475" s="1" t="d">
        <v>2005-04-22</v>
      </c>
      <c r="J2475" t="s">
        <v>5352</v>
      </c>
      <c r="K2475" s="17" t="s">
        <v>34</v>
      </c>
      <c r="L2475">
        <v>4</v>
      </c>
    </row>
    <row r="2476" spans="1:12" x14ac:dyDescent="0.25">
      <c r="A2476" t="s">
        <v>5747</v>
      </c>
      <c r="B2476" t="s">
        <v>709</v>
      </c>
      <c r="C2476" t="s">
        <v>1052</v>
      </c>
      <c r="D2476" t="s">
        <v>46</v>
      </c>
      <c r="E2476">
        <v>36</v>
      </c>
      <c r="F2476" t="s">
        <v>373</v>
      </c>
      <c r="G2476" t="s">
        <v>586</v>
      </c>
      <c r="H2476" t="s">
        <v>5748</v>
      </c>
      <c r="I2476" s="1" t="d">
        <v>2011-11-09</v>
      </c>
      <c r="J2476" t="s">
        <v>2622</v>
      </c>
      <c r="K2476" s="17" t="s">
        <v>19</v>
      </c>
      <c r="L2476">
        <v>2</v>
      </c>
    </row>
    <row r="2477" spans="1:12" x14ac:dyDescent="0.25">
      <c r="A2477" t="s">
        <v>5749</v>
      </c>
      <c r="B2477" t="s">
        <v>470</v>
      </c>
      <c r="C2477" t="s">
        <v>531</v>
      </c>
      <c r="D2477" t="s">
        <v>9527</v>
      </c>
      <c r="E2477">
        <v>31</v>
      </c>
      <c r="F2477" t="s">
        <v>350</v>
      </c>
      <c r="G2477" t="s">
        <v>177</v>
      </c>
      <c r="I2477" s="1" t="d">
        <v>2024-01-06</v>
      </c>
      <c r="J2477" t="s">
        <v>3371</v>
      </c>
      <c r="K2477" s="17" t="s">
        <v>42</v>
      </c>
      <c r="L2477">
        <v>4</v>
      </c>
    </row>
    <row r="2478" spans="1:12" x14ac:dyDescent="0.25">
      <c r="A2478" t="s">
        <v>2842</v>
      </c>
      <c r="B2478" t="s">
        <v>221</v>
      </c>
      <c r="C2478" t="s">
        <v>488</v>
      </c>
      <c r="D2478" t="s">
        <v>46</v>
      </c>
      <c r="E2478">
        <v>46</v>
      </c>
      <c r="F2478" t="s">
        <v>211</v>
      </c>
      <c r="G2478" t="s">
        <v>48</v>
      </c>
      <c r="H2478" t="s">
        <v>2843</v>
      </c>
      <c r="J2478" t="s">
        <v>1995</v>
      </c>
      <c r="K2478" s="17" t="s">
        <v>370</v>
      </c>
      <c r="L2478">
        <v>3</v>
      </c>
    </row>
    <row r="2479" spans="1:12" x14ac:dyDescent="0.25">
      <c r="A2479" t="s">
        <v>5750</v>
      </c>
      <c r="B2479" t="s">
        <v>2272</v>
      </c>
      <c r="C2479" t="s">
        <v>1517</v>
      </c>
      <c r="D2479" t="s">
        <v>46</v>
      </c>
      <c r="E2479">
        <v>55</v>
      </c>
      <c r="G2479" t="s">
        <v>48</v>
      </c>
      <c r="H2479" t="s">
        <v>5751</v>
      </c>
      <c r="I2479" s="1" t="d">
        <v>2007-03-22</v>
      </c>
      <c r="J2479" t="s">
        <v>4594</v>
      </c>
      <c r="K2479" s="17" t="s">
        <v>27</v>
      </c>
      <c r="L2479">
        <v>3</v>
      </c>
    </row>
    <row r="2480" spans="1:12" x14ac:dyDescent="0.25">
      <c r="A2480" t="s">
        <v>5752</v>
      </c>
      <c r="B2480" t="s">
        <v>1241</v>
      </c>
      <c r="C2480" t="s">
        <v>4756</v>
      </c>
      <c r="D2480" t="s">
        <v>46</v>
      </c>
      <c r="E2480">
        <v>37</v>
      </c>
      <c r="F2480" t="s">
        <v>114</v>
      </c>
      <c r="G2480" t="s">
        <v>82</v>
      </c>
      <c r="J2480" t="s">
        <v>1444</v>
      </c>
      <c r="K2480" s="17" t="s">
        <v>118</v>
      </c>
      <c r="L2480">
        <v>1</v>
      </c>
    </row>
    <row r="2481" spans="1:12" x14ac:dyDescent="0.25">
      <c r="A2481" t="s">
        <v>5753</v>
      </c>
      <c r="B2481" t="s">
        <v>664</v>
      </c>
      <c r="C2481" t="s">
        <v>1538</v>
      </c>
      <c r="D2481" t="s">
        <v>23</v>
      </c>
      <c r="E2481">
        <v>43</v>
      </c>
      <c r="F2481" t="s">
        <v>296</v>
      </c>
      <c r="G2481" t="s">
        <v>39</v>
      </c>
      <c r="H2481" t="s">
        <v>5754</v>
      </c>
      <c r="I2481" s="1" t="d">
        <v>2015-05-03</v>
      </c>
      <c r="J2481" t="s">
        <v>3268</v>
      </c>
      <c r="K2481" s="17" t="s">
        <v>207</v>
      </c>
      <c r="L2481">
        <v>3</v>
      </c>
    </row>
    <row r="2482" spans="1:12" x14ac:dyDescent="0.25">
      <c r="A2482" t="s">
        <v>5755</v>
      </c>
      <c r="B2482" t="s">
        <v>130</v>
      </c>
      <c r="C2482" t="s">
        <v>158</v>
      </c>
      <c r="D2482" t="s">
        <v>9527</v>
      </c>
      <c r="E2482">
        <v>24</v>
      </c>
      <c r="F2482" t="s">
        <v>865</v>
      </c>
      <c r="G2482" t="s">
        <v>351</v>
      </c>
      <c r="H2482" s="2">
        <v>36782</v>
      </c>
      <c r="I2482" s="1" t="d">
        <v>2018-05-27</v>
      </c>
      <c r="J2482" t="s">
        <v>3842</v>
      </c>
      <c r="K2482" s="17" t="s">
        <v>370</v>
      </c>
      <c r="L2482">
        <v>3</v>
      </c>
    </row>
    <row r="2483" spans="1:12" x14ac:dyDescent="0.25">
      <c r="A2483" t="s">
        <v>5756</v>
      </c>
      <c r="B2483" t="s">
        <v>684</v>
      </c>
      <c r="C2483" t="s">
        <v>724</v>
      </c>
      <c r="D2483" t="s">
        <v>46</v>
      </c>
      <c r="E2483">
        <v>48</v>
      </c>
      <c r="F2483" t="s">
        <v>15</v>
      </c>
      <c r="G2483" t="s">
        <v>205</v>
      </c>
      <c r="H2483">
        <v>113275</v>
      </c>
      <c r="I2483" s="1" t="d">
        <v>2024-08-14</v>
      </c>
      <c r="J2483" t="s">
        <v>5197</v>
      </c>
      <c r="K2483" s="17" t="s">
        <v>50</v>
      </c>
      <c r="L2483">
        <v>4</v>
      </c>
    </row>
    <row r="2484" spans="1:12" x14ac:dyDescent="0.25">
      <c r="A2484" t="s">
        <v>5757</v>
      </c>
      <c r="B2484" t="s">
        <v>1706</v>
      </c>
      <c r="C2484" t="s">
        <v>555</v>
      </c>
      <c r="D2484" t="s">
        <v>23</v>
      </c>
      <c r="E2484">
        <v>41</v>
      </c>
      <c r="F2484" t="s">
        <v>230</v>
      </c>
      <c r="G2484" t="s">
        <v>82</v>
      </c>
      <c r="I2484" s="1" t="d">
        <v>2005-07-14</v>
      </c>
      <c r="J2484" t="s">
        <v>4678</v>
      </c>
      <c r="K2484" s="17" t="s">
        <v>50</v>
      </c>
      <c r="L2484">
        <v>2</v>
      </c>
    </row>
    <row r="2485" spans="1:12" x14ac:dyDescent="0.25">
      <c r="A2485" t="s">
        <v>5758</v>
      </c>
      <c r="B2485" t="s">
        <v>448</v>
      </c>
      <c r="C2485" t="s">
        <v>3551</v>
      </c>
      <c r="D2485" t="s">
        <v>9527</v>
      </c>
      <c r="E2485">
        <v>52</v>
      </c>
      <c r="F2485" t="s">
        <v>211</v>
      </c>
      <c r="G2485" t="s">
        <v>337</v>
      </c>
      <c r="H2485" t="s">
        <v>5759</v>
      </c>
      <c r="I2485" s="1" t="d">
        <v>2023-01-27</v>
      </c>
      <c r="J2485" t="s">
        <v>3906</v>
      </c>
      <c r="K2485" s="17" t="s">
        <v>100</v>
      </c>
      <c r="L2485">
        <v>4</v>
      </c>
    </row>
    <row r="2486" spans="1:12" x14ac:dyDescent="0.25">
      <c r="A2486" t="s">
        <v>5760</v>
      </c>
      <c r="B2486" t="s">
        <v>945</v>
      </c>
      <c r="C2486" t="s">
        <v>631</v>
      </c>
      <c r="D2486" t="s">
        <v>9527</v>
      </c>
      <c r="E2486">
        <v>21</v>
      </c>
      <c r="F2486" t="s">
        <v>31</v>
      </c>
      <c r="G2486" t="s">
        <v>328</v>
      </c>
      <c r="I2486" s="1" t="d">
        <v>2024-12-15</v>
      </c>
      <c r="J2486" t="s">
        <v>4709</v>
      </c>
      <c r="K2486" s="17" t="s">
        <v>207</v>
      </c>
      <c r="L2486">
        <v>3</v>
      </c>
    </row>
    <row r="2487" spans="1:12" x14ac:dyDescent="0.25">
      <c r="A2487" t="s">
        <v>5761</v>
      </c>
      <c r="B2487" t="s">
        <v>36</v>
      </c>
      <c r="C2487" t="s">
        <v>2008</v>
      </c>
      <c r="D2487" t="s">
        <v>46</v>
      </c>
      <c r="E2487">
        <v>28</v>
      </c>
      <c r="F2487" t="s">
        <v>230</v>
      </c>
      <c r="G2487" t="s">
        <v>1215</v>
      </c>
      <c r="H2487" t="s">
        <v>5762</v>
      </c>
      <c r="I2487" s="1" t="d">
        <v>2019-02-26</v>
      </c>
      <c r="J2487" t="s">
        <v>3079</v>
      </c>
      <c r="K2487" s="17" t="s">
        <v>90</v>
      </c>
      <c r="L2487">
        <v>3</v>
      </c>
    </row>
    <row r="2488" spans="1:12" x14ac:dyDescent="0.25">
      <c r="A2488" t="s">
        <v>5763</v>
      </c>
      <c r="B2488" t="s">
        <v>130</v>
      </c>
      <c r="C2488" t="s">
        <v>1859</v>
      </c>
      <c r="D2488" t="s">
        <v>23</v>
      </c>
      <c r="E2488">
        <v>56</v>
      </c>
      <c r="F2488" t="s">
        <v>186</v>
      </c>
      <c r="G2488" t="s">
        <v>69</v>
      </c>
      <c r="H2488" s="2">
        <v>109235</v>
      </c>
      <c r="I2488" s="1" t="d">
        <v>2005-01-05</v>
      </c>
      <c r="J2488" t="s">
        <v>5764</v>
      </c>
      <c r="K2488" s="17" t="s">
        <v>19</v>
      </c>
      <c r="L2488">
        <v>3</v>
      </c>
    </row>
    <row r="2489" spans="1:12" x14ac:dyDescent="0.25">
      <c r="A2489" t="s">
        <v>5765</v>
      </c>
      <c r="B2489" t="s">
        <v>79</v>
      </c>
      <c r="C2489" t="s">
        <v>4756</v>
      </c>
      <c r="D2489" t="s">
        <v>46</v>
      </c>
      <c r="E2489">
        <v>29</v>
      </c>
      <c r="F2489" t="s">
        <v>54</v>
      </c>
      <c r="G2489" t="s">
        <v>115</v>
      </c>
      <c r="H2489" t="s">
        <v>5766</v>
      </c>
      <c r="I2489" s="1" t="d">
        <v>2006-09-15</v>
      </c>
      <c r="J2489" t="s">
        <v>5767</v>
      </c>
      <c r="K2489" s="17" t="s">
        <v>27</v>
      </c>
      <c r="L2489">
        <v>3</v>
      </c>
    </row>
    <row r="2490" spans="1:12" x14ac:dyDescent="0.25">
      <c r="A2490" t="s">
        <v>5768</v>
      </c>
      <c r="B2490" t="s">
        <v>1441</v>
      </c>
      <c r="C2490" t="s">
        <v>858</v>
      </c>
      <c r="D2490" t="s">
        <v>23</v>
      </c>
      <c r="E2490">
        <v>39</v>
      </c>
      <c r="F2490" t="s">
        <v>576</v>
      </c>
      <c r="G2490" t="s">
        <v>16</v>
      </c>
      <c r="H2490" s="2">
        <v>145389</v>
      </c>
      <c r="I2490" s="1" t="d">
        <v>2017-09-21</v>
      </c>
      <c r="J2490" t="s">
        <v>4503</v>
      </c>
      <c r="K2490" s="17" t="s">
        <v>19</v>
      </c>
      <c r="L2490">
        <v>3</v>
      </c>
    </row>
    <row r="2491" spans="1:12" x14ac:dyDescent="0.25">
      <c r="A2491" t="s">
        <v>5769</v>
      </c>
      <c r="B2491" t="s">
        <v>66</v>
      </c>
      <c r="C2491" t="s">
        <v>381</v>
      </c>
      <c r="D2491" t="s">
        <v>46</v>
      </c>
      <c r="E2491">
        <v>35</v>
      </c>
      <c r="F2491" t="s">
        <v>81</v>
      </c>
      <c r="G2491" t="s">
        <v>1645</v>
      </c>
      <c r="H2491">
        <v>49135</v>
      </c>
      <c r="I2491" s="1" t="d">
        <v>2024-06-13</v>
      </c>
      <c r="J2491" t="s">
        <v>4158</v>
      </c>
      <c r="K2491" s="17" t="s">
        <v>90</v>
      </c>
      <c r="L2491">
        <v>3</v>
      </c>
    </row>
    <row r="2492" spans="1:12" x14ac:dyDescent="0.25">
      <c r="A2492" t="s">
        <v>5770</v>
      </c>
      <c r="B2492" t="s">
        <v>773</v>
      </c>
      <c r="C2492" t="s">
        <v>61</v>
      </c>
      <c r="D2492" t="s">
        <v>9527</v>
      </c>
      <c r="E2492">
        <v>37</v>
      </c>
      <c r="F2492" t="s">
        <v>1385</v>
      </c>
      <c r="G2492" t="s">
        <v>48</v>
      </c>
      <c r="H2492" s="2">
        <v>95811</v>
      </c>
      <c r="I2492" s="1" t="d">
        <v>2019-11-10</v>
      </c>
      <c r="J2492" t="s">
        <v>2325</v>
      </c>
      <c r="K2492" s="17" t="s">
        <v>149</v>
      </c>
      <c r="L2492">
        <v>4</v>
      </c>
    </row>
    <row r="2493" spans="1:12" x14ac:dyDescent="0.25">
      <c r="A2493" t="s">
        <v>5771</v>
      </c>
      <c r="B2493" t="s">
        <v>2041</v>
      </c>
      <c r="C2493" t="s">
        <v>1384</v>
      </c>
      <c r="D2493" t="s">
        <v>46</v>
      </c>
      <c r="E2493">
        <v>46</v>
      </c>
      <c r="F2493" t="s">
        <v>356</v>
      </c>
      <c r="G2493" t="s">
        <v>1285</v>
      </c>
      <c r="H2493" t="s">
        <v>5772</v>
      </c>
      <c r="I2493" s="1" t="d">
        <v>2020-08-05</v>
      </c>
      <c r="J2493" t="s">
        <v>1387</v>
      </c>
      <c r="K2493" s="17" t="s">
        <v>19</v>
      </c>
      <c r="L2493">
        <v>3</v>
      </c>
    </row>
    <row r="2494" spans="1:12" x14ac:dyDescent="0.25">
      <c r="A2494" t="s">
        <v>5773</v>
      </c>
      <c r="B2494" t="s">
        <v>44</v>
      </c>
      <c r="C2494" t="s">
        <v>30</v>
      </c>
      <c r="D2494" t="s">
        <v>46</v>
      </c>
      <c r="E2494">
        <v>38</v>
      </c>
      <c r="F2494" t="s">
        <v>216</v>
      </c>
      <c r="G2494" t="s">
        <v>217</v>
      </c>
      <c r="H2494">
        <v>72095</v>
      </c>
      <c r="J2494" t="s">
        <v>4189</v>
      </c>
      <c r="K2494" s="17" t="s">
        <v>19</v>
      </c>
      <c r="L2494">
        <v>1</v>
      </c>
    </row>
    <row r="2495" spans="1:12" x14ac:dyDescent="0.25">
      <c r="A2495" t="s">
        <v>5774</v>
      </c>
      <c r="B2495" t="s">
        <v>630</v>
      </c>
      <c r="C2495" t="s">
        <v>858</v>
      </c>
      <c r="D2495" t="s">
        <v>23</v>
      </c>
      <c r="E2495">
        <v>21</v>
      </c>
      <c r="F2495" t="s">
        <v>238</v>
      </c>
      <c r="G2495" t="s">
        <v>1828</v>
      </c>
      <c r="H2495" t="s">
        <v>5775</v>
      </c>
      <c r="I2495" s="1" t="d">
        <v>2012-08-30</v>
      </c>
      <c r="J2495" t="s">
        <v>860</v>
      </c>
      <c r="K2495" s="17" t="s">
        <v>42</v>
      </c>
      <c r="L2495">
        <v>4</v>
      </c>
    </row>
    <row r="2496" spans="1:12" x14ac:dyDescent="0.25">
      <c r="A2496" t="s">
        <v>4861</v>
      </c>
      <c r="B2496" t="s">
        <v>804</v>
      </c>
      <c r="C2496" t="s">
        <v>1881</v>
      </c>
      <c r="D2496" t="s">
        <v>23</v>
      </c>
      <c r="E2496">
        <v>21</v>
      </c>
      <c r="F2496" t="s">
        <v>258</v>
      </c>
      <c r="G2496" t="s">
        <v>88</v>
      </c>
      <c r="H2496" t="s">
        <v>5776</v>
      </c>
      <c r="I2496" s="1" t="d">
        <v>2010-05-22</v>
      </c>
      <c r="J2496" t="s">
        <v>3655</v>
      </c>
      <c r="K2496" s="17" t="s">
        <v>71</v>
      </c>
      <c r="L2496">
        <v>3</v>
      </c>
    </row>
    <row r="2497" spans="1:12" x14ac:dyDescent="0.25">
      <c r="A2497" t="s">
        <v>5777</v>
      </c>
      <c r="B2497" t="s">
        <v>936</v>
      </c>
      <c r="C2497" t="s">
        <v>766</v>
      </c>
      <c r="D2497" t="s">
        <v>23</v>
      </c>
      <c r="E2497">
        <v>44</v>
      </c>
      <c r="F2497" t="s">
        <v>264</v>
      </c>
      <c r="G2497" t="s">
        <v>48</v>
      </c>
      <c r="H2497">
        <v>86871</v>
      </c>
      <c r="I2497" s="1" t="d">
        <v>2022-10-03</v>
      </c>
      <c r="J2497" t="s">
        <v>5778</v>
      </c>
      <c r="K2497" s="17" t="s">
        <v>50</v>
      </c>
      <c r="L2497">
        <v>3</v>
      </c>
    </row>
    <row r="2498" spans="1:12" x14ac:dyDescent="0.25">
      <c r="A2498" t="s">
        <v>5779</v>
      </c>
      <c r="B2498" t="s">
        <v>936</v>
      </c>
      <c r="C2498" t="s">
        <v>135</v>
      </c>
      <c r="D2498" t="s">
        <v>23</v>
      </c>
      <c r="E2498">
        <v>21</v>
      </c>
      <c r="F2498" t="s">
        <v>974</v>
      </c>
      <c r="G2498" t="s">
        <v>115</v>
      </c>
      <c r="H2498" s="2">
        <v>78213</v>
      </c>
      <c r="I2498" s="1" t="d">
        <v>2005-04-23</v>
      </c>
      <c r="J2498" t="s">
        <v>2005</v>
      </c>
      <c r="K2498" s="17" t="s">
        <v>149</v>
      </c>
      <c r="L2498">
        <v>2</v>
      </c>
    </row>
    <row r="2499" spans="1:12" x14ac:dyDescent="0.25">
      <c r="A2499" t="s">
        <v>5780</v>
      </c>
      <c r="B2499" t="s">
        <v>1086</v>
      </c>
      <c r="C2499" t="s">
        <v>5781</v>
      </c>
      <c r="D2499" t="s">
        <v>9527</v>
      </c>
      <c r="E2499">
        <v>34</v>
      </c>
      <c r="F2499" t="s">
        <v>54</v>
      </c>
      <c r="G2499" t="s">
        <v>141</v>
      </c>
      <c r="H2499" t="s">
        <v>5782</v>
      </c>
      <c r="I2499" s="1" t="d">
        <v>2024-09-03</v>
      </c>
      <c r="J2499" t="s">
        <v>4152</v>
      </c>
      <c r="K2499" s="17" t="s">
        <v>27</v>
      </c>
      <c r="L2499">
        <v>3</v>
      </c>
    </row>
    <row r="2500" spans="1:12" x14ac:dyDescent="0.25">
      <c r="A2500" t="s">
        <v>5783</v>
      </c>
      <c r="B2500" t="s">
        <v>79</v>
      </c>
      <c r="C2500" t="s">
        <v>405</v>
      </c>
      <c r="D2500" t="s">
        <v>46</v>
      </c>
      <c r="E2500">
        <v>49</v>
      </c>
      <c r="F2500" t="s">
        <v>399</v>
      </c>
      <c r="G2500" t="s">
        <v>1215</v>
      </c>
      <c r="H2500" s="2">
        <v>53699</v>
      </c>
      <c r="I2500" s="1" t="d">
        <v>2020-08-03</v>
      </c>
      <c r="J2500" t="s">
        <v>979</v>
      </c>
      <c r="K2500" s="17" t="s">
        <v>184</v>
      </c>
      <c r="L2500">
        <v>5</v>
      </c>
    </row>
    <row r="2501" spans="1:12" x14ac:dyDescent="0.25">
      <c r="A2501" t="s">
        <v>5784</v>
      </c>
      <c r="B2501" t="s">
        <v>5443</v>
      </c>
      <c r="C2501" t="s">
        <v>2562</v>
      </c>
      <c r="D2501" t="s">
        <v>46</v>
      </c>
      <c r="E2501">
        <v>21</v>
      </c>
      <c r="F2501" t="s">
        <v>2937</v>
      </c>
      <c r="G2501" t="s">
        <v>212</v>
      </c>
      <c r="H2501" s="2">
        <v>53466</v>
      </c>
      <c r="I2501" s="1" t="d">
        <v>2013-12-24</v>
      </c>
      <c r="J2501" t="s">
        <v>3885</v>
      </c>
      <c r="K2501" s="17" t="s">
        <v>100</v>
      </c>
      <c r="L2501">
        <v>3</v>
      </c>
    </row>
    <row r="2502" spans="1:12" x14ac:dyDescent="0.25">
      <c r="A2502" t="s">
        <v>5785</v>
      </c>
      <c r="B2502" t="s">
        <v>306</v>
      </c>
      <c r="C2502" t="s">
        <v>381</v>
      </c>
      <c r="D2502" t="s">
        <v>23</v>
      </c>
      <c r="E2502">
        <v>49</v>
      </c>
      <c r="F2502" t="s">
        <v>190</v>
      </c>
      <c r="G2502" t="s">
        <v>3277</v>
      </c>
      <c r="I2502" s="1" t="d">
        <v>2020-05-30</v>
      </c>
      <c r="J2502" t="s">
        <v>383</v>
      </c>
      <c r="K2502" s="17" t="s">
        <v>149</v>
      </c>
      <c r="L2502">
        <v>5</v>
      </c>
    </row>
    <row r="2503" spans="1:12" x14ac:dyDescent="0.25">
      <c r="A2503" t="s">
        <v>5786</v>
      </c>
      <c r="B2503" t="s">
        <v>98</v>
      </c>
      <c r="C2503" t="s">
        <v>135</v>
      </c>
      <c r="D2503" t="s">
        <v>23</v>
      </c>
      <c r="E2503">
        <v>38</v>
      </c>
      <c r="F2503" t="s">
        <v>38</v>
      </c>
      <c r="G2503" t="s">
        <v>82</v>
      </c>
      <c r="H2503" t="s">
        <v>5787</v>
      </c>
      <c r="I2503" s="1" t="d">
        <v>2010-10-22</v>
      </c>
      <c r="J2503" t="s">
        <v>564</v>
      </c>
      <c r="K2503" s="17" t="s">
        <v>149</v>
      </c>
      <c r="L2503">
        <v>3</v>
      </c>
    </row>
    <row r="2504" spans="1:12" x14ac:dyDescent="0.25">
      <c r="A2504" t="s">
        <v>5788</v>
      </c>
      <c r="B2504" t="s">
        <v>112</v>
      </c>
      <c r="C2504" t="s">
        <v>2755</v>
      </c>
      <c r="D2504" t="s">
        <v>46</v>
      </c>
      <c r="E2504">
        <v>30</v>
      </c>
      <c r="F2504" t="s">
        <v>918</v>
      </c>
      <c r="G2504" t="s">
        <v>39</v>
      </c>
      <c r="H2504" t="s">
        <v>5789</v>
      </c>
      <c r="I2504" s="1" t="d">
        <v>2019-08-13</v>
      </c>
      <c r="J2504" t="s">
        <v>4218</v>
      </c>
      <c r="K2504" s="17" t="s">
        <v>90</v>
      </c>
      <c r="L2504">
        <v>3</v>
      </c>
    </row>
    <row r="2505" spans="1:12" x14ac:dyDescent="0.25">
      <c r="A2505" t="s">
        <v>5790</v>
      </c>
      <c r="B2505" t="s">
        <v>404</v>
      </c>
      <c r="C2505" t="s">
        <v>61</v>
      </c>
      <c r="D2505" t="s">
        <v>46</v>
      </c>
      <c r="E2505">
        <v>34</v>
      </c>
      <c r="F2505" t="s">
        <v>196</v>
      </c>
      <c r="G2505" t="s">
        <v>842</v>
      </c>
      <c r="H2505" t="s">
        <v>5791</v>
      </c>
      <c r="I2505" s="1" t="d">
        <v>2021-11-02</v>
      </c>
      <c r="J2505" t="s">
        <v>887</v>
      </c>
      <c r="K2505" s="17" t="s">
        <v>90</v>
      </c>
      <c r="L2505">
        <v>3</v>
      </c>
    </row>
    <row r="2506" spans="1:12" x14ac:dyDescent="0.25">
      <c r="A2506" t="s">
        <v>5792</v>
      </c>
      <c r="B2506" t="s">
        <v>520</v>
      </c>
      <c r="C2506" t="s">
        <v>2013</v>
      </c>
      <c r="D2506" t="s">
        <v>9527</v>
      </c>
      <c r="E2506">
        <v>46</v>
      </c>
      <c r="F2506" t="s">
        <v>146</v>
      </c>
      <c r="G2506" t="s">
        <v>69</v>
      </c>
      <c r="H2506" t="s">
        <v>5793</v>
      </c>
      <c r="I2506" s="1" t="d">
        <v>2014-02-16</v>
      </c>
      <c r="J2506" t="s">
        <v>3374</v>
      </c>
      <c r="K2506" s="17" t="s">
        <v>42</v>
      </c>
      <c r="L2506">
        <v>3</v>
      </c>
    </row>
    <row r="2507" spans="1:12" x14ac:dyDescent="0.25">
      <c r="A2507" t="s">
        <v>5794</v>
      </c>
      <c r="B2507" t="s">
        <v>410</v>
      </c>
      <c r="C2507" t="s">
        <v>525</v>
      </c>
      <c r="D2507" t="s">
        <v>9527</v>
      </c>
      <c r="E2507">
        <v>48</v>
      </c>
      <c r="F2507" t="s">
        <v>253</v>
      </c>
      <c r="G2507" t="s">
        <v>3243</v>
      </c>
      <c r="J2507" t="s">
        <v>5715</v>
      </c>
      <c r="K2507" s="17" t="s">
        <v>42</v>
      </c>
      <c r="L2507">
        <v>3</v>
      </c>
    </row>
    <row r="2508" spans="1:12" x14ac:dyDescent="0.25">
      <c r="A2508" t="s">
        <v>5795</v>
      </c>
      <c r="B2508" t="s">
        <v>448</v>
      </c>
      <c r="C2508" t="s">
        <v>665</v>
      </c>
      <c r="D2508" t="s">
        <v>46</v>
      </c>
      <c r="E2508">
        <v>53</v>
      </c>
      <c r="F2508" t="s">
        <v>68</v>
      </c>
      <c r="G2508" t="s">
        <v>147</v>
      </c>
      <c r="H2508" t="s">
        <v>5796</v>
      </c>
      <c r="J2508" t="s">
        <v>4418</v>
      </c>
      <c r="K2508" s="17" t="s">
        <v>90</v>
      </c>
      <c r="L2508">
        <v>3</v>
      </c>
    </row>
    <row r="2509" spans="1:12" x14ac:dyDescent="0.25">
      <c r="A2509" t="s">
        <v>5797</v>
      </c>
      <c r="B2509" t="s">
        <v>499</v>
      </c>
      <c r="C2509" t="s">
        <v>1030</v>
      </c>
      <c r="D2509" t="s">
        <v>23</v>
      </c>
      <c r="E2509">
        <v>39</v>
      </c>
      <c r="G2509" t="s">
        <v>283</v>
      </c>
      <c r="H2509">
        <v>156033</v>
      </c>
      <c r="I2509" s="1" t="d">
        <v>2022-12-02</v>
      </c>
      <c r="J2509" t="s">
        <v>1852</v>
      </c>
      <c r="K2509" s="17" t="s">
        <v>118</v>
      </c>
      <c r="L2509">
        <v>3</v>
      </c>
    </row>
    <row r="2510" spans="1:12" x14ac:dyDescent="0.25">
      <c r="A2510" t="s">
        <v>5798</v>
      </c>
      <c r="B2510" t="s">
        <v>826</v>
      </c>
      <c r="C2510" t="s">
        <v>189</v>
      </c>
      <c r="D2510" t="s">
        <v>46</v>
      </c>
      <c r="E2510">
        <v>55</v>
      </c>
      <c r="F2510" t="s">
        <v>5799</v>
      </c>
      <c r="G2510" t="s">
        <v>82</v>
      </c>
      <c r="H2510" t="s">
        <v>5800</v>
      </c>
      <c r="I2510" s="1" t="d">
        <v>2005-06-17</v>
      </c>
      <c r="J2510" t="s">
        <v>4145</v>
      </c>
      <c r="K2510" s="17" t="s">
        <v>50</v>
      </c>
      <c r="L2510">
        <v>5</v>
      </c>
    </row>
    <row r="2511" spans="1:12" x14ac:dyDescent="0.25">
      <c r="A2511" t="s">
        <v>5801</v>
      </c>
      <c r="B2511" t="s">
        <v>2681</v>
      </c>
      <c r="C2511" t="s">
        <v>395</v>
      </c>
      <c r="D2511" t="s">
        <v>23</v>
      </c>
      <c r="E2511">
        <v>33</v>
      </c>
      <c r="F2511" t="s">
        <v>1120</v>
      </c>
      <c r="G2511" t="s">
        <v>39</v>
      </c>
      <c r="H2511" t="s">
        <v>5802</v>
      </c>
      <c r="I2511" s="1" t="d">
        <v>2023-05-09</v>
      </c>
      <c r="J2511" t="s">
        <v>893</v>
      </c>
      <c r="K2511" s="17" t="s">
        <v>100</v>
      </c>
      <c r="L2511">
        <v>4</v>
      </c>
    </row>
    <row r="2512" spans="1:12" x14ac:dyDescent="0.25">
      <c r="A2512" t="s">
        <v>5803</v>
      </c>
      <c r="B2512" t="s">
        <v>162</v>
      </c>
      <c r="C2512" t="s">
        <v>181</v>
      </c>
      <c r="D2512" t="s">
        <v>46</v>
      </c>
      <c r="E2512">
        <v>32</v>
      </c>
      <c r="F2512" t="s">
        <v>645</v>
      </c>
      <c r="G2512" t="s">
        <v>95</v>
      </c>
      <c r="H2512" t="s">
        <v>5804</v>
      </c>
      <c r="I2512" s="1" t="d">
        <v>2022-05-21</v>
      </c>
      <c r="J2512" t="s">
        <v>820</v>
      </c>
      <c r="K2512" s="17" t="s">
        <v>100</v>
      </c>
      <c r="L2512">
        <v>4</v>
      </c>
    </row>
    <row r="2513" spans="1:12" x14ac:dyDescent="0.25">
      <c r="A2513" t="s">
        <v>5805</v>
      </c>
      <c r="B2513" t="s">
        <v>702</v>
      </c>
      <c r="C2513" t="s">
        <v>512</v>
      </c>
      <c r="D2513" t="s">
        <v>23</v>
      </c>
      <c r="E2513">
        <v>21</v>
      </c>
      <c r="F2513" t="s">
        <v>146</v>
      </c>
      <c r="G2513" t="s">
        <v>638</v>
      </c>
      <c r="H2513">
        <v>133126</v>
      </c>
      <c r="I2513" s="1" t="d">
        <v>2017-09-20</v>
      </c>
      <c r="J2513" t="s">
        <v>4821</v>
      </c>
      <c r="K2513" s="17" t="s">
        <v>100</v>
      </c>
      <c r="L2513">
        <v>4</v>
      </c>
    </row>
    <row r="2514" spans="1:12" x14ac:dyDescent="0.25">
      <c r="A2514" t="s">
        <v>5806</v>
      </c>
      <c r="B2514" t="s">
        <v>36</v>
      </c>
      <c r="C2514" t="s">
        <v>1182</v>
      </c>
      <c r="D2514" t="s">
        <v>23</v>
      </c>
      <c r="E2514">
        <v>50</v>
      </c>
      <c r="F2514" t="s">
        <v>1110</v>
      </c>
      <c r="G2514" t="s">
        <v>212</v>
      </c>
      <c r="H2514" s="2">
        <v>95929</v>
      </c>
      <c r="I2514" s="1" t="d">
        <v>2012-08-01</v>
      </c>
      <c r="J2514" t="s">
        <v>4673</v>
      </c>
      <c r="K2514" s="17" t="s">
        <v>207</v>
      </c>
      <c r="L2514">
        <v>3</v>
      </c>
    </row>
    <row r="2515" spans="1:12" x14ac:dyDescent="0.25">
      <c r="A2515" t="s">
        <v>5807</v>
      </c>
      <c r="B2515" t="s">
        <v>120</v>
      </c>
      <c r="C2515" t="s">
        <v>215</v>
      </c>
      <c r="D2515" t="s">
        <v>9527</v>
      </c>
      <c r="E2515">
        <v>49</v>
      </c>
      <c r="F2515" t="s">
        <v>1590</v>
      </c>
      <c r="G2515" t="s">
        <v>39</v>
      </c>
      <c r="H2515" t="s">
        <v>5808</v>
      </c>
      <c r="I2515" s="1" t="d">
        <v>2008-12-26</v>
      </c>
      <c r="J2515" t="s">
        <v>2173</v>
      </c>
      <c r="K2515" s="17" t="s">
        <v>34</v>
      </c>
      <c r="L2515">
        <v>5</v>
      </c>
    </row>
    <row r="2516" spans="1:12" x14ac:dyDescent="0.25">
      <c r="A2516" t="s">
        <v>5809</v>
      </c>
      <c r="B2516" t="s">
        <v>86</v>
      </c>
      <c r="C2516" t="s">
        <v>624</v>
      </c>
      <c r="D2516" t="s">
        <v>23</v>
      </c>
      <c r="E2516">
        <v>28</v>
      </c>
      <c r="F2516" t="s">
        <v>417</v>
      </c>
      <c r="G2516" t="s">
        <v>39</v>
      </c>
      <c r="H2516" t="s">
        <v>5810</v>
      </c>
      <c r="I2516" s="1" t="d">
        <v>2017-06-20</v>
      </c>
      <c r="J2516" t="s">
        <v>4263</v>
      </c>
      <c r="K2516" s="17" t="s">
        <v>71</v>
      </c>
      <c r="L2516">
        <v>4</v>
      </c>
    </row>
    <row r="2517" spans="1:12" x14ac:dyDescent="0.25">
      <c r="A2517" t="s">
        <v>5811</v>
      </c>
      <c r="B2517" t="s">
        <v>134</v>
      </c>
      <c r="C2517" t="s">
        <v>631</v>
      </c>
      <c r="D2517" t="s">
        <v>46</v>
      </c>
      <c r="E2517">
        <v>30</v>
      </c>
      <c r="F2517" t="s">
        <v>373</v>
      </c>
      <c r="G2517" t="s">
        <v>55</v>
      </c>
      <c r="H2517" t="s">
        <v>5812</v>
      </c>
      <c r="I2517" s="1" t="d">
        <v>2011-06-17</v>
      </c>
      <c r="J2517" t="s">
        <v>1267</v>
      </c>
      <c r="K2517" s="17" t="s">
        <v>42</v>
      </c>
      <c r="L2517">
        <v>5</v>
      </c>
    </row>
    <row r="2518" spans="1:12" x14ac:dyDescent="0.25">
      <c r="A2518" t="s">
        <v>5813</v>
      </c>
      <c r="B2518" t="s">
        <v>804</v>
      </c>
      <c r="C2518" t="s">
        <v>107</v>
      </c>
      <c r="D2518" t="s">
        <v>23</v>
      </c>
      <c r="E2518">
        <v>44</v>
      </c>
      <c r="F2518" t="s">
        <v>522</v>
      </c>
      <c r="G2518" t="s">
        <v>212</v>
      </c>
      <c r="H2518" s="2">
        <v>97361</v>
      </c>
      <c r="I2518" s="1" t="d">
        <v>2007-02-15</v>
      </c>
      <c r="J2518" t="s">
        <v>3576</v>
      </c>
      <c r="K2518" s="17" t="s">
        <v>184</v>
      </c>
      <c r="L2518">
        <v>4</v>
      </c>
    </row>
    <row r="2519" spans="1:12" x14ac:dyDescent="0.25">
      <c r="A2519" t="s">
        <v>5814</v>
      </c>
      <c r="B2519" t="s">
        <v>1689</v>
      </c>
      <c r="C2519" t="s">
        <v>758</v>
      </c>
      <c r="D2519" t="s">
        <v>46</v>
      </c>
      <c r="E2519">
        <v>53</v>
      </c>
      <c r="F2519" t="s">
        <v>4095</v>
      </c>
      <c r="G2519" t="s">
        <v>191</v>
      </c>
      <c r="H2519" s="2">
        <v>46904</v>
      </c>
      <c r="I2519" s="1" t="d">
        <v>2006-05-23</v>
      </c>
      <c r="J2519" t="s">
        <v>5815</v>
      </c>
      <c r="K2519" s="17" t="s">
        <v>100</v>
      </c>
      <c r="L2519">
        <v>4</v>
      </c>
    </row>
    <row r="2520" spans="1:12" x14ac:dyDescent="0.25">
      <c r="A2520" t="s">
        <v>5816</v>
      </c>
      <c r="B2520" t="s">
        <v>746</v>
      </c>
      <c r="C2520" t="s">
        <v>970</v>
      </c>
      <c r="D2520" t="s">
        <v>23</v>
      </c>
      <c r="E2520">
        <v>51</v>
      </c>
      <c r="F2520" t="s">
        <v>645</v>
      </c>
      <c r="G2520" t="s">
        <v>39</v>
      </c>
      <c r="I2520" s="1" t="d">
        <v>2011-12-14</v>
      </c>
      <c r="J2520" t="s">
        <v>5817</v>
      </c>
      <c r="K2520" s="17" t="s">
        <v>207</v>
      </c>
      <c r="L2520">
        <v>2</v>
      </c>
    </row>
    <row r="2521" spans="1:12" x14ac:dyDescent="0.25">
      <c r="A2521" t="s">
        <v>5818</v>
      </c>
      <c r="B2521" t="s">
        <v>945</v>
      </c>
      <c r="C2521" t="s">
        <v>474</v>
      </c>
      <c r="D2521" t="s">
        <v>46</v>
      </c>
      <c r="E2521">
        <v>35</v>
      </c>
      <c r="G2521" t="s">
        <v>278</v>
      </c>
      <c r="H2521" t="s">
        <v>5819</v>
      </c>
      <c r="I2521" s="1" t="d">
        <v>2006-08-03</v>
      </c>
      <c r="J2521" t="s">
        <v>3472</v>
      </c>
      <c r="K2521" s="17" t="s">
        <v>90</v>
      </c>
      <c r="L2521">
        <v>4</v>
      </c>
    </row>
    <row r="2522" spans="1:12" x14ac:dyDescent="0.25">
      <c r="A2522" t="s">
        <v>5820</v>
      </c>
      <c r="B2522" t="s">
        <v>410</v>
      </c>
      <c r="C2522" t="s">
        <v>189</v>
      </c>
      <c r="D2522" t="s">
        <v>9527</v>
      </c>
      <c r="E2522">
        <v>26</v>
      </c>
      <c r="F2522" t="s">
        <v>68</v>
      </c>
      <c r="G2522" t="s">
        <v>16</v>
      </c>
      <c r="H2522" s="2">
        <v>136255</v>
      </c>
      <c r="I2522" s="1" t="d">
        <v>2018-07-25</v>
      </c>
      <c r="J2522" t="s">
        <v>2735</v>
      </c>
      <c r="K2522" s="17" t="s">
        <v>118</v>
      </c>
      <c r="L2522">
        <v>4</v>
      </c>
    </row>
    <row r="2523" spans="1:12" x14ac:dyDescent="0.25">
      <c r="A2523" t="s">
        <v>5821</v>
      </c>
      <c r="B2523" t="s">
        <v>1213</v>
      </c>
      <c r="C2523" t="s">
        <v>295</v>
      </c>
      <c r="D2523" t="s">
        <v>9527</v>
      </c>
      <c r="E2523">
        <v>48</v>
      </c>
      <c r="F2523" t="s">
        <v>122</v>
      </c>
      <c r="G2523" t="s">
        <v>458</v>
      </c>
      <c r="H2523" t="s">
        <v>5822</v>
      </c>
      <c r="I2523" s="1" t="d">
        <v>2013-09-07</v>
      </c>
      <c r="J2523" t="s">
        <v>5823</v>
      </c>
      <c r="K2523" s="17" t="s">
        <v>100</v>
      </c>
      <c r="L2523">
        <v>3</v>
      </c>
    </row>
    <row r="2524" spans="1:12" x14ac:dyDescent="0.25">
      <c r="A2524" t="s">
        <v>5824</v>
      </c>
      <c r="B2524" t="s">
        <v>862</v>
      </c>
      <c r="C2524" t="s">
        <v>858</v>
      </c>
      <c r="D2524" t="s">
        <v>46</v>
      </c>
      <c r="E2524">
        <v>32</v>
      </c>
      <c r="F2524" t="s">
        <v>365</v>
      </c>
      <c r="G2524" t="s">
        <v>967</v>
      </c>
      <c r="H2524" s="2">
        <v>48314</v>
      </c>
      <c r="I2524" s="1" t="d">
        <v>2017-11-09</v>
      </c>
      <c r="J2524" t="s">
        <v>4503</v>
      </c>
      <c r="K2524" s="17" t="s">
        <v>50</v>
      </c>
      <c r="L2524">
        <v>4</v>
      </c>
    </row>
    <row r="2525" spans="1:12" x14ac:dyDescent="0.25">
      <c r="A2525" t="s">
        <v>5825</v>
      </c>
      <c r="B2525" t="s">
        <v>499</v>
      </c>
      <c r="C2525" t="s">
        <v>739</v>
      </c>
      <c r="D2525" t="s">
        <v>46</v>
      </c>
      <c r="E2525">
        <v>32</v>
      </c>
      <c r="F2525" t="s">
        <v>5826</v>
      </c>
      <c r="G2525" t="s">
        <v>205</v>
      </c>
      <c r="H2525" t="s">
        <v>5827</v>
      </c>
      <c r="I2525" s="1" t="d">
        <v>2023-11-10</v>
      </c>
      <c r="J2525" t="s">
        <v>4877</v>
      </c>
      <c r="K2525" s="17" t="s">
        <v>42</v>
      </c>
      <c r="L2525">
        <v>3</v>
      </c>
    </row>
    <row r="2526" spans="1:12" x14ac:dyDescent="0.25">
      <c r="A2526" t="s">
        <v>5828</v>
      </c>
      <c r="B2526" t="s">
        <v>1051</v>
      </c>
      <c r="C2526" t="s">
        <v>107</v>
      </c>
      <c r="D2526" t="s">
        <v>46</v>
      </c>
      <c r="E2526">
        <v>50</v>
      </c>
      <c r="F2526" t="s">
        <v>2771</v>
      </c>
      <c r="G2526" t="s">
        <v>191</v>
      </c>
      <c r="H2526">
        <v>52776</v>
      </c>
      <c r="I2526" s="1" t="d">
        <v>2021-01-03</v>
      </c>
      <c r="J2526" t="s">
        <v>3450</v>
      </c>
      <c r="K2526" s="17" t="s">
        <v>118</v>
      </c>
      <c r="L2526">
        <v>2</v>
      </c>
    </row>
    <row r="2527" spans="1:12" x14ac:dyDescent="0.25">
      <c r="A2527" t="s">
        <v>5829</v>
      </c>
      <c r="B2527" t="s">
        <v>1241</v>
      </c>
      <c r="C2527" t="s">
        <v>1015</v>
      </c>
      <c r="D2527" t="s">
        <v>23</v>
      </c>
      <c r="E2527">
        <v>39</v>
      </c>
      <c r="F2527" t="s">
        <v>264</v>
      </c>
      <c r="G2527" t="s">
        <v>88</v>
      </c>
      <c r="H2527" t="s">
        <v>5830</v>
      </c>
      <c r="I2527" s="1" t="d">
        <v>2022-09-28</v>
      </c>
      <c r="J2527" t="s">
        <v>4800</v>
      </c>
      <c r="K2527" s="17" t="s">
        <v>100</v>
      </c>
      <c r="L2527">
        <v>3</v>
      </c>
    </row>
    <row r="2528" spans="1:12" x14ac:dyDescent="0.25">
      <c r="A2528" t="s">
        <v>5831</v>
      </c>
      <c r="B2528" t="s">
        <v>993</v>
      </c>
      <c r="C2528" t="s">
        <v>2023</v>
      </c>
      <c r="D2528" t="s">
        <v>23</v>
      </c>
      <c r="E2528">
        <v>34</v>
      </c>
      <c r="F2528" t="s">
        <v>15</v>
      </c>
      <c r="G2528" t="s">
        <v>39</v>
      </c>
      <c r="H2528" s="2">
        <v>87224</v>
      </c>
      <c r="I2528" s="1" t="d">
        <v>2010-12-01</v>
      </c>
      <c r="J2528" t="s">
        <v>2518</v>
      </c>
      <c r="K2528" s="17" t="s">
        <v>71</v>
      </c>
      <c r="L2528">
        <v>5</v>
      </c>
    </row>
    <row r="2529" spans="1:12" x14ac:dyDescent="0.25">
      <c r="A2529" t="s">
        <v>5832</v>
      </c>
      <c r="B2529" t="s">
        <v>1374</v>
      </c>
      <c r="C2529" t="s">
        <v>152</v>
      </c>
      <c r="D2529" t="s">
        <v>46</v>
      </c>
      <c r="E2529">
        <v>42</v>
      </c>
      <c r="F2529" t="s">
        <v>411</v>
      </c>
      <c r="G2529" t="s">
        <v>39</v>
      </c>
      <c r="H2529">
        <v>49685</v>
      </c>
      <c r="I2529" s="1" t="d">
        <v>2012-04-01</v>
      </c>
      <c r="J2529" t="s">
        <v>3621</v>
      </c>
      <c r="K2529" s="17" t="s">
        <v>90</v>
      </c>
      <c r="L2529">
        <v>3</v>
      </c>
    </row>
    <row r="2530" spans="1:12" x14ac:dyDescent="0.25">
      <c r="A2530" t="s">
        <v>5833</v>
      </c>
      <c r="B2530" t="s">
        <v>594</v>
      </c>
      <c r="C2530" t="s">
        <v>778</v>
      </c>
      <c r="D2530" t="s">
        <v>9527</v>
      </c>
      <c r="E2530">
        <v>35</v>
      </c>
      <c r="F2530" t="s">
        <v>296</v>
      </c>
      <c r="G2530" t="s">
        <v>141</v>
      </c>
      <c r="H2530" s="2">
        <v>95379</v>
      </c>
      <c r="I2530" s="1" t="d">
        <v>2006-04-18</v>
      </c>
      <c r="J2530" t="s">
        <v>1076</v>
      </c>
      <c r="K2530" s="17" t="s">
        <v>100</v>
      </c>
      <c r="L2530">
        <v>3</v>
      </c>
    </row>
    <row r="2531" spans="1:12" x14ac:dyDescent="0.25">
      <c r="A2531" t="s">
        <v>5834</v>
      </c>
      <c r="B2531" t="s">
        <v>394</v>
      </c>
      <c r="C2531" t="s">
        <v>377</v>
      </c>
      <c r="D2531" t="s">
        <v>9527</v>
      </c>
      <c r="E2531">
        <v>21</v>
      </c>
      <c r="F2531" t="s">
        <v>230</v>
      </c>
      <c r="G2531" t="s">
        <v>48</v>
      </c>
      <c r="H2531" t="s">
        <v>5835</v>
      </c>
      <c r="I2531" s="1" t="d">
        <v>2017-02-13</v>
      </c>
      <c r="J2531" t="s">
        <v>2980</v>
      </c>
      <c r="K2531" s="17" t="s">
        <v>184</v>
      </c>
      <c r="L2531">
        <v>4</v>
      </c>
    </row>
    <row r="2532" spans="1:12" x14ac:dyDescent="0.25">
      <c r="A2532" t="s">
        <v>4097</v>
      </c>
      <c r="B2532" t="s">
        <v>79</v>
      </c>
      <c r="C2532" t="s">
        <v>14</v>
      </c>
      <c r="D2532" t="s">
        <v>9527</v>
      </c>
      <c r="E2532">
        <v>35</v>
      </c>
      <c r="F2532" t="s">
        <v>253</v>
      </c>
      <c r="G2532" t="s">
        <v>39</v>
      </c>
      <c r="H2532" t="s">
        <v>4098</v>
      </c>
      <c r="I2532" s="1" t="d">
        <v>2012-09-05</v>
      </c>
      <c r="J2532" t="s">
        <v>2669</v>
      </c>
      <c r="K2532" s="17" t="s">
        <v>184</v>
      </c>
      <c r="L2532">
        <v>3</v>
      </c>
    </row>
    <row r="2533" spans="1:12" x14ac:dyDescent="0.25">
      <c r="A2533" t="s">
        <v>5836</v>
      </c>
      <c r="B2533" t="s">
        <v>1301</v>
      </c>
      <c r="C2533" t="s">
        <v>158</v>
      </c>
      <c r="D2533" t="s">
        <v>9527</v>
      </c>
      <c r="E2533">
        <v>34</v>
      </c>
      <c r="F2533" t="s">
        <v>2065</v>
      </c>
      <c r="G2533" t="s">
        <v>170</v>
      </c>
      <c r="H2533" s="2">
        <v>86896</v>
      </c>
      <c r="I2533" s="1" t="d">
        <v>2014-01-11</v>
      </c>
      <c r="J2533" t="s">
        <v>2210</v>
      </c>
      <c r="K2533" s="17" t="s">
        <v>19</v>
      </c>
      <c r="L2533">
        <v>4</v>
      </c>
    </row>
    <row r="2534" spans="1:12" x14ac:dyDescent="0.25">
      <c r="A2534" t="s">
        <v>5837</v>
      </c>
      <c r="B2534" t="s">
        <v>180</v>
      </c>
      <c r="C2534" t="s">
        <v>1814</v>
      </c>
      <c r="D2534" t="s">
        <v>23</v>
      </c>
      <c r="E2534">
        <v>35</v>
      </c>
      <c r="F2534" t="s">
        <v>146</v>
      </c>
      <c r="G2534" t="s">
        <v>504</v>
      </c>
      <c r="H2534">
        <v>94129</v>
      </c>
      <c r="I2534" s="1" t="d">
        <v>2009-03-10</v>
      </c>
      <c r="J2534" t="s">
        <v>5838</v>
      </c>
      <c r="K2534" s="17" t="s">
        <v>42</v>
      </c>
      <c r="L2534">
        <v>2</v>
      </c>
    </row>
    <row r="2535" spans="1:12" x14ac:dyDescent="0.25">
      <c r="A2535" t="s">
        <v>5839</v>
      </c>
      <c r="B2535" t="s">
        <v>826</v>
      </c>
      <c r="C2535" t="s">
        <v>3448</v>
      </c>
      <c r="D2535" t="s">
        <v>9527</v>
      </c>
      <c r="E2535">
        <v>41</v>
      </c>
      <c r="F2535" t="s">
        <v>211</v>
      </c>
      <c r="G2535" t="s">
        <v>69</v>
      </c>
      <c r="H2535">
        <v>55242</v>
      </c>
      <c r="I2535" s="1" t="d">
        <v>2007-10-01</v>
      </c>
      <c r="J2535" t="s">
        <v>940</v>
      </c>
      <c r="K2535" s="17" t="s">
        <v>100</v>
      </c>
      <c r="L2535">
        <v>4</v>
      </c>
    </row>
    <row r="2536" spans="1:12" x14ac:dyDescent="0.25">
      <c r="A2536" t="s">
        <v>5840</v>
      </c>
      <c r="B2536" t="s">
        <v>5841</v>
      </c>
      <c r="C2536" t="s">
        <v>295</v>
      </c>
      <c r="D2536" t="s">
        <v>46</v>
      </c>
      <c r="E2536">
        <v>30</v>
      </c>
      <c r="F2536" t="s">
        <v>576</v>
      </c>
      <c r="G2536" t="s">
        <v>912</v>
      </c>
      <c r="H2536" t="s">
        <v>5842</v>
      </c>
      <c r="I2536" s="1" t="d">
        <v>2015-03-18</v>
      </c>
      <c r="J2536" t="s">
        <v>2941</v>
      </c>
      <c r="K2536" s="17" t="s">
        <v>184</v>
      </c>
      <c r="L2536">
        <v>3</v>
      </c>
    </row>
    <row r="2537" spans="1:12" x14ac:dyDescent="0.25">
      <c r="A2537" t="s">
        <v>5843</v>
      </c>
      <c r="B2537" t="s">
        <v>120</v>
      </c>
      <c r="C2537" t="s">
        <v>715</v>
      </c>
      <c r="D2537" t="s">
        <v>46</v>
      </c>
      <c r="E2537">
        <v>36</v>
      </c>
      <c r="F2537" t="s">
        <v>5844</v>
      </c>
      <c r="G2537" t="s">
        <v>63</v>
      </c>
      <c r="H2537" t="s">
        <v>5845</v>
      </c>
      <c r="I2537" s="1" t="d">
        <v>2016-08-23</v>
      </c>
      <c r="J2537" t="s">
        <v>5846</v>
      </c>
      <c r="K2537" s="17" t="s">
        <v>50</v>
      </c>
      <c r="L2537">
        <v>4</v>
      </c>
    </row>
    <row r="2538" spans="1:12" x14ac:dyDescent="0.25">
      <c r="A2538" t="s">
        <v>5847</v>
      </c>
      <c r="B2538" t="s">
        <v>548</v>
      </c>
      <c r="C2538" t="s">
        <v>295</v>
      </c>
      <c r="D2538" t="s">
        <v>46</v>
      </c>
      <c r="E2538">
        <v>28</v>
      </c>
      <c r="F2538" t="s">
        <v>532</v>
      </c>
      <c r="G2538" t="s">
        <v>141</v>
      </c>
      <c r="H2538" t="s">
        <v>5848</v>
      </c>
      <c r="I2538" s="1" t="d">
        <v>2010-08-24</v>
      </c>
      <c r="J2538" t="s">
        <v>1278</v>
      </c>
      <c r="K2538" s="17" t="s">
        <v>42</v>
      </c>
      <c r="L2538">
        <v>4</v>
      </c>
    </row>
    <row r="2539" spans="1:12" x14ac:dyDescent="0.25">
      <c r="A2539" t="s">
        <v>5849</v>
      </c>
      <c r="B2539" t="s">
        <v>262</v>
      </c>
      <c r="C2539" t="s">
        <v>145</v>
      </c>
      <c r="D2539" t="s">
        <v>9527</v>
      </c>
      <c r="E2539">
        <v>40</v>
      </c>
      <c r="G2539" t="s">
        <v>39</v>
      </c>
      <c r="H2539" t="s">
        <v>5850</v>
      </c>
      <c r="I2539" s="1" t="d">
        <v>2013-08-28</v>
      </c>
      <c r="J2539" t="s">
        <v>5851</v>
      </c>
      <c r="K2539" s="17" t="s">
        <v>149</v>
      </c>
      <c r="L2539">
        <v>4</v>
      </c>
    </row>
    <row r="2540" spans="1:12" x14ac:dyDescent="0.25">
      <c r="A2540" t="s">
        <v>5852</v>
      </c>
      <c r="B2540" t="s">
        <v>718</v>
      </c>
      <c r="C2540" t="s">
        <v>1055</v>
      </c>
      <c r="D2540" t="s">
        <v>46</v>
      </c>
      <c r="E2540">
        <v>40</v>
      </c>
      <c r="F2540" t="s">
        <v>47</v>
      </c>
      <c r="G2540" t="s">
        <v>170</v>
      </c>
      <c r="H2540">
        <v>48145</v>
      </c>
      <c r="I2540" s="1" t="d">
        <v>2006-09-07</v>
      </c>
      <c r="J2540" t="s">
        <v>5853</v>
      </c>
      <c r="K2540" s="17" t="s">
        <v>184</v>
      </c>
      <c r="L2540">
        <v>3</v>
      </c>
    </row>
    <row r="2541" spans="1:12" x14ac:dyDescent="0.25">
      <c r="A2541" t="s">
        <v>5854</v>
      </c>
      <c r="B2541" t="s">
        <v>1002</v>
      </c>
      <c r="C2541" t="s">
        <v>1039</v>
      </c>
      <c r="D2541" t="s">
        <v>9527</v>
      </c>
      <c r="E2541">
        <v>45</v>
      </c>
      <c r="F2541" t="s">
        <v>532</v>
      </c>
      <c r="G2541" t="s">
        <v>88</v>
      </c>
      <c r="H2541" t="s">
        <v>5855</v>
      </c>
      <c r="J2541" t="s">
        <v>904</v>
      </c>
      <c r="K2541" s="17" t="s">
        <v>184</v>
      </c>
      <c r="L2541">
        <v>3</v>
      </c>
    </row>
    <row r="2542" spans="1:12" x14ac:dyDescent="0.25">
      <c r="A2542" t="s">
        <v>5856</v>
      </c>
      <c r="B2542" t="s">
        <v>1845</v>
      </c>
      <c r="C2542" t="s">
        <v>729</v>
      </c>
      <c r="D2542" t="s">
        <v>9527</v>
      </c>
      <c r="E2542">
        <v>45</v>
      </c>
      <c r="G2542" t="s">
        <v>82</v>
      </c>
      <c r="H2542">
        <v>50470</v>
      </c>
      <c r="I2542" s="1" t="d">
        <v>2021-11-25</v>
      </c>
      <c r="J2542" t="s">
        <v>219</v>
      </c>
      <c r="K2542" s="17" t="s">
        <v>100</v>
      </c>
      <c r="L2542">
        <v>3</v>
      </c>
    </row>
    <row r="2543" spans="1:12" x14ac:dyDescent="0.25">
      <c r="A2543" t="s">
        <v>5857</v>
      </c>
      <c r="B2543" t="s">
        <v>993</v>
      </c>
      <c r="C2543" t="s">
        <v>3694</v>
      </c>
      <c r="D2543" t="s">
        <v>23</v>
      </c>
      <c r="E2543">
        <v>49</v>
      </c>
      <c r="G2543" t="s">
        <v>297</v>
      </c>
      <c r="H2543" t="s">
        <v>5858</v>
      </c>
      <c r="J2543" t="s">
        <v>1144</v>
      </c>
      <c r="K2543" s="17" t="s">
        <v>58</v>
      </c>
      <c r="L2543">
        <v>3</v>
      </c>
    </row>
    <row r="2544" spans="1:12" x14ac:dyDescent="0.25">
      <c r="A2544" t="s">
        <v>5859</v>
      </c>
      <c r="B2544" t="s">
        <v>86</v>
      </c>
      <c r="C2544" t="s">
        <v>710</v>
      </c>
      <c r="D2544" t="s">
        <v>46</v>
      </c>
      <c r="E2544">
        <v>23</v>
      </c>
      <c r="F2544" t="s">
        <v>169</v>
      </c>
      <c r="G2544" t="s">
        <v>39</v>
      </c>
      <c r="H2544" t="s">
        <v>5860</v>
      </c>
      <c r="I2544" s="1" t="d">
        <v>2015-12-13</v>
      </c>
      <c r="J2544" t="s">
        <v>3963</v>
      </c>
      <c r="K2544" s="17" t="s">
        <v>370</v>
      </c>
      <c r="L2544">
        <v>4</v>
      </c>
    </row>
    <row r="2545" spans="1:12" x14ac:dyDescent="0.25">
      <c r="A2545" t="s">
        <v>5861</v>
      </c>
      <c r="B2545" t="s">
        <v>125</v>
      </c>
      <c r="C2545" t="s">
        <v>1442</v>
      </c>
      <c r="D2545" t="s">
        <v>23</v>
      </c>
      <c r="E2545">
        <v>32</v>
      </c>
      <c r="F2545" t="s">
        <v>104</v>
      </c>
      <c r="G2545" t="s">
        <v>458</v>
      </c>
      <c r="H2545">
        <v>66447</v>
      </c>
      <c r="I2545" s="1" t="d">
        <v>2012-04-29</v>
      </c>
      <c r="J2545" t="s">
        <v>1653</v>
      </c>
      <c r="K2545" s="17" t="s">
        <v>90</v>
      </c>
      <c r="L2545">
        <v>4</v>
      </c>
    </row>
    <row r="2546" spans="1:12" x14ac:dyDescent="0.25">
      <c r="A2546" t="s">
        <v>5862</v>
      </c>
      <c r="B2546" t="s">
        <v>1374</v>
      </c>
      <c r="C2546" t="s">
        <v>898</v>
      </c>
      <c r="D2546" t="s">
        <v>46</v>
      </c>
      <c r="E2546">
        <v>41</v>
      </c>
      <c r="F2546" t="s">
        <v>31</v>
      </c>
      <c r="G2546" t="s">
        <v>177</v>
      </c>
      <c r="H2546" s="2">
        <v>38163</v>
      </c>
      <c r="I2546" s="1" t="d">
        <v>2020-09-09</v>
      </c>
      <c r="J2546" t="s">
        <v>2375</v>
      </c>
      <c r="K2546" s="17" t="s">
        <v>50</v>
      </c>
      <c r="L2546">
        <v>4</v>
      </c>
    </row>
    <row r="2547" spans="1:12" x14ac:dyDescent="0.25">
      <c r="A2547" t="s">
        <v>5863</v>
      </c>
      <c r="B2547" t="s">
        <v>993</v>
      </c>
      <c r="C2547" t="s">
        <v>1622</v>
      </c>
      <c r="D2547" t="s">
        <v>46</v>
      </c>
      <c r="E2547">
        <v>35</v>
      </c>
      <c r="F2547" t="s">
        <v>108</v>
      </c>
      <c r="G2547" t="s">
        <v>217</v>
      </c>
      <c r="H2547" t="s">
        <v>5864</v>
      </c>
      <c r="I2547" s="1" t="d">
        <v>2019-06-20</v>
      </c>
      <c r="J2547" t="s">
        <v>1011</v>
      </c>
      <c r="K2547" s="17" t="s">
        <v>100</v>
      </c>
      <c r="L2547">
        <v>2</v>
      </c>
    </row>
    <row r="2548" spans="1:12" x14ac:dyDescent="0.25">
      <c r="A2548" t="s">
        <v>5865</v>
      </c>
      <c r="B2548" t="s">
        <v>670</v>
      </c>
      <c r="C2548" t="s">
        <v>1055</v>
      </c>
      <c r="D2548" t="s">
        <v>46</v>
      </c>
      <c r="E2548">
        <v>36</v>
      </c>
      <c r="F2548" t="s">
        <v>54</v>
      </c>
      <c r="G2548" t="s">
        <v>141</v>
      </c>
      <c r="H2548" t="s">
        <v>5866</v>
      </c>
      <c r="I2548" s="1" t="d">
        <v>2016-02-19</v>
      </c>
      <c r="J2548" t="s">
        <v>5054</v>
      </c>
      <c r="K2548" s="17" t="s">
        <v>19</v>
      </c>
      <c r="L2548">
        <v>3</v>
      </c>
    </row>
    <row r="2549" spans="1:12" x14ac:dyDescent="0.25">
      <c r="A2549" t="s">
        <v>5867</v>
      </c>
      <c r="B2549" t="s">
        <v>79</v>
      </c>
      <c r="C2549" t="s">
        <v>699</v>
      </c>
      <c r="D2549" t="s">
        <v>46</v>
      </c>
      <c r="E2549">
        <v>27</v>
      </c>
      <c r="F2549" t="s">
        <v>31</v>
      </c>
      <c r="G2549" t="s">
        <v>39</v>
      </c>
      <c r="H2549" s="2">
        <v>43501</v>
      </c>
      <c r="I2549" s="1" t="d">
        <v>2023-01-08</v>
      </c>
      <c r="J2549" t="s">
        <v>5868</v>
      </c>
      <c r="K2549" s="17" t="s">
        <v>58</v>
      </c>
      <c r="L2549">
        <v>4</v>
      </c>
    </row>
    <row r="2550" spans="1:12" x14ac:dyDescent="0.25">
      <c r="A2550" t="s">
        <v>5869</v>
      </c>
      <c r="B2550" t="s">
        <v>507</v>
      </c>
      <c r="C2550" t="s">
        <v>3982</v>
      </c>
      <c r="D2550" t="s">
        <v>9527</v>
      </c>
      <c r="E2550">
        <v>24</v>
      </c>
      <c r="F2550" t="s">
        <v>365</v>
      </c>
      <c r="G2550" t="s">
        <v>69</v>
      </c>
      <c r="H2550" s="2">
        <v>61888</v>
      </c>
      <c r="I2550" s="1" t="d">
        <v>2005-01-06</v>
      </c>
      <c r="J2550" t="s">
        <v>5680</v>
      </c>
      <c r="K2550" s="17" t="s">
        <v>90</v>
      </c>
      <c r="L2550">
        <v>5</v>
      </c>
    </row>
    <row r="2551" spans="1:12" x14ac:dyDescent="0.25">
      <c r="A2551" t="s">
        <v>5870</v>
      </c>
      <c r="B2551" t="s">
        <v>2517</v>
      </c>
      <c r="C2551" t="s">
        <v>291</v>
      </c>
      <c r="D2551" t="s">
        <v>9527</v>
      </c>
      <c r="E2551">
        <v>35</v>
      </c>
      <c r="F2551" t="s">
        <v>62</v>
      </c>
      <c r="G2551" t="s">
        <v>357</v>
      </c>
      <c r="H2551" s="2">
        <v>111059</v>
      </c>
      <c r="I2551" s="1" t="d">
        <v>2010-06-19</v>
      </c>
      <c r="J2551" t="s">
        <v>2928</v>
      </c>
      <c r="K2551" s="17" t="s">
        <v>149</v>
      </c>
      <c r="L2551">
        <v>4</v>
      </c>
    </row>
    <row r="2552" spans="1:12" x14ac:dyDescent="0.25">
      <c r="A2552" t="s">
        <v>5871</v>
      </c>
      <c r="B2552" t="s">
        <v>482</v>
      </c>
      <c r="C2552" t="s">
        <v>660</v>
      </c>
      <c r="D2552" t="s">
        <v>23</v>
      </c>
      <c r="E2552">
        <v>31</v>
      </c>
      <c r="F2552" t="s">
        <v>211</v>
      </c>
      <c r="G2552" t="s">
        <v>88</v>
      </c>
      <c r="H2552">
        <v>62527</v>
      </c>
      <c r="I2552" s="1" t="d">
        <v>2013-04-14</v>
      </c>
      <c r="J2552" t="s">
        <v>2968</v>
      </c>
      <c r="K2552" s="17" t="s">
        <v>90</v>
      </c>
      <c r="L2552">
        <v>4</v>
      </c>
    </row>
    <row r="2553" spans="1:12" x14ac:dyDescent="0.25">
      <c r="A2553" t="s">
        <v>5872</v>
      </c>
      <c r="B2553" t="s">
        <v>228</v>
      </c>
      <c r="C2553" t="s">
        <v>1253</v>
      </c>
      <c r="D2553" t="s">
        <v>46</v>
      </c>
      <c r="E2553">
        <v>35</v>
      </c>
      <c r="F2553" t="s">
        <v>559</v>
      </c>
      <c r="G2553" t="s">
        <v>82</v>
      </c>
      <c r="H2553">
        <v>78468</v>
      </c>
      <c r="I2553" s="1" t="d">
        <v>2010-07-16</v>
      </c>
      <c r="J2553" t="s">
        <v>5873</v>
      </c>
      <c r="K2553" s="17" t="s">
        <v>149</v>
      </c>
      <c r="L2553">
        <v>2</v>
      </c>
    </row>
    <row r="2554" spans="1:12" x14ac:dyDescent="0.25">
      <c r="A2554" t="s">
        <v>5874</v>
      </c>
      <c r="B2554" t="s">
        <v>520</v>
      </c>
      <c r="C2554" t="s">
        <v>747</v>
      </c>
      <c r="D2554" t="s">
        <v>23</v>
      </c>
      <c r="E2554">
        <v>36</v>
      </c>
      <c r="F2554" t="s">
        <v>356</v>
      </c>
      <c r="G2554" t="s">
        <v>16</v>
      </c>
      <c r="H2554">
        <v>148589</v>
      </c>
      <c r="J2554" t="s">
        <v>5875</v>
      </c>
      <c r="K2554" s="17" t="s">
        <v>207</v>
      </c>
      <c r="L2554">
        <v>4</v>
      </c>
    </row>
    <row r="2555" spans="1:12" x14ac:dyDescent="0.25">
      <c r="A2555" t="s">
        <v>5876</v>
      </c>
      <c r="B2555" t="s">
        <v>507</v>
      </c>
      <c r="C2555" t="s">
        <v>696</v>
      </c>
      <c r="D2555" t="s">
        <v>9527</v>
      </c>
      <c r="E2555">
        <v>42</v>
      </c>
      <c r="F2555" t="s">
        <v>2024</v>
      </c>
      <c r="G2555" t="s">
        <v>217</v>
      </c>
      <c r="H2555">
        <v>89642</v>
      </c>
      <c r="I2555" s="1" t="d">
        <v>2021-06-24</v>
      </c>
      <c r="J2555" t="s">
        <v>2838</v>
      </c>
      <c r="K2555" s="17" t="s">
        <v>184</v>
      </c>
      <c r="L2555">
        <v>4</v>
      </c>
    </row>
    <row r="2556" spans="1:12" x14ac:dyDescent="0.25">
      <c r="A2556" t="s">
        <v>5877</v>
      </c>
      <c r="B2556" t="s">
        <v>862</v>
      </c>
      <c r="C2556" t="s">
        <v>1306</v>
      </c>
      <c r="D2556" t="s">
        <v>23</v>
      </c>
      <c r="E2556">
        <v>54</v>
      </c>
      <c r="F2556" t="s">
        <v>1699</v>
      </c>
      <c r="G2556" t="s">
        <v>16</v>
      </c>
      <c r="H2556" s="2">
        <v>80568</v>
      </c>
      <c r="I2556" s="1" t="d">
        <v>2010-12-30</v>
      </c>
      <c r="J2556" t="s">
        <v>5707</v>
      </c>
      <c r="K2556" s="17" t="s">
        <v>90</v>
      </c>
      <c r="L2556">
        <v>3</v>
      </c>
    </row>
    <row r="2557" spans="1:12" x14ac:dyDescent="0.25">
      <c r="A2557" t="s">
        <v>5878</v>
      </c>
      <c r="B2557" t="s">
        <v>144</v>
      </c>
      <c r="C2557" t="s">
        <v>805</v>
      </c>
      <c r="D2557" t="s">
        <v>9527</v>
      </c>
      <c r="E2557">
        <v>36</v>
      </c>
      <c r="F2557" t="s">
        <v>1116</v>
      </c>
      <c r="G2557" t="s">
        <v>48</v>
      </c>
      <c r="H2557" t="s">
        <v>5879</v>
      </c>
      <c r="I2557" s="1" t="d">
        <v>2017-04-06</v>
      </c>
      <c r="J2557" t="s">
        <v>5102</v>
      </c>
      <c r="K2557" s="17" t="s">
        <v>100</v>
      </c>
      <c r="L2557">
        <v>5</v>
      </c>
    </row>
    <row r="2558" spans="1:12" x14ac:dyDescent="0.25">
      <c r="A2558" t="s">
        <v>5880</v>
      </c>
      <c r="B2558" t="s">
        <v>52</v>
      </c>
      <c r="C2558" t="s">
        <v>252</v>
      </c>
      <c r="D2558" t="s">
        <v>23</v>
      </c>
      <c r="E2558">
        <v>21</v>
      </c>
      <c r="F2558" t="s">
        <v>319</v>
      </c>
      <c r="G2558" t="s">
        <v>48</v>
      </c>
      <c r="I2558" s="1" t="d">
        <v>2020-06-08</v>
      </c>
      <c r="J2558" t="s">
        <v>642</v>
      </c>
      <c r="K2558" s="17" t="s">
        <v>71</v>
      </c>
      <c r="L2558">
        <v>4</v>
      </c>
    </row>
    <row r="2559" spans="1:12" x14ac:dyDescent="0.25">
      <c r="A2559" t="s">
        <v>5881</v>
      </c>
      <c r="B2559" t="s">
        <v>162</v>
      </c>
      <c r="C2559" t="s">
        <v>5882</v>
      </c>
      <c r="D2559" t="s">
        <v>46</v>
      </c>
      <c r="E2559">
        <v>39</v>
      </c>
      <c r="F2559" t="s">
        <v>153</v>
      </c>
      <c r="G2559" t="s">
        <v>48</v>
      </c>
      <c r="I2559" s="1" t="d">
        <v>2015-11-26</v>
      </c>
      <c r="J2559" t="s">
        <v>4299</v>
      </c>
      <c r="K2559" s="17" t="s">
        <v>27</v>
      </c>
      <c r="L2559">
        <v>4</v>
      </c>
    </row>
    <row r="2560" spans="1:12" x14ac:dyDescent="0.25">
      <c r="A2560" t="s">
        <v>5883</v>
      </c>
      <c r="B2560" t="s">
        <v>931</v>
      </c>
      <c r="C2560" t="s">
        <v>1326</v>
      </c>
      <c r="D2560" t="s">
        <v>23</v>
      </c>
      <c r="E2560">
        <v>42</v>
      </c>
      <c r="G2560" t="s">
        <v>351</v>
      </c>
      <c r="H2560" s="2">
        <v>86326</v>
      </c>
      <c r="I2560" s="1" t="d">
        <v>2007-10-30</v>
      </c>
      <c r="J2560" t="s">
        <v>5884</v>
      </c>
      <c r="K2560" s="17" t="s">
        <v>207</v>
      </c>
      <c r="L2560">
        <v>1</v>
      </c>
    </row>
    <row r="2561" spans="1:12" x14ac:dyDescent="0.25">
      <c r="A2561" t="s">
        <v>2053</v>
      </c>
      <c r="B2561" t="s">
        <v>3131</v>
      </c>
      <c r="C2561" t="s">
        <v>1326</v>
      </c>
      <c r="D2561" t="s">
        <v>46</v>
      </c>
      <c r="E2561">
        <v>44</v>
      </c>
      <c r="F2561" t="s">
        <v>532</v>
      </c>
      <c r="G2561" t="s">
        <v>878</v>
      </c>
      <c r="H2561">
        <v>97039</v>
      </c>
      <c r="I2561" s="1" t="d">
        <v>2008-12-16</v>
      </c>
      <c r="J2561" t="s">
        <v>2056</v>
      </c>
      <c r="K2561" s="17" t="s">
        <v>207</v>
      </c>
      <c r="L2561">
        <v>4</v>
      </c>
    </row>
    <row r="2562" spans="1:12" x14ac:dyDescent="0.25">
      <c r="A2562" t="s">
        <v>5885</v>
      </c>
      <c r="B2562" t="s">
        <v>520</v>
      </c>
      <c r="C2562" t="s">
        <v>1030</v>
      </c>
      <c r="D2562" t="s">
        <v>23</v>
      </c>
      <c r="E2562">
        <v>34</v>
      </c>
      <c r="F2562" t="s">
        <v>24</v>
      </c>
      <c r="G2562" t="s">
        <v>357</v>
      </c>
      <c r="H2562">
        <v>133671</v>
      </c>
      <c r="I2562" s="1" t="d">
        <v>2011-09-20</v>
      </c>
      <c r="J2562" t="s">
        <v>4035</v>
      </c>
      <c r="K2562" s="17" t="s">
        <v>90</v>
      </c>
      <c r="L2562">
        <v>3</v>
      </c>
    </row>
    <row r="2563" spans="1:12" x14ac:dyDescent="0.25">
      <c r="A2563" t="s">
        <v>5886</v>
      </c>
      <c r="B2563" t="s">
        <v>52</v>
      </c>
      <c r="C2563" t="s">
        <v>14</v>
      </c>
      <c r="D2563" t="s">
        <v>46</v>
      </c>
      <c r="E2563">
        <v>33</v>
      </c>
      <c r="F2563" t="s">
        <v>238</v>
      </c>
      <c r="G2563" t="s">
        <v>95</v>
      </c>
      <c r="H2563" t="s">
        <v>5887</v>
      </c>
      <c r="I2563" s="1" t="d">
        <v>2018-10-24</v>
      </c>
      <c r="J2563" t="s">
        <v>5026</v>
      </c>
      <c r="K2563" s="17" t="s">
        <v>100</v>
      </c>
      <c r="L2563">
        <v>2</v>
      </c>
    </row>
    <row r="2564" spans="1:12" x14ac:dyDescent="0.25">
      <c r="A2564" t="s">
        <v>5888</v>
      </c>
      <c r="B2564" t="s">
        <v>340</v>
      </c>
      <c r="C2564" t="s">
        <v>1881</v>
      </c>
      <c r="D2564" t="s">
        <v>9527</v>
      </c>
      <c r="E2564">
        <v>36</v>
      </c>
      <c r="F2564" t="s">
        <v>269</v>
      </c>
      <c r="G2564" t="s">
        <v>39</v>
      </c>
      <c r="I2564" s="1" t="d">
        <v>2012-01-23</v>
      </c>
      <c r="J2564" t="s">
        <v>343</v>
      </c>
      <c r="K2564" s="17" t="s">
        <v>50</v>
      </c>
      <c r="L2564">
        <v>4</v>
      </c>
    </row>
    <row r="2565" spans="1:12" x14ac:dyDescent="0.25">
      <c r="A2565" t="s">
        <v>5889</v>
      </c>
      <c r="B2565" t="s">
        <v>5044</v>
      </c>
      <c r="C2565" t="s">
        <v>988</v>
      </c>
      <c r="D2565" t="s">
        <v>46</v>
      </c>
      <c r="E2565">
        <v>35</v>
      </c>
      <c r="F2565" t="s">
        <v>269</v>
      </c>
      <c r="G2565" t="s">
        <v>82</v>
      </c>
      <c r="I2565" s="1" t="d">
        <v>2006-02-01</v>
      </c>
      <c r="J2565" t="s">
        <v>5890</v>
      </c>
      <c r="K2565" s="17" t="s">
        <v>370</v>
      </c>
      <c r="L2565">
        <v>5</v>
      </c>
    </row>
    <row r="2566" spans="1:12" x14ac:dyDescent="0.25">
      <c r="A2566" t="s">
        <v>5891</v>
      </c>
      <c r="B2566" t="s">
        <v>914</v>
      </c>
      <c r="C2566" t="s">
        <v>263</v>
      </c>
      <c r="D2566" t="s">
        <v>9527</v>
      </c>
      <c r="E2566">
        <v>21</v>
      </c>
      <c r="G2566" t="s">
        <v>1285</v>
      </c>
      <c r="H2566" t="s">
        <v>5892</v>
      </c>
      <c r="I2566" s="1" t="d">
        <v>2023-08-17</v>
      </c>
      <c r="J2566" t="s">
        <v>5893</v>
      </c>
      <c r="K2566" s="17" t="s">
        <v>370</v>
      </c>
      <c r="L2566">
        <v>3</v>
      </c>
    </row>
    <row r="2567" spans="1:12" x14ac:dyDescent="0.25">
      <c r="A2567" t="s">
        <v>5894</v>
      </c>
      <c r="B2567" t="s">
        <v>151</v>
      </c>
      <c r="C2567" t="s">
        <v>525</v>
      </c>
      <c r="D2567" t="s">
        <v>46</v>
      </c>
      <c r="E2567">
        <v>32</v>
      </c>
      <c r="F2567" t="s">
        <v>122</v>
      </c>
      <c r="G2567" t="s">
        <v>25</v>
      </c>
      <c r="H2567">
        <v>80189</v>
      </c>
      <c r="I2567" s="1" t="d">
        <v>2007-07-13</v>
      </c>
      <c r="J2567" t="s">
        <v>4020</v>
      </c>
      <c r="K2567" s="17" t="s">
        <v>42</v>
      </c>
      <c r="L2567">
        <v>3</v>
      </c>
    </row>
    <row r="2568" spans="1:12" x14ac:dyDescent="0.25">
      <c r="A2568" t="s">
        <v>5895</v>
      </c>
      <c r="B2568" t="s">
        <v>594</v>
      </c>
      <c r="C2568" t="s">
        <v>107</v>
      </c>
      <c r="D2568" t="s">
        <v>23</v>
      </c>
      <c r="E2568">
        <v>48</v>
      </c>
      <c r="F2568" t="s">
        <v>264</v>
      </c>
      <c r="G2568" t="s">
        <v>115</v>
      </c>
      <c r="H2568" t="s">
        <v>5896</v>
      </c>
      <c r="I2568" s="1" t="d">
        <v>2009-03-13</v>
      </c>
      <c r="J2568" t="s">
        <v>1840</v>
      </c>
      <c r="K2568" s="17" t="s">
        <v>370</v>
      </c>
      <c r="L2568">
        <v>4</v>
      </c>
    </row>
    <row r="2569" spans="1:12" x14ac:dyDescent="0.25">
      <c r="A2569" t="s">
        <v>4347</v>
      </c>
      <c r="B2569" t="s">
        <v>4348</v>
      </c>
      <c r="C2569" t="s">
        <v>107</v>
      </c>
      <c r="D2569" t="s">
        <v>23</v>
      </c>
      <c r="E2569">
        <v>31</v>
      </c>
      <c r="F2569" t="s">
        <v>190</v>
      </c>
      <c r="G2569" t="s">
        <v>39</v>
      </c>
      <c r="I2569" s="1" t="d">
        <v>2012-05-23</v>
      </c>
      <c r="J2569" t="s">
        <v>3168</v>
      </c>
      <c r="K2569" s="17" t="s">
        <v>90</v>
      </c>
      <c r="L2569">
        <v>5</v>
      </c>
    </row>
    <row r="2570" spans="1:12" x14ac:dyDescent="0.25">
      <c r="A2570" t="s">
        <v>5897</v>
      </c>
      <c r="B2570" t="s">
        <v>4007</v>
      </c>
      <c r="C2570" t="s">
        <v>386</v>
      </c>
      <c r="D2570" t="s">
        <v>23</v>
      </c>
      <c r="E2570">
        <v>41</v>
      </c>
      <c r="G2570" t="s">
        <v>177</v>
      </c>
      <c r="H2570" s="2">
        <v>81876</v>
      </c>
      <c r="I2570" s="1" t="d">
        <v>2013-08-25</v>
      </c>
      <c r="J2570" t="s">
        <v>1318</v>
      </c>
      <c r="K2570" s="17" t="s">
        <v>42</v>
      </c>
      <c r="L2570">
        <v>4</v>
      </c>
    </row>
    <row r="2571" spans="1:12" x14ac:dyDescent="0.25">
      <c r="A2571" t="s">
        <v>5898</v>
      </c>
      <c r="B2571" t="s">
        <v>906</v>
      </c>
      <c r="C2571" t="s">
        <v>584</v>
      </c>
      <c r="D2571" t="s">
        <v>23</v>
      </c>
      <c r="E2571">
        <v>67</v>
      </c>
      <c r="F2571" t="s">
        <v>122</v>
      </c>
      <c r="G2571" t="s">
        <v>88</v>
      </c>
      <c r="H2571" t="s">
        <v>5899</v>
      </c>
      <c r="I2571" s="1" t="d">
        <v>2024-07-29</v>
      </c>
      <c r="J2571" t="s">
        <v>3692</v>
      </c>
      <c r="K2571" s="17" t="s">
        <v>58</v>
      </c>
      <c r="L2571">
        <v>4</v>
      </c>
    </row>
    <row r="2572" spans="1:12" x14ac:dyDescent="0.25">
      <c r="A2572" t="s">
        <v>5900</v>
      </c>
      <c r="B2572" t="s">
        <v>335</v>
      </c>
      <c r="C2572" t="s">
        <v>1332</v>
      </c>
      <c r="D2572" t="s">
        <v>46</v>
      </c>
      <c r="E2572">
        <v>43</v>
      </c>
      <c r="G2572" t="s">
        <v>55</v>
      </c>
      <c r="H2572" t="s">
        <v>5901</v>
      </c>
      <c r="I2572" s="1" t="d">
        <v>2022-05-29</v>
      </c>
      <c r="J2572" t="s">
        <v>1549</v>
      </c>
      <c r="K2572" s="17" t="s">
        <v>118</v>
      </c>
      <c r="L2572">
        <v>3</v>
      </c>
    </row>
    <row r="2573" spans="1:12" x14ac:dyDescent="0.25">
      <c r="A2573" t="s">
        <v>5902</v>
      </c>
      <c r="B2573" t="s">
        <v>294</v>
      </c>
      <c r="C2573" t="s">
        <v>1442</v>
      </c>
      <c r="D2573" t="s">
        <v>46</v>
      </c>
      <c r="E2573">
        <v>24</v>
      </c>
      <c r="F2573" t="s">
        <v>15</v>
      </c>
      <c r="G2573" t="s">
        <v>82</v>
      </c>
      <c r="H2573" s="2">
        <v>89188</v>
      </c>
      <c r="I2573" s="1" t="d">
        <v>2007-11-14</v>
      </c>
      <c r="J2573" t="s">
        <v>172</v>
      </c>
      <c r="K2573" s="17" t="s">
        <v>42</v>
      </c>
      <c r="L2573">
        <v>4</v>
      </c>
    </row>
    <row r="2574" spans="1:12" x14ac:dyDescent="0.25">
      <c r="A2574" t="s">
        <v>5903</v>
      </c>
      <c r="B2574" t="s">
        <v>448</v>
      </c>
      <c r="C2574" t="s">
        <v>751</v>
      </c>
      <c r="D2574" t="s">
        <v>23</v>
      </c>
      <c r="E2574">
        <v>45</v>
      </c>
      <c r="F2574" t="s">
        <v>31</v>
      </c>
      <c r="G2574" t="s">
        <v>39</v>
      </c>
      <c r="H2574">
        <v>48016</v>
      </c>
      <c r="I2574" s="1" t="d">
        <v>2008-12-10</v>
      </c>
      <c r="J2574" t="s">
        <v>2930</v>
      </c>
      <c r="K2574" s="17" t="s">
        <v>370</v>
      </c>
      <c r="L2574">
        <v>1</v>
      </c>
    </row>
    <row r="2575" spans="1:12" x14ac:dyDescent="0.25">
      <c r="A2575" t="s">
        <v>5904</v>
      </c>
      <c r="B2575" t="s">
        <v>221</v>
      </c>
      <c r="C2575" t="s">
        <v>1306</v>
      </c>
      <c r="D2575" t="s">
        <v>23</v>
      </c>
      <c r="E2575">
        <v>50</v>
      </c>
      <c r="F2575" t="s">
        <v>559</v>
      </c>
      <c r="G2575" t="s">
        <v>357</v>
      </c>
      <c r="H2575" s="2">
        <v>137571</v>
      </c>
      <c r="I2575" s="1" t="d">
        <v>2015-03-15</v>
      </c>
      <c r="J2575" t="s">
        <v>3232</v>
      </c>
      <c r="K2575" s="17" t="s">
        <v>370</v>
      </c>
      <c r="L2575">
        <v>3</v>
      </c>
    </row>
    <row r="2576" spans="1:12" x14ac:dyDescent="0.25">
      <c r="A2576" t="s">
        <v>5905</v>
      </c>
      <c r="B2576" t="s">
        <v>281</v>
      </c>
      <c r="C2576" t="s">
        <v>2323</v>
      </c>
      <c r="D2576" t="s">
        <v>9527</v>
      </c>
      <c r="E2576">
        <v>30</v>
      </c>
      <c r="F2576" t="s">
        <v>373</v>
      </c>
      <c r="G2576" t="s">
        <v>115</v>
      </c>
      <c r="H2576">
        <v>96105</v>
      </c>
      <c r="I2576" s="1" t="d">
        <v>2005-07-08</v>
      </c>
      <c r="J2576" t="s">
        <v>2195</v>
      </c>
      <c r="K2576" s="17" t="s">
        <v>370</v>
      </c>
      <c r="L2576">
        <v>4</v>
      </c>
    </row>
    <row r="2577" spans="1:12" x14ac:dyDescent="0.25">
      <c r="A2577" t="s">
        <v>5906</v>
      </c>
      <c r="B2577" t="s">
        <v>846</v>
      </c>
      <c r="C2577" t="s">
        <v>1055</v>
      </c>
      <c r="D2577" t="s">
        <v>46</v>
      </c>
      <c r="E2577">
        <v>34</v>
      </c>
      <c r="F2577" t="s">
        <v>81</v>
      </c>
      <c r="G2577" t="s">
        <v>82</v>
      </c>
      <c r="H2577" s="2">
        <v>44287</v>
      </c>
      <c r="I2577" s="1" t="d">
        <v>2014-06-02</v>
      </c>
      <c r="J2577" t="s">
        <v>3226</v>
      </c>
      <c r="K2577" s="17" t="s">
        <v>58</v>
      </c>
      <c r="L2577">
        <v>3</v>
      </c>
    </row>
    <row r="2578" spans="1:12" x14ac:dyDescent="0.25">
      <c r="A2578" t="s">
        <v>5907</v>
      </c>
      <c r="B2578" t="s">
        <v>162</v>
      </c>
      <c r="C2578" t="s">
        <v>2140</v>
      </c>
      <c r="D2578" t="s">
        <v>23</v>
      </c>
      <c r="E2578">
        <v>46</v>
      </c>
      <c r="F2578" t="s">
        <v>1195</v>
      </c>
      <c r="G2578" t="s">
        <v>177</v>
      </c>
      <c r="I2578" s="1" t="d">
        <v>2019-03-07</v>
      </c>
      <c r="J2578" t="s">
        <v>3641</v>
      </c>
      <c r="K2578" s="17" t="s">
        <v>207</v>
      </c>
      <c r="L2578">
        <v>3</v>
      </c>
    </row>
    <row r="2579" spans="1:12" x14ac:dyDescent="0.25">
      <c r="A2579" t="s">
        <v>5908</v>
      </c>
      <c r="B2579" t="s">
        <v>1213</v>
      </c>
      <c r="C2579" t="s">
        <v>1538</v>
      </c>
      <c r="D2579" t="s">
        <v>46</v>
      </c>
      <c r="E2579">
        <v>58</v>
      </c>
      <c r="F2579" t="s">
        <v>365</v>
      </c>
      <c r="G2579" t="s">
        <v>25</v>
      </c>
      <c r="H2579">
        <v>80854</v>
      </c>
      <c r="I2579" s="1" t="d">
        <v>2009-04-09</v>
      </c>
      <c r="J2579" t="s">
        <v>2792</v>
      </c>
      <c r="K2579" s="17" t="s">
        <v>370</v>
      </c>
      <c r="L2579">
        <v>4</v>
      </c>
    </row>
    <row r="2580" spans="1:12" x14ac:dyDescent="0.25">
      <c r="A2580" t="s">
        <v>5909</v>
      </c>
      <c r="B2580" t="s">
        <v>482</v>
      </c>
      <c r="C2580" t="s">
        <v>4281</v>
      </c>
      <c r="D2580" t="s">
        <v>23</v>
      </c>
      <c r="E2580">
        <v>30</v>
      </c>
      <c r="F2580" t="s">
        <v>1889</v>
      </c>
      <c r="G2580" t="s">
        <v>82</v>
      </c>
      <c r="H2580" t="s">
        <v>5910</v>
      </c>
      <c r="I2580" s="1" t="d">
        <v>2008-06-03</v>
      </c>
      <c r="J2580" t="s">
        <v>2346</v>
      </c>
      <c r="K2580" s="17" t="s">
        <v>149</v>
      </c>
      <c r="L2580">
        <v>4</v>
      </c>
    </row>
    <row r="2581" spans="1:12" x14ac:dyDescent="0.25">
      <c r="A2581" t="s">
        <v>5911</v>
      </c>
      <c r="B2581" t="s">
        <v>1403</v>
      </c>
      <c r="C2581" t="s">
        <v>858</v>
      </c>
      <c r="D2581" t="s">
        <v>23</v>
      </c>
      <c r="E2581">
        <v>21</v>
      </c>
      <c r="F2581" t="s">
        <v>216</v>
      </c>
      <c r="G2581" t="s">
        <v>115</v>
      </c>
      <c r="H2581">
        <v>63762</v>
      </c>
      <c r="I2581" s="1" t="d">
        <v>2011-10-22</v>
      </c>
      <c r="J2581" t="s">
        <v>3565</v>
      </c>
      <c r="K2581" s="17" t="s">
        <v>71</v>
      </c>
      <c r="L2581">
        <v>4</v>
      </c>
    </row>
    <row r="2582" spans="1:12" x14ac:dyDescent="0.25">
      <c r="A2582" t="s">
        <v>5912</v>
      </c>
      <c r="B2582" t="s">
        <v>130</v>
      </c>
      <c r="C2582" t="s">
        <v>140</v>
      </c>
      <c r="D2582" t="s">
        <v>23</v>
      </c>
      <c r="E2582">
        <v>48</v>
      </c>
      <c r="F2582" t="s">
        <v>94</v>
      </c>
      <c r="G2582" t="s">
        <v>82</v>
      </c>
      <c r="I2582" s="1" t="d">
        <v>2022-11-16</v>
      </c>
      <c r="J2582" t="s">
        <v>1420</v>
      </c>
      <c r="K2582" s="17" t="s">
        <v>184</v>
      </c>
      <c r="L2582">
        <v>4</v>
      </c>
    </row>
    <row r="2583" spans="1:12" x14ac:dyDescent="0.25">
      <c r="A2583" t="s">
        <v>3001</v>
      </c>
      <c r="B2583" t="s">
        <v>355</v>
      </c>
      <c r="C2583" t="s">
        <v>631</v>
      </c>
      <c r="D2583" t="s">
        <v>23</v>
      </c>
      <c r="E2583">
        <v>28</v>
      </c>
      <c r="F2583" t="s">
        <v>258</v>
      </c>
      <c r="G2583" t="s">
        <v>177</v>
      </c>
      <c r="H2583" t="s">
        <v>3002</v>
      </c>
      <c r="I2583" s="1" t="d">
        <v>2010-08-03</v>
      </c>
      <c r="J2583" t="s">
        <v>3003</v>
      </c>
      <c r="K2583" s="17" t="s">
        <v>19</v>
      </c>
      <c r="L2583">
        <v>5</v>
      </c>
    </row>
    <row r="2584" spans="1:12" x14ac:dyDescent="0.25">
      <c r="A2584" t="s">
        <v>4629</v>
      </c>
      <c r="B2584" t="s">
        <v>130</v>
      </c>
      <c r="C2584" t="s">
        <v>2242</v>
      </c>
      <c r="D2584" t="s">
        <v>23</v>
      </c>
      <c r="E2584">
        <v>41</v>
      </c>
      <c r="F2584" t="s">
        <v>645</v>
      </c>
      <c r="G2584" t="s">
        <v>170</v>
      </c>
      <c r="H2584" s="2">
        <v>38233</v>
      </c>
      <c r="I2584" s="1" t="d">
        <v>2008-09-25</v>
      </c>
      <c r="J2584" t="s">
        <v>3842</v>
      </c>
      <c r="K2584" s="17" t="s">
        <v>207</v>
      </c>
      <c r="L2584">
        <v>4</v>
      </c>
    </row>
    <row r="2585" spans="1:12" x14ac:dyDescent="0.25">
      <c r="A2585" t="s">
        <v>5913</v>
      </c>
      <c r="B2585" t="s">
        <v>44</v>
      </c>
      <c r="C2585" t="s">
        <v>225</v>
      </c>
      <c r="D2585" t="s">
        <v>23</v>
      </c>
      <c r="E2585">
        <v>32</v>
      </c>
      <c r="F2585" t="s">
        <v>216</v>
      </c>
      <c r="G2585" t="s">
        <v>170</v>
      </c>
      <c r="I2585" s="1" t="d">
        <v>2008-03-16</v>
      </c>
      <c r="J2585" t="s">
        <v>3016</v>
      </c>
      <c r="K2585" s="17" t="s">
        <v>184</v>
      </c>
      <c r="L2585">
        <v>3</v>
      </c>
    </row>
    <row r="2586" spans="1:12" x14ac:dyDescent="0.25">
      <c r="A2586" t="s">
        <v>5914</v>
      </c>
      <c r="B2586" t="s">
        <v>79</v>
      </c>
      <c r="C2586" t="s">
        <v>1364</v>
      </c>
      <c r="D2586" t="s">
        <v>46</v>
      </c>
      <c r="E2586">
        <v>25</v>
      </c>
      <c r="F2586" t="s">
        <v>122</v>
      </c>
      <c r="G2586" t="s">
        <v>88</v>
      </c>
      <c r="H2586" t="s">
        <v>5915</v>
      </c>
      <c r="I2586" s="1" t="d">
        <v>2014-10-05</v>
      </c>
      <c r="J2586" t="s">
        <v>5374</v>
      </c>
      <c r="K2586" s="17" t="s">
        <v>58</v>
      </c>
      <c r="L2586">
        <v>3</v>
      </c>
    </row>
    <row r="2587" spans="1:12" x14ac:dyDescent="0.25">
      <c r="A2587" t="s">
        <v>5916</v>
      </c>
      <c r="B2587" t="s">
        <v>2697</v>
      </c>
      <c r="C2587" t="s">
        <v>291</v>
      </c>
      <c r="D2587" t="s">
        <v>23</v>
      </c>
      <c r="E2587">
        <v>43</v>
      </c>
      <c r="F2587" t="s">
        <v>153</v>
      </c>
      <c r="G2587" t="s">
        <v>141</v>
      </c>
      <c r="H2587" s="2">
        <v>84906</v>
      </c>
      <c r="I2587" s="1" t="d">
        <v>2005-09-29</v>
      </c>
      <c r="J2587" t="s">
        <v>1310</v>
      </c>
      <c r="K2587" s="17" t="s">
        <v>118</v>
      </c>
      <c r="L2587">
        <v>1</v>
      </c>
    </row>
    <row r="2588" spans="1:12" x14ac:dyDescent="0.25">
      <c r="A2588" t="s">
        <v>5917</v>
      </c>
      <c r="B2588" t="s">
        <v>130</v>
      </c>
      <c r="C2588" t="s">
        <v>427</v>
      </c>
      <c r="D2588" t="s">
        <v>23</v>
      </c>
      <c r="E2588">
        <v>39</v>
      </c>
      <c r="F2588" t="s">
        <v>645</v>
      </c>
      <c r="G2588" t="s">
        <v>638</v>
      </c>
      <c r="H2588">
        <v>63906</v>
      </c>
      <c r="J2588" t="s">
        <v>3597</v>
      </c>
      <c r="K2588" s="17" t="s">
        <v>149</v>
      </c>
      <c r="L2588">
        <v>4</v>
      </c>
    </row>
    <row r="2589" spans="1:12" x14ac:dyDescent="0.25">
      <c r="A2589" t="s">
        <v>5918</v>
      </c>
      <c r="B2589" t="s">
        <v>906</v>
      </c>
      <c r="C2589" t="s">
        <v>268</v>
      </c>
      <c r="D2589" t="s">
        <v>46</v>
      </c>
      <c r="E2589">
        <v>30</v>
      </c>
      <c r="F2589" t="s">
        <v>356</v>
      </c>
      <c r="G2589" t="s">
        <v>16</v>
      </c>
      <c r="H2589" t="s">
        <v>5919</v>
      </c>
      <c r="I2589" s="1" t="d">
        <v>2015-11-07</v>
      </c>
      <c r="J2589" t="s">
        <v>5920</v>
      </c>
      <c r="K2589" s="17" t="s">
        <v>184</v>
      </c>
      <c r="L2589">
        <v>1</v>
      </c>
    </row>
    <row r="2590" spans="1:12" x14ac:dyDescent="0.25">
      <c r="A2590" t="s">
        <v>5921</v>
      </c>
      <c r="B2590" t="s">
        <v>1213</v>
      </c>
      <c r="C2590" t="s">
        <v>395</v>
      </c>
      <c r="D2590" t="s">
        <v>46</v>
      </c>
      <c r="E2590">
        <v>33</v>
      </c>
      <c r="F2590" t="s">
        <v>532</v>
      </c>
      <c r="G2590" t="s">
        <v>82</v>
      </c>
      <c r="H2590" s="2">
        <v>69655</v>
      </c>
      <c r="I2590" s="1" t="d">
        <v>2006-05-07</v>
      </c>
      <c r="J2590" t="s">
        <v>4918</v>
      </c>
      <c r="K2590" s="17" t="s">
        <v>42</v>
      </c>
      <c r="L2590">
        <v>3</v>
      </c>
    </row>
    <row r="2591" spans="1:12" x14ac:dyDescent="0.25">
      <c r="A2591" t="s">
        <v>5922</v>
      </c>
      <c r="B2591" t="s">
        <v>323</v>
      </c>
      <c r="C2591" t="s">
        <v>416</v>
      </c>
      <c r="D2591" t="s">
        <v>23</v>
      </c>
      <c r="E2591">
        <v>43</v>
      </c>
      <c r="G2591" t="s">
        <v>182</v>
      </c>
      <c r="H2591" t="s">
        <v>5923</v>
      </c>
      <c r="I2591" s="1" t="d">
        <v>2018-07-22</v>
      </c>
      <c r="J2591" t="s">
        <v>5924</v>
      </c>
      <c r="K2591" s="17" t="s">
        <v>42</v>
      </c>
      <c r="L2591">
        <v>3</v>
      </c>
    </row>
    <row r="2592" spans="1:12" x14ac:dyDescent="0.25">
      <c r="A2592" t="s">
        <v>5925</v>
      </c>
      <c r="B2592" t="s">
        <v>60</v>
      </c>
      <c r="C2592" t="s">
        <v>5926</v>
      </c>
      <c r="D2592" t="s">
        <v>9527</v>
      </c>
      <c r="E2592">
        <v>31</v>
      </c>
      <c r="F2592" t="s">
        <v>15</v>
      </c>
      <c r="G2592" t="s">
        <v>39</v>
      </c>
      <c r="H2592" t="s">
        <v>5927</v>
      </c>
      <c r="I2592" s="1" t="d">
        <v>2014-05-23</v>
      </c>
      <c r="J2592" t="s">
        <v>963</v>
      </c>
      <c r="K2592" s="17" t="s">
        <v>184</v>
      </c>
      <c r="L2592">
        <v>4</v>
      </c>
    </row>
    <row r="2593" spans="1:12" x14ac:dyDescent="0.25">
      <c r="A2593" t="s">
        <v>5928</v>
      </c>
      <c r="B2593" t="s">
        <v>993</v>
      </c>
      <c r="C2593" t="s">
        <v>1564</v>
      </c>
      <c r="D2593" t="s">
        <v>46</v>
      </c>
      <c r="E2593">
        <v>37</v>
      </c>
      <c r="F2593" t="s">
        <v>146</v>
      </c>
      <c r="G2593" t="s">
        <v>16</v>
      </c>
      <c r="H2593" t="s">
        <v>5929</v>
      </c>
      <c r="I2593" s="1" t="d">
        <v>2017-03-19</v>
      </c>
      <c r="J2593" t="s">
        <v>5875</v>
      </c>
      <c r="K2593" s="17" t="s">
        <v>118</v>
      </c>
      <c r="L2593">
        <v>3</v>
      </c>
    </row>
    <row r="2594" spans="1:12" x14ac:dyDescent="0.25">
      <c r="A2594" t="s">
        <v>5930</v>
      </c>
      <c r="B2594" t="s">
        <v>4585</v>
      </c>
      <c r="C2594" t="s">
        <v>1010</v>
      </c>
      <c r="D2594" t="s">
        <v>23</v>
      </c>
      <c r="E2594">
        <v>33</v>
      </c>
      <c r="G2594" t="s">
        <v>16</v>
      </c>
      <c r="H2594">
        <v>66675</v>
      </c>
      <c r="I2594" s="1" t="d">
        <v>2005-11-16</v>
      </c>
      <c r="J2594" t="s">
        <v>232</v>
      </c>
      <c r="K2594" s="17" t="s">
        <v>42</v>
      </c>
      <c r="L2594">
        <v>2</v>
      </c>
    </row>
    <row r="2595" spans="1:12" x14ac:dyDescent="0.25">
      <c r="A2595" t="s">
        <v>5931</v>
      </c>
      <c r="B2595" t="s">
        <v>221</v>
      </c>
      <c r="C2595" t="s">
        <v>4565</v>
      </c>
      <c r="D2595" t="s">
        <v>46</v>
      </c>
      <c r="E2595">
        <v>31</v>
      </c>
      <c r="F2595" t="s">
        <v>406</v>
      </c>
      <c r="G2595" t="s">
        <v>1446</v>
      </c>
      <c r="H2595" t="s">
        <v>5932</v>
      </c>
      <c r="I2595" s="1" t="d">
        <v>2012-12-12</v>
      </c>
      <c r="J2595" t="s">
        <v>578</v>
      </c>
      <c r="K2595" s="17" t="s">
        <v>207</v>
      </c>
      <c r="L2595">
        <v>2</v>
      </c>
    </row>
    <row r="2596" spans="1:12" x14ac:dyDescent="0.25">
      <c r="A2596" t="s">
        <v>5933</v>
      </c>
      <c r="B2596" t="s">
        <v>5934</v>
      </c>
      <c r="C2596" t="s">
        <v>189</v>
      </c>
      <c r="D2596" t="s">
        <v>9527</v>
      </c>
      <c r="E2596">
        <v>40</v>
      </c>
      <c r="G2596" t="s">
        <v>48</v>
      </c>
      <c r="H2596" t="s">
        <v>5935</v>
      </c>
      <c r="I2596" s="1" t="d">
        <v>2012-04-17</v>
      </c>
      <c r="J2596" t="s">
        <v>1401</v>
      </c>
      <c r="K2596" s="17" t="s">
        <v>207</v>
      </c>
      <c r="L2596">
        <v>5</v>
      </c>
    </row>
    <row r="2597" spans="1:12" x14ac:dyDescent="0.25">
      <c r="A2597" t="s">
        <v>5936</v>
      </c>
      <c r="B2597" t="s">
        <v>1241</v>
      </c>
      <c r="C2597" t="s">
        <v>1364</v>
      </c>
      <c r="D2597" t="s">
        <v>9527</v>
      </c>
      <c r="E2597">
        <v>42</v>
      </c>
      <c r="F2597" t="s">
        <v>4293</v>
      </c>
      <c r="G2597" t="s">
        <v>996</v>
      </c>
      <c r="H2597" s="2">
        <v>148414</v>
      </c>
      <c r="I2597" s="1" t="d">
        <v>2011-06-05</v>
      </c>
      <c r="J2597" t="s">
        <v>5015</v>
      </c>
      <c r="K2597" s="17" t="s">
        <v>50</v>
      </c>
      <c r="L2597">
        <v>4</v>
      </c>
    </row>
    <row r="2598" spans="1:12" x14ac:dyDescent="0.25">
      <c r="A2598" t="s">
        <v>5937</v>
      </c>
      <c r="B2598" t="s">
        <v>1241</v>
      </c>
      <c r="C2598" t="s">
        <v>252</v>
      </c>
      <c r="D2598" t="s">
        <v>9527</v>
      </c>
      <c r="E2598">
        <v>56</v>
      </c>
      <c r="F2598" t="s">
        <v>15</v>
      </c>
      <c r="G2598" t="s">
        <v>357</v>
      </c>
      <c r="H2598">
        <v>131614</v>
      </c>
      <c r="I2598" s="1" t="d">
        <v>2012-05-10</v>
      </c>
      <c r="J2598" t="s">
        <v>5938</v>
      </c>
      <c r="K2598" s="17" t="s">
        <v>19</v>
      </c>
      <c r="L2598">
        <v>3</v>
      </c>
    </row>
    <row r="2599" spans="1:12" x14ac:dyDescent="0.25">
      <c r="A2599" t="s">
        <v>5939</v>
      </c>
      <c r="B2599" t="s">
        <v>548</v>
      </c>
      <c r="C2599" t="s">
        <v>5940</v>
      </c>
      <c r="D2599" t="s">
        <v>23</v>
      </c>
      <c r="E2599">
        <v>39</v>
      </c>
      <c r="F2599" t="s">
        <v>122</v>
      </c>
      <c r="G2599" t="s">
        <v>115</v>
      </c>
      <c r="H2599" t="s">
        <v>5941</v>
      </c>
      <c r="I2599" s="1" t="d">
        <v>2020-05-28</v>
      </c>
      <c r="J2599" t="s">
        <v>3363</v>
      </c>
      <c r="K2599" s="17" t="s">
        <v>90</v>
      </c>
      <c r="L2599">
        <v>3</v>
      </c>
    </row>
    <row r="2600" spans="1:12" x14ac:dyDescent="0.25">
      <c r="A2600" t="s">
        <v>5942</v>
      </c>
      <c r="B2600" t="s">
        <v>66</v>
      </c>
      <c r="C2600" t="s">
        <v>372</v>
      </c>
      <c r="D2600" t="s">
        <v>46</v>
      </c>
      <c r="E2600">
        <v>40</v>
      </c>
      <c r="F2600" t="s">
        <v>62</v>
      </c>
      <c r="G2600" t="s">
        <v>39</v>
      </c>
      <c r="H2600" t="s">
        <v>5943</v>
      </c>
      <c r="I2600" s="1" t="d">
        <v>2009-02-02</v>
      </c>
      <c r="J2600" t="s">
        <v>4160</v>
      </c>
      <c r="K2600" s="17" t="s">
        <v>90</v>
      </c>
      <c r="L2600">
        <v>4</v>
      </c>
    </row>
    <row r="2601" spans="1:12" x14ac:dyDescent="0.25">
      <c r="A2601" t="s">
        <v>5944</v>
      </c>
      <c r="B2601" t="s">
        <v>3486</v>
      </c>
      <c r="C2601" t="s">
        <v>4094</v>
      </c>
      <c r="D2601" t="s">
        <v>23</v>
      </c>
      <c r="E2601">
        <v>52</v>
      </c>
      <c r="F2601" t="s">
        <v>365</v>
      </c>
      <c r="G2601" t="s">
        <v>217</v>
      </c>
      <c r="H2601" t="s">
        <v>5945</v>
      </c>
      <c r="I2601" s="1" t="d">
        <v>2016-12-06</v>
      </c>
      <c r="J2601" t="s">
        <v>1407</v>
      </c>
      <c r="K2601" s="17" t="s">
        <v>58</v>
      </c>
      <c r="L2601">
        <v>2</v>
      </c>
    </row>
    <row r="2602" spans="1:12" x14ac:dyDescent="0.25">
      <c r="A2602" t="s">
        <v>5946</v>
      </c>
      <c r="B2602" t="s">
        <v>355</v>
      </c>
      <c r="C2602" t="s">
        <v>1463</v>
      </c>
      <c r="D2602" t="s">
        <v>9527</v>
      </c>
      <c r="E2602">
        <v>48</v>
      </c>
      <c r="F2602" t="s">
        <v>422</v>
      </c>
      <c r="G2602" t="s">
        <v>170</v>
      </c>
      <c r="H2602">
        <v>69431</v>
      </c>
      <c r="I2602" s="1" t="d">
        <v>2018-07-19</v>
      </c>
      <c r="J2602" t="s">
        <v>284</v>
      </c>
      <c r="K2602" s="17" t="s">
        <v>71</v>
      </c>
      <c r="L2602">
        <v>5</v>
      </c>
    </row>
    <row r="2603" spans="1:12" x14ac:dyDescent="0.25">
      <c r="A2603" t="s">
        <v>5947</v>
      </c>
      <c r="B2603" t="s">
        <v>1096</v>
      </c>
      <c r="C2603" t="s">
        <v>1356</v>
      </c>
      <c r="D2603" t="s">
        <v>46</v>
      </c>
      <c r="E2603">
        <v>43</v>
      </c>
      <c r="F2603" t="s">
        <v>238</v>
      </c>
      <c r="G2603" t="s">
        <v>177</v>
      </c>
      <c r="H2603" t="s">
        <v>5948</v>
      </c>
      <c r="I2603" s="1" t="d">
        <v>2014-05-14</v>
      </c>
      <c r="J2603" t="s">
        <v>1389</v>
      </c>
      <c r="K2603" s="17" t="s">
        <v>100</v>
      </c>
      <c r="L2603">
        <v>1</v>
      </c>
    </row>
    <row r="2604" spans="1:12" x14ac:dyDescent="0.25">
      <c r="A2604" t="s">
        <v>5949</v>
      </c>
      <c r="B2604" t="s">
        <v>112</v>
      </c>
      <c r="C2604" t="s">
        <v>758</v>
      </c>
      <c r="D2604" t="s">
        <v>46</v>
      </c>
      <c r="E2604">
        <v>37</v>
      </c>
      <c r="F2604" t="s">
        <v>108</v>
      </c>
      <c r="G2604" t="s">
        <v>82</v>
      </c>
      <c r="H2604" t="s">
        <v>5950</v>
      </c>
      <c r="I2604" s="1" t="d">
        <v>2018-07-05</v>
      </c>
      <c r="J2604" t="s">
        <v>3365</v>
      </c>
      <c r="K2604" s="17" t="s">
        <v>118</v>
      </c>
      <c r="L2604">
        <v>4</v>
      </c>
    </row>
    <row r="2605" spans="1:12" x14ac:dyDescent="0.25">
      <c r="A2605" t="s">
        <v>5951</v>
      </c>
      <c r="B2605" t="s">
        <v>846</v>
      </c>
      <c r="C2605" t="s">
        <v>618</v>
      </c>
      <c r="D2605" t="s">
        <v>23</v>
      </c>
      <c r="E2605">
        <v>40</v>
      </c>
      <c r="F2605" t="s">
        <v>589</v>
      </c>
      <c r="G2605" t="s">
        <v>1329</v>
      </c>
      <c r="I2605" s="1" t="d">
        <v>2011-01-21</v>
      </c>
      <c r="J2605" t="s">
        <v>794</v>
      </c>
      <c r="K2605" s="17" t="s">
        <v>19</v>
      </c>
      <c r="L2605">
        <v>2</v>
      </c>
    </row>
    <row r="2606" spans="1:12" x14ac:dyDescent="0.25">
      <c r="A2606" t="s">
        <v>5952</v>
      </c>
      <c r="B2606" t="s">
        <v>456</v>
      </c>
      <c r="C2606" t="s">
        <v>195</v>
      </c>
      <c r="D2606" t="s">
        <v>46</v>
      </c>
      <c r="E2606">
        <v>21</v>
      </c>
      <c r="F2606" t="s">
        <v>190</v>
      </c>
      <c r="G2606" t="s">
        <v>177</v>
      </c>
      <c r="H2606">
        <v>50264</v>
      </c>
      <c r="I2606" s="1" t="d">
        <v>2023-05-02</v>
      </c>
      <c r="J2606" t="s">
        <v>5953</v>
      </c>
      <c r="K2606" s="17" t="s">
        <v>184</v>
      </c>
      <c r="L2606">
        <v>3</v>
      </c>
    </row>
    <row r="2607" spans="1:12" x14ac:dyDescent="0.25">
      <c r="A2607" t="s">
        <v>5954</v>
      </c>
      <c r="B2607" t="s">
        <v>36</v>
      </c>
      <c r="C2607" t="s">
        <v>710</v>
      </c>
      <c r="D2607" t="s">
        <v>46</v>
      </c>
      <c r="E2607">
        <v>34</v>
      </c>
      <c r="F2607" t="s">
        <v>365</v>
      </c>
      <c r="G2607" t="s">
        <v>16</v>
      </c>
      <c r="H2607" t="s">
        <v>5955</v>
      </c>
      <c r="I2607" s="1" t="d">
        <v>2015-01-14</v>
      </c>
      <c r="J2607" t="s">
        <v>5956</v>
      </c>
      <c r="K2607" s="17" t="s">
        <v>207</v>
      </c>
      <c r="L2607">
        <v>1</v>
      </c>
    </row>
    <row r="2608" spans="1:12" x14ac:dyDescent="0.25">
      <c r="A2608" t="s">
        <v>5957</v>
      </c>
      <c r="B2608" t="s">
        <v>112</v>
      </c>
      <c r="C2608" t="s">
        <v>847</v>
      </c>
      <c r="D2608" t="s">
        <v>23</v>
      </c>
      <c r="E2608">
        <v>47</v>
      </c>
      <c r="F2608" t="s">
        <v>3101</v>
      </c>
      <c r="G2608" t="s">
        <v>1285</v>
      </c>
      <c r="I2608" s="1" t="d">
        <v>2007-02-19</v>
      </c>
      <c r="J2608" t="s">
        <v>5589</v>
      </c>
      <c r="K2608" s="17" t="s">
        <v>50</v>
      </c>
      <c r="L2608">
        <v>4</v>
      </c>
    </row>
    <row r="2609" spans="1:12" x14ac:dyDescent="0.25">
      <c r="A2609" t="s">
        <v>5958</v>
      </c>
      <c r="B2609" t="s">
        <v>594</v>
      </c>
      <c r="C2609" t="s">
        <v>145</v>
      </c>
      <c r="D2609" t="s">
        <v>9527</v>
      </c>
      <c r="E2609">
        <v>47</v>
      </c>
      <c r="F2609" t="s">
        <v>3316</v>
      </c>
      <c r="G2609" t="s">
        <v>205</v>
      </c>
      <c r="I2609" s="1" t="d">
        <v>2023-07-23</v>
      </c>
      <c r="J2609" t="s">
        <v>197</v>
      </c>
      <c r="K2609" s="17" t="s">
        <v>34</v>
      </c>
      <c r="L2609">
        <v>2</v>
      </c>
    </row>
    <row r="2610" spans="1:12" x14ac:dyDescent="0.25">
      <c r="A2610" t="s">
        <v>5959</v>
      </c>
      <c r="B2610" t="s">
        <v>86</v>
      </c>
      <c r="C2610" t="s">
        <v>93</v>
      </c>
      <c r="D2610" t="s">
        <v>9527</v>
      </c>
      <c r="E2610">
        <v>37</v>
      </c>
      <c r="F2610" t="s">
        <v>126</v>
      </c>
      <c r="G2610" t="s">
        <v>82</v>
      </c>
      <c r="H2610">
        <v>71456</v>
      </c>
      <c r="I2610" s="1" t="d">
        <v>2024-01-07</v>
      </c>
      <c r="J2610" t="s">
        <v>4263</v>
      </c>
      <c r="K2610" s="17" t="s">
        <v>19</v>
      </c>
      <c r="L2610">
        <v>4</v>
      </c>
    </row>
    <row r="2611" spans="1:12" x14ac:dyDescent="0.25">
      <c r="A2611" t="s">
        <v>5960</v>
      </c>
      <c r="B2611" t="s">
        <v>4196</v>
      </c>
      <c r="C2611" t="s">
        <v>555</v>
      </c>
      <c r="D2611" t="s">
        <v>23</v>
      </c>
      <c r="E2611">
        <v>27</v>
      </c>
      <c r="F2611" t="s">
        <v>190</v>
      </c>
      <c r="G2611" t="s">
        <v>337</v>
      </c>
      <c r="H2611">
        <v>48699</v>
      </c>
      <c r="I2611" s="1" t="d">
        <v>2021-11-27</v>
      </c>
      <c r="J2611" t="s">
        <v>3777</v>
      </c>
      <c r="K2611" s="17" t="s">
        <v>149</v>
      </c>
      <c r="L2611">
        <v>4</v>
      </c>
    </row>
    <row r="2612" spans="1:12" x14ac:dyDescent="0.25">
      <c r="A2612" t="s">
        <v>5961</v>
      </c>
      <c r="B2612" t="s">
        <v>841</v>
      </c>
      <c r="C2612" t="s">
        <v>3643</v>
      </c>
      <c r="D2612" t="s">
        <v>46</v>
      </c>
      <c r="E2612">
        <v>28</v>
      </c>
      <c r="F2612" t="s">
        <v>399</v>
      </c>
      <c r="G2612" t="s">
        <v>55</v>
      </c>
      <c r="I2612" s="1" t="d">
        <v>2010-05-22</v>
      </c>
      <c r="J2612" t="s">
        <v>5962</v>
      </c>
      <c r="K2612" s="17" t="s">
        <v>370</v>
      </c>
      <c r="L2612">
        <v>4</v>
      </c>
    </row>
    <row r="2613" spans="1:12" x14ac:dyDescent="0.25">
      <c r="A2613" t="s">
        <v>5963</v>
      </c>
      <c r="B2613" t="s">
        <v>563</v>
      </c>
      <c r="C2613" t="s">
        <v>361</v>
      </c>
      <c r="D2613" t="s">
        <v>9527</v>
      </c>
      <c r="E2613">
        <v>42</v>
      </c>
      <c r="F2613" t="s">
        <v>645</v>
      </c>
      <c r="G2613" t="s">
        <v>16</v>
      </c>
      <c r="H2613" s="2">
        <v>999999</v>
      </c>
      <c r="I2613" s="1" t="d">
        <v>2014-08-05</v>
      </c>
      <c r="J2613" t="s">
        <v>4009</v>
      </c>
      <c r="K2613" s="17" t="s">
        <v>90</v>
      </c>
      <c r="L2613">
        <v>4</v>
      </c>
    </row>
    <row r="2614" spans="1:12" x14ac:dyDescent="0.25">
      <c r="A2614" t="s">
        <v>5964</v>
      </c>
      <c r="B2614" t="s">
        <v>37</v>
      </c>
      <c r="C2614" t="s">
        <v>318</v>
      </c>
      <c r="D2614" t="s">
        <v>9527</v>
      </c>
      <c r="E2614">
        <v>29</v>
      </c>
      <c r="F2614" t="s">
        <v>356</v>
      </c>
      <c r="G2614" t="s">
        <v>170</v>
      </c>
      <c r="H2614" t="s">
        <v>5965</v>
      </c>
      <c r="I2614" s="1" t="d">
        <v>2017-09-11</v>
      </c>
      <c r="J2614" t="s">
        <v>4948</v>
      </c>
      <c r="K2614" s="17" t="s">
        <v>118</v>
      </c>
      <c r="L2614">
        <v>3</v>
      </c>
    </row>
    <row r="2615" spans="1:12" x14ac:dyDescent="0.25">
      <c r="A2615" t="s">
        <v>5966</v>
      </c>
      <c r="B2615" t="s">
        <v>467</v>
      </c>
      <c r="C2615" t="s">
        <v>684</v>
      </c>
      <c r="D2615" t="s">
        <v>46</v>
      </c>
      <c r="E2615">
        <v>40</v>
      </c>
      <c r="F2615" t="s">
        <v>296</v>
      </c>
      <c r="G2615" t="s">
        <v>212</v>
      </c>
      <c r="H2615" s="2">
        <v>92240</v>
      </c>
      <c r="I2615" s="1" t="d">
        <v>2009-07-16</v>
      </c>
      <c r="J2615" t="s">
        <v>2033</v>
      </c>
      <c r="K2615" s="17" t="s">
        <v>149</v>
      </c>
      <c r="L2615">
        <v>2</v>
      </c>
    </row>
    <row r="2616" spans="1:12" x14ac:dyDescent="0.25">
      <c r="A2616" t="s">
        <v>5967</v>
      </c>
      <c r="B2616" t="s">
        <v>394</v>
      </c>
      <c r="C2616" t="s">
        <v>1039</v>
      </c>
      <c r="D2616" t="s">
        <v>9527</v>
      </c>
      <c r="E2616">
        <v>52</v>
      </c>
      <c r="F2616" t="s">
        <v>1839</v>
      </c>
      <c r="G2616" t="s">
        <v>88</v>
      </c>
      <c r="H2616" t="s">
        <v>5968</v>
      </c>
      <c r="J2616" t="s">
        <v>5969</v>
      </c>
      <c r="K2616" s="17" t="s">
        <v>50</v>
      </c>
      <c r="L2616">
        <v>4</v>
      </c>
    </row>
    <row r="2617" spans="1:12" x14ac:dyDescent="0.25">
      <c r="A2617" t="s">
        <v>5970</v>
      </c>
      <c r="B2617" t="s">
        <v>86</v>
      </c>
      <c r="C2617" t="s">
        <v>3982</v>
      </c>
      <c r="D2617" t="s">
        <v>23</v>
      </c>
      <c r="E2617">
        <v>43</v>
      </c>
      <c r="F2617" t="s">
        <v>365</v>
      </c>
      <c r="G2617" t="s">
        <v>82</v>
      </c>
      <c r="H2617" s="2">
        <v>50472</v>
      </c>
      <c r="I2617" s="1" t="d">
        <v>2008-11-02</v>
      </c>
      <c r="J2617" t="s">
        <v>5971</v>
      </c>
      <c r="K2617" s="17" t="s">
        <v>118</v>
      </c>
      <c r="L2617">
        <v>3</v>
      </c>
    </row>
    <row r="2618" spans="1:12" x14ac:dyDescent="0.25">
      <c r="A2618" t="s">
        <v>5972</v>
      </c>
      <c r="B2618" t="s">
        <v>2409</v>
      </c>
      <c r="C2618" t="s">
        <v>163</v>
      </c>
      <c r="D2618" t="s">
        <v>9527</v>
      </c>
      <c r="E2618">
        <v>29</v>
      </c>
      <c r="F2618" t="s">
        <v>54</v>
      </c>
      <c r="G2618" t="s">
        <v>1164</v>
      </c>
      <c r="H2618" t="s">
        <v>5973</v>
      </c>
      <c r="I2618" s="1" t="d">
        <v>2019-09-29</v>
      </c>
      <c r="J2618" t="s">
        <v>836</v>
      </c>
      <c r="K2618" s="17" t="s">
        <v>58</v>
      </c>
      <c r="L2618">
        <v>4</v>
      </c>
    </row>
    <row r="2619" spans="1:12" x14ac:dyDescent="0.25">
      <c r="A2619" t="s">
        <v>5974</v>
      </c>
      <c r="B2619" t="s">
        <v>3512</v>
      </c>
      <c r="C2619" t="s">
        <v>252</v>
      </c>
      <c r="D2619" t="s">
        <v>46</v>
      </c>
      <c r="E2619">
        <v>46</v>
      </c>
      <c r="F2619" t="s">
        <v>406</v>
      </c>
      <c r="G2619" t="s">
        <v>191</v>
      </c>
      <c r="H2619" t="s">
        <v>5975</v>
      </c>
      <c r="I2619" s="1" t="d">
        <v>2024-07-15</v>
      </c>
      <c r="J2619" t="s">
        <v>497</v>
      </c>
      <c r="K2619" s="17" t="s">
        <v>34</v>
      </c>
      <c r="L2619">
        <v>3</v>
      </c>
    </row>
    <row r="2620" spans="1:12" x14ac:dyDescent="0.25">
      <c r="A2620" t="s">
        <v>4290</v>
      </c>
      <c r="B2620" t="s">
        <v>1213</v>
      </c>
      <c r="C2620" t="s">
        <v>516</v>
      </c>
      <c r="D2620" t="s">
        <v>9527</v>
      </c>
      <c r="E2620">
        <v>42</v>
      </c>
      <c r="F2620" t="s">
        <v>31</v>
      </c>
      <c r="G2620" t="s">
        <v>191</v>
      </c>
      <c r="H2620">
        <v>42082</v>
      </c>
      <c r="I2620" s="1" t="d">
        <v>2005-04-18</v>
      </c>
      <c r="J2620" t="s">
        <v>446</v>
      </c>
      <c r="K2620" s="17" t="s">
        <v>184</v>
      </c>
      <c r="L2620">
        <v>2</v>
      </c>
    </row>
    <row r="2621" spans="1:12" x14ac:dyDescent="0.25">
      <c r="A2621" t="s">
        <v>5976</v>
      </c>
      <c r="B2621" t="s">
        <v>1213</v>
      </c>
      <c r="C2621" t="s">
        <v>5977</v>
      </c>
      <c r="D2621" t="s">
        <v>46</v>
      </c>
      <c r="E2621">
        <v>38</v>
      </c>
      <c r="F2621" t="s">
        <v>114</v>
      </c>
      <c r="G2621" t="s">
        <v>842</v>
      </c>
      <c r="H2621" t="s">
        <v>5978</v>
      </c>
      <c r="I2621" s="1" t="d">
        <v>2016-04-06</v>
      </c>
      <c r="J2621" t="s">
        <v>446</v>
      </c>
      <c r="K2621" s="17" t="s">
        <v>370</v>
      </c>
      <c r="L2621">
        <v>4</v>
      </c>
    </row>
    <row r="2622" spans="1:12" x14ac:dyDescent="0.25">
      <c r="A2622" t="s">
        <v>5979</v>
      </c>
      <c r="B2622" t="s">
        <v>499</v>
      </c>
      <c r="C2622" t="s">
        <v>827</v>
      </c>
      <c r="D2622" t="s">
        <v>46</v>
      </c>
      <c r="E2622">
        <v>34</v>
      </c>
      <c r="F2622" t="s">
        <v>190</v>
      </c>
      <c r="G2622" t="s">
        <v>55</v>
      </c>
      <c r="H2622" t="s">
        <v>5980</v>
      </c>
      <c r="I2622" s="1" t="d">
        <v>2013-03-24</v>
      </c>
      <c r="J2622" t="s">
        <v>682</v>
      </c>
      <c r="K2622" s="17" t="s">
        <v>118</v>
      </c>
      <c r="L2622">
        <v>3</v>
      </c>
    </row>
    <row r="2623" spans="1:12" x14ac:dyDescent="0.25">
      <c r="A2623" t="s">
        <v>5981</v>
      </c>
      <c r="B2623" t="s">
        <v>1512</v>
      </c>
      <c r="C2623" t="s">
        <v>1377</v>
      </c>
      <c r="D2623" t="s">
        <v>9527</v>
      </c>
      <c r="E2623">
        <v>22</v>
      </c>
      <c r="F2623" t="s">
        <v>373</v>
      </c>
      <c r="G2623" t="s">
        <v>170</v>
      </c>
      <c r="H2623" t="s">
        <v>5982</v>
      </c>
      <c r="I2623" s="1" t="d">
        <v>2005-06-26</v>
      </c>
      <c r="J2623" t="s">
        <v>4145</v>
      </c>
      <c r="K2623" s="17" t="s">
        <v>58</v>
      </c>
      <c r="L2623">
        <v>3</v>
      </c>
    </row>
    <row r="2624" spans="1:12" x14ac:dyDescent="0.25">
      <c r="A2624" t="s">
        <v>2925</v>
      </c>
      <c r="B2624" t="s">
        <v>954</v>
      </c>
      <c r="C2624" t="s">
        <v>1472</v>
      </c>
      <c r="D2624" t="s">
        <v>23</v>
      </c>
      <c r="E2624">
        <v>31</v>
      </c>
      <c r="F2624" t="s">
        <v>153</v>
      </c>
      <c r="G2624" t="s">
        <v>88</v>
      </c>
      <c r="H2624">
        <v>70571</v>
      </c>
      <c r="I2624" s="1" t="d">
        <v>2015-07-24</v>
      </c>
      <c r="J2624" t="s">
        <v>1822</v>
      </c>
      <c r="K2624" s="17" t="s">
        <v>100</v>
      </c>
      <c r="L2624">
        <v>2</v>
      </c>
    </row>
    <row r="2625" spans="1:12" x14ac:dyDescent="0.25">
      <c r="A2625" t="s">
        <v>5983</v>
      </c>
      <c r="B2625" t="s">
        <v>901</v>
      </c>
      <c r="C2625" t="s">
        <v>74</v>
      </c>
      <c r="D2625" t="s">
        <v>23</v>
      </c>
      <c r="E2625">
        <v>39</v>
      </c>
      <c r="F2625" t="s">
        <v>2065</v>
      </c>
      <c r="G2625" t="s">
        <v>88</v>
      </c>
      <c r="I2625" s="1" t="d">
        <v>2005-08-25</v>
      </c>
      <c r="J2625" t="s">
        <v>5984</v>
      </c>
      <c r="K2625" s="17" t="s">
        <v>27</v>
      </c>
      <c r="L2625">
        <v>3</v>
      </c>
    </row>
    <row r="2626" spans="1:12" x14ac:dyDescent="0.25">
      <c r="A2626" t="s">
        <v>5985</v>
      </c>
      <c r="B2626" t="s">
        <v>906</v>
      </c>
      <c r="C2626" t="s">
        <v>37</v>
      </c>
      <c r="D2626" t="s">
        <v>46</v>
      </c>
      <c r="E2626">
        <v>41</v>
      </c>
      <c r="F2626" t="s">
        <v>190</v>
      </c>
      <c r="G2626" t="s">
        <v>159</v>
      </c>
      <c r="H2626" t="s">
        <v>5986</v>
      </c>
      <c r="I2626" s="1" t="d">
        <v>2019-06-17</v>
      </c>
      <c r="J2626" t="s">
        <v>284</v>
      </c>
      <c r="K2626" s="17" t="s">
        <v>19</v>
      </c>
      <c r="L2626">
        <v>3</v>
      </c>
    </row>
    <row r="2627" spans="1:12" x14ac:dyDescent="0.25">
      <c r="A2627" t="s">
        <v>5987</v>
      </c>
      <c r="B2627" t="s">
        <v>1124</v>
      </c>
      <c r="C2627" t="s">
        <v>395</v>
      </c>
      <c r="D2627" t="s">
        <v>46</v>
      </c>
      <c r="E2627">
        <v>31</v>
      </c>
      <c r="G2627" t="s">
        <v>16</v>
      </c>
      <c r="H2627" t="s">
        <v>5988</v>
      </c>
      <c r="I2627" s="1" t="d">
        <v>2014-09-04</v>
      </c>
      <c r="J2627" t="s">
        <v>1690</v>
      </c>
      <c r="K2627" s="17" t="s">
        <v>58</v>
      </c>
      <c r="L2627">
        <v>3</v>
      </c>
    </row>
    <row r="2628" spans="1:12" x14ac:dyDescent="0.25">
      <c r="A2628" t="s">
        <v>5989</v>
      </c>
      <c r="B2628" t="s">
        <v>1759</v>
      </c>
      <c r="C2628" t="s">
        <v>483</v>
      </c>
      <c r="D2628" t="s">
        <v>9527</v>
      </c>
      <c r="E2628">
        <v>54</v>
      </c>
      <c r="F2628" t="s">
        <v>3280</v>
      </c>
      <c r="G2628" t="s">
        <v>32</v>
      </c>
      <c r="H2628" t="s">
        <v>5990</v>
      </c>
      <c r="I2628" s="1" t="d">
        <v>2008-07-02</v>
      </c>
      <c r="J2628" t="s">
        <v>3325</v>
      </c>
      <c r="K2628" s="17" t="s">
        <v>19</v>
      </c>
      <c r="L2628">
        <v>4</v>
      </c>
    </row>
    <row r="2629" spans="1:12" x14ac:dyDescent="0.25">
      <c r="A2629" t="s">
        <v>5991</v>
      </c>
      <c r="B2629" t="s">
        <v>228</v>
      </c>
      <c r="C2629" t="s">
        <v>1039</v>
      </c>
      <c r="D2629" t="s">
        <v>23</v>
      </c>
      <c r="E2629">
        <v>30</v>
      </c>
      <c r="F2629" t="s">
        <v>859</v>
      </c>
      <c r="G2629" t="s">
        <v>55</v>
      </c>
      <c r="H2629" t="s">
        <v>5992</v>
      </c>
      <c r="I2629" s="1" t="d">
        <v>2014-06-23</v>
      </c>
      <c r="J2629" t="s">
        <v>1628</v>
      </c>
      <c r="K2629" s="17" t="s">
        <v>100</v>
      </c>
      <c r="L2629">
        <v>4</v>
      </c>
    </row>
    <row r="2630" spans="1:12" x14ac:dyDescent="0.25">
      <c r="A2630" t="s">
        <v>5993</v>
      </c>
      <c r="B2630" t="s">
        <v>1784</v>
      </c>
      <c r="C2630" t="s">
        <v>381</v>
      </c>
      <c r="D2630" t="s">
        <v>9527</v>
      </c>
      <c r="E2630">
        <v>27</v>
      </c>
      <c r="F2630" t="s">
        <v>2065</v>
      </c>
      <c r="G2630" t="s">
        <v>205</v>
      </c>
      <c r="H2630">
        <v>110675</v>
      </c>
      <c r="I2630" s="1" t="d">
        <v>2007-08-16</v>
      </c>
      <c r="J2630" t="s">
        <v>3411</v>
      </c>
      <c r="K2630" s="17" t="s">
        <v>149</v>
      </c>
      <c r="L2630">
        <v>4</v>
      </c>
    </row>
    <row r="2631" spans="1:12" x14ac:dyDescent="0.25">
      <c r="A2631" t="s">
        <v>5994</v>
      </c>
      <c r="B2631" t="s">
        <v>257</v>
      </c>
      <c r="C2631" t="s">
        <v>1062</v>
      </c>
      <c r="D2631" t="s">
        <v>23</v>
      </c>
      <c r="E2631">
        <v>29</v>
      </c>
      <c r="F2631" t="s">
        <v>649</v>
      </c>
      <c r="G2631" t="s">
        <v>88</v>
      </c>
      <c r="H2631" t="s">
        <v>5995</v>
      </c>
      <c r="I2631" s="1" t="d">
        <v>2016-12-19</v>
      </c>
      <c r="J2631" t="s">
        <v>1830</v>
      </c>
      <c r="K2631" s="17" t="s">
        <v>42</v>
      </c>
      <c r="L2631">
        <v>3</v>
      </c>
    </row>
    <row r="2632" spans="1:12" x14ac:dyDescent="0.25">
      <c r="A2632" t="s">
        <v>5996</v>
      </c>
      <c r="B2632" t="s">
        <v>221</v>
      </c>
      <c r="C2632" t="s">
        <v>135</v>
      </c>
      <c r="D2632" t="s">
        <v>23</v>
      </c>
      <c r="E2632">
        <v>46</v>
      </c>
      <c r="F2632" t="s">
        <v>94</v>
      </c>
      <c r="G2632" t="s">
        <v>39</v>
      </c>
      <c r="H2632" s="2">
        <v>71622</v>
      </c>
      <c r="I2632" s="1" t="d">
        <v>2018-11-08</v>
      </c>
      <c r="J2632" t="s">
        <v>578</v>
      </c>
      <c r="K2632" s="17" t="s">
        <v>34</v>
      </c>
      <c r="L2632">
        <v>4</v>
      </c>
    </row>
    <row r="2633" spans="1:12" x14ac:dyDescent="0.25">
      <c r="A2633" t="s">
        <v>5997</v>
      </c>
      <c r="B2633" t="s">
        <v>1342</v>
      </c>
      <c r="C2633" t="s">
        <v>1657</v>
      </c>
      <c r="D2633" t="s">
        <v>46</v>
      </c>
      <c r="E2633">
        <v>39</v>
      </c>
      <c r="F2633" t="s">
        <v>5998</v>
      </c>
      <c r="G2633" t="s">
        <v>82</v>
      </c>
      <c r="H2633" t="s">
        <v>5999</v>
      </c>
      <c r="I2633" s="1" t="d">
        <v>2024-05-31</v>
      </c>
      <c r="J2633" t="s">
        <v>3261</v>
      </c>
      <c r="K2633" s="17" t="s">
        <v>100</v>
      </c>
      <c r="L2633">
        <v>4</v>
      </c>
    </row>
    <row r="2634" spans="1:12" x14ac:dyDescent="0.25">
      <c r="A2634" t="s">
        <v>6000</v>
      </c>
      <c r="B2634" t="s">
        <v>1213</v>
      </c>
      <c r="C2634" t="s">
        <v>830</v>
      </c>
      <c r="D2634" t="s">
        <v>9527</v>
      </c>
      <c r="E2634">
        <v>34</v>
      </c>
      <c r="F2634" t="s">
        <v>589</v>
      </c>
      <c r="G2634" t="s">
        <v>191</v>
      </c>
      <c r="I2634" s="1" t="d">
        <v>2012-01-11</v>
      </c>
      <c r="J2634" t="s">
        <v>5924</v>
      </c>
      <c r="K2634" s="17" t="s">
        <v>184</v>
      </c>
      <c r="L2634">
        <v>5</v>
      </c>
    </row>
    <row r="2635" spans="1:12" x14ac:dyDescent="0.25">
      <c r="A2635" t="s">
        <v>6001</v>
      </c>
      <c r="B2635" t="s">
        <v>571</v>
      </c>
      <c r="C2635" t="s">
        <v>14</v>
      </c>
      <c r="D2635" t="s">
        <v>46</v>
      </c>
      <c r="E2635">
        <v>39</v>
      </c>
      <c r="F2635" t="s">
        <v>1116</v>
      </c>
      <c r="G2635" t="s">
        <v>217</v>
      </c>
      <c r="H2635" t="s">
        <v>6002</v>
      </c>
      <c r="I2635" s="1" t="d">
        <v>2017-11-04</v>
      </c>
      <c r="J2635" t="s">
        <v>6003</v>
      </c>
      <c r="K2635" s="17" t="s">
        <v>27</v>
      </c>
      <c r="L2635">
        <v>4</v>
      </c>
    </row>
    <row r="2636" spans="1:12" x14ac:dyDescent="0.25">
      <c r="A2636" t="s">
        <v>6004</v>
      </c>
      <c r="B2636" t="s">
        <v>4760</v>
      </c>
      <c r="C2636" t="s">
        <v>1356</v>
      </c>
      <c r="D2636" t="s">
        <v>46</v>
      </c>
      <c r="E2636">
        <v>44</v>
      </c>
      <c r="F2636" t="s">
        <v>559</v>
      </c>
      <c r="G2636" t="s">
        <v>88</v>
      </c>
      <c r="H2636" t="s">
        <v>6005</v>
      </c>
      <c r="I2636" s="1" t="d">
        <v>2013-12-05</v>
      </c>
      <c r="J2636" t="s">
        <v>3312</v>
      </c>
      <c r="K2636" s="17" t="s">
        <v>58</v>
      </c>
      <c r="L2636">
        <v>3</v>
      </c>
    </row>
    <row r="2637" spans="1:12" x14ac:dyDescent="0.25">
      <c r="A2637" t="s">
        <v>6006</v>
      </c>
      <c r="B2637" t="s">
        <v>931</v>
      </c>
      <c r="C2637" t="s">
        <v>386</v>
      </c>
      <c r="D2637" t="s">
        <v>46</v>
      </c>
      <c r="E2637">
        <v>40</v>
      </c>
      <c r="F2637" t="s">
        <v>153</v>
      </c>
      <c r="G2637" t="s">
        <v>239</v>
      </c>
      <c r="H2637" t="s">
        <v>6007</v>
      </c>
      <c r="I2637" s="1" t="d">
        <v>2022-08-21</v>
      </c>
      <c r="J2637" t="s">
        <v>6008</v>
      </c>
      <c r="K2637" s="17" t="s">
        <v>207</v>
      </c>
      <c r="L2637">
        <v>3</v>
      </c>
    </row>
    <row r="2638" spans="1:12" x14ac:dyDescent="0.25">
      <c r="A2638" t="s">
        <v>6009</v>
      </c>
      <c r="B2638" t="s">
        <v>6010</v>
      </c>
      <c r="C2638" t="s">
        <v>830</v>
      </c>
      <c r="D2638" t="s">
        <v>46</v>
      </c>
      <c r="E2638">
        <v>38</v>
      </c>
      <c r="F2638" t="s">
        <v>2820</v>
      </c>
      <c r="G2638" t="s">
        <v>55</v>
      </c>
      <c r="H2638">
        <v>52318</v>
      </c>
      <c r="I2638" s="1" t="d">
        <v>2012-10-26</v>
      </c>
      <c r="J2638" t="s">
        <v>2841</v>
      </c>
      <c r="K2638" s="17" t="s">
        <v>149</v>
      </c>
      <c r="L2638">
        <v>4</v>
      </c>
    </row>
    <row r="2639" spans="1:12" x14ac:dyDescent="0.25">
      <c r="A2639" t="s">
        <v>6011</v>
      </c>
      <c r="B2639" t="s">
        <v>426</v>
      </c>
      <c r="C2639" t="s">
        <v>181</v>
      </c>
      <c r="D2639" t="s">
        <v>46</v>
      </c>
      <c r="E2639">
        <v>55</v>
      </c>
      <c r="F2639" t="s">
        <v>104</v>
      </c>
      <c r="G2639" t="s">
        <v>39</v>
      </c>
      <c r="H2639" t="s">
        <v>6012</v>
      </c>
      <c r="I2639" s="1" t="d">
        <v>2008-03-28</v>
      </c>
      <c r="J2639" t="s">
        <v>6013</v>
      </c>
      <c r="K2639" s="17" t="s">
        <v>34</v>
      </c>
      <c r="L2639">
        <v>4</v>
      </c>
    </row>
    <row r="2640" spans="1:12" x14ac:dyDescent="0.25">
      <c r="A2640" t="s">
        <v>6014</v>
      </c>
      <c r="B2640" t="s">
        <v>66</v>
      </c>
      <c r="C2640" t="s">
        <v>1608</v>
      </c>
      <c r="D2640" t="s">
        <v>23</v>
      </c>
      <c r="E2640">
        <v>29</v>
      </c>
      <c r="F2640" t="s">
        <v>1116</v>
      </c>
      <c r="G2640" t="s">
        <v>191</v>
      </c>
      <c r="H2640" s="2">
        <v>64995</v>
      </c>
      <c r="I2640" s="1" t="d">
        <v>2013-08-02</v>
      </c>
      <c r="J2640" t="s">
        <v>4103</v>
      </c>
      <c r="K2640" s="17" t="s">
        <v>207</v>
      </c>
      <c r="L2640">
        <v>3</v>
      </c>
    </row>
    <row r="2641" spans="1:12" x14ac:dyDescent="0.25">
      <c r="A2641" t="s">
        <v>2092</v>
      </c>
      <c r="B2641" t="s">
        <v>112</v>
      </c>
      <c r="C2641" t="s">
        <v>696</v>
      </c>
      <c r="D2641" t="s">
        <v>46</v>
      </c>
      <c r="E2641">
        <v>41</v>
      </c>
      <c r="F2641" t="s">
        <v>186</v>
      </c>
      <c r="G2641" t="s">
        <v>69</v>
      </c>
      <c r="H2641">
        <v>100901</v>
      </c>
      <c r="I2641" s="1" t="d">
        <v>2013-12-01</v>
      </c>
      <c r="J2641" t="s">
        <v>431</v>
      </c>
      <c r="K2641" s="17" t="s">
        <v>27</v>
      </c>
      <c r="L2641">
        <v>4</v>
      </c>
    </row>
    <row r="2642" spans="1:12" x14ac:dyDescent="0.25">
      <c r="A2642" t="s">
        <v>161</v>
      </c>
      <c r="B2642" t="s">
        <v>162</v>
      </c>
      <c r="C2642" t="s">
        <v>163</v>
      </c>
      <c r="D2642" t="s">
        <v>23</v>
      </c>
      <c r="E2642">
        <v>36</v>
      </c>
      <c r="G2642" t="s">
        <v>164</v>
      </c>
      <c r="H2642">
        <v>56678</v>
      </c>
      <c r="I2642" s="1" t="d">
        <v>2019-11-17</v>
      </c>
      <c r="J2642" t="s">
        <v>165</v>
      </c>
      <c r="K2642" s="17" t="s">
        <v>71</v>
      </c>
      <c r="L2642">
        <v>4</v>
      </c>
    </row>
    <row r="2643" spans="1:12" x14ac:dyDescent="0.25">
      <c r="A2643" t="s">
        <v>6015</v>
      </c>
      <c r="B2643" t="s">
        <v>251</v>
      </c>
      <c r="C2643" t="s">
        <v>45</v>
      </c>
      <c r="D2643" t="s">
        <v>23</v>
      </c>
      <c r="E2643">
        <v>48</v>
      </c>
      <c r="F2643" t="s">
        <v>411</v>
      </c>
      <c r="G2643" t="s">
        <v>39</v>
      </c>
      <c r="H2643" t="s">
        <v>6016</v>
      </c>
      <c r="I2643" s="1" t="d">
        <v>2013-06-29</v>
      </c>
      <c r="J2643" t="s">
        <v>2629</v>
      </c>
      <c r="K2643" s="17" t="s">
        <v>19</v>
      </c>
      <c r="L2643">
        <v>4</v>
      </c>
    </row>
    <row r="2644" spans="1:12" x14ac:dyDescent="0.25">
      <c r="A2644" t="s">
        <v>6017</v>
      </c>
      <c r="B2644" t="s">
        <v>66</v>
      </c>
      <c r="C2644" t="s">
        <v>1517</v>
      </c>
      <c r="D2644" t="s">
        <v>23</v>
      </c>
      <c r="E2644">
        <v>45</v>
      </c>
      <c r="F2644" t="s">
        <v>585</v>
      </c>
      <c r="G2644" t="s">
        <v>278</v>
      </c>
      <c r="H2644" s="2">
        <v>78902</v>
      </c>
      <c r="I2644" s="1" t="d">
        <v>2013-10-22</v>
      </c>
      <c r="J2644" t="s">
        <v>3802</v>
      </c>
      <c r="K2644" s="17" t="s">
        <v>50</v>
      </c>
      <c r="L2644">
        <v>5</v>
      </c>
    </row>
    <row r="2645" spans="1:12" x14ac:dyDescent="0.25">
      <c r="A2645" t="s">
        <v>6018</v>
      </c>
      <c r="B2645" t="s">
        <v>999</v>
      </c>
      <c r="C2645" t="s">
        <v>624</v>
      </c>
      <c r="D2645" t="s">
        <v>23</v>
      </c>
      <c r="E2645">
        <v>48</v>
      </c>
      <c r="F2645" t="s">
        <v>978</v>
      </c>
      <c r="G2645" t="s">
        <v>205</v>
      </c>
      <c r="H2645" s="2">
        <v>92408</v>
      </c>
      <c r="I2645" s="1" t="d">
        <v>2020-01-09</v>
      </c>
      <c r="J2645" t="s">
        <v>4472</v>
      </c>
      <c r="K2645" s="17" t="s">
        <v>58</v>
      </c>
      <c r="L2645">
        <v>3</v>
      </c>
    </row>
    <row r="2646" spans="1:12" x14ac:dyDescent="0.25">
      <c r="A2646" t="s">
        <v>6019</v>
      </c>
      <c r="B2646" t="s">
        <v>1096</v>
      </c>
      <c r="C2646" t="s">
        <v>189</v>
      </c>
      <c r="D2646" t="s">
        <v>46</v>
      </c>
      <c r="E2646">
        <v>35</v>
      </c>
      <c r="F2646" t="s">
        <v>211</v>
      </c>
      <c r="G2646" t="s">
        <v>39</v>
      </c>
      <c r="H2646" t="s">
        <v>6020</v>
      </c>
      <c r="I2646" s="1" t="d">
        <v>2016-09-25</v>
      </c>
      <c r="J2646" t="s">
        <v>1065</v>
      </c>
      <c r="K2646" s="17" t="s">
        <v>100</v>
      </c>
      <c r="L2646">
        <v>4</v>
      </c>
    </row>
    <row r="2647" spans="1:12" x14ac:dyDescent="0.25">
      <c r="A2647" t="s">
        <v>6021</v>
      </c>
      <c r="B2647" t="s">
        <v>604</v>
      </c>
      <c r="C2647" t="s">
        <v>758</v>
      </c>
      <c r="D2647" t="s">
        <v>46</v>
      </c>
      <c r="E2647">
        <v>38</v>
      </c>
      <c r="G2647" t="s">
        <v>205</v>
      </c>
      <c r="I2647" s="1" t="d">
        <v>2005-12-21</v>
      </c>
      <c r="J2647" t="s">
        <v>4185</v>
      </c>
      <c r="K2647" s="17" t="s">
        <v>19</v>
      </c>
      <c r="L2647">
        <v>3</v>
      </c>
    </row>
    <row r="2648" spans="1:12" x14ac:dyDescent="0.25">
      <c r="A2648" t="s">
        <v>6022</v>
      </c>
      <c r="B2648" t="s">
        <v>826</v>
      </c>
      <c r="C2648" t="s">
        <v>1258</v>
      </c>
      <c r="D2648" t="s">
        <v>23</v>
      </c>
      <c r="E2648">
        <v>53</v>
      </c>
      <c r="F2648" t="s">
        <v>356</v>
      </c>
      <c r="G2648" t="s">
        <v>48</v>
      </c>
      <c r="H2648" t="s">
        <v>6023</v>
      </c>
      <c r="I2648" s="1" t="d">
        <v>2007-09-22</v>
      </c>
      <c r="J2648" t="s">
        <v>1948</v>
      </c>
      <c r="K2648" s="17" t="s">
        <v>58</v>
      </c>
      <c r="L2648">
        <v>2</v>
      </c>
    </row>
    <row r="2649" spans="1:12" x14ac:dyDescent="0.25">
      <c r="A2649" t="s">
        <v>6024</v>
      </c>
      <c r="B2649" t="s">
        <v>134</v>
      </c>
      <c r="C2649" t="s">
        <v>336</v>
      </c>
      <c r="D2649" t="s">
        <v>23</v>
      </c>
      <c r="E2649">
        <v>28</v>
      </c>
      <c r="F2649" t="s">
        <v>350</v>
      </c>
      <c r="G2649" t="s">
        <v>55</v>
      </c>
      <c r="H2649" t="s">
        <v>6025</v>
      </c>
      <c r="I2649" s="1" t="d">
        <v>2023-09-24</v>
      </c>
      <c r="J2649" t="s">
        <v>6026</v>
      </c>
      <c r="K2649" s="17" t="s">
        <v>19</v>
      </c>
      <c r="L2649">
        <v>3</v>
      </c>
    </row>
    <row r="2650" spans="1:12" x14ac:dyDescent="0.25">
      <c r="A2650" t="s">
        <v>6027</v>
      </c>
      <c r="B2650" t="s">
        <v>130</v>
      </c>
      <c r="C2650" t="s">
        <v>318</v>
      </c>
      <c r="D2650" t="s">
        <v>46</v>
      </c>
      <c r="E2650">
        <v>43</v>
      </c>
      <c r="F2650" t="s">
        <v>365</v>
      </c>
      <c r="G2650" t="s">
        <v>141</v>
      </c>
      <c r="H2650">
        <v>69459</v>
      </c>
      <c r="I2650" s="1" t="d">
        <v>2007-10-01</v>
      </c>
      <c r="J2650" t="s">
        <v>4795</v>
      </c>
      <c r="K2650" s="17" t="s">
        <v>118</v>
      </c>
      <c r="L2650">
        <v>3</v>
      </c>
    </row>
    <row r="2651" spans="1:12" x14ac:dyDescent="0.25">
      <c r="A2651" t="s">
        <v>6028</v>
      </c>
      <c r="B2651" t="s">
        <v>228</v>
      </c>
      <c r="C2651" t="s">
        <v>30</v>
      </c>
      <c r="D2651" t="s">
        <v>23</v>
      </c>
      <c r="E2651">
        <v>36</v>
      </c>
      <c r="F2651" t="s">
        <v>6029</v>
      </c>
      <c r="G2651" t="s">
        <v>205</v>
      </c>
      <c r="I2651" s="1" t="d">
        <v>2007-12-01</v>
      </c>
      <c r="J2651" t="s">
        <v>5439</v>
      </c>
      <c r="K2651" s="17" t="s">
        <v>27</v>
      </c>
      <c r="L2651">
        <v>4</v>
      </c>
    </row>
    <row r="2652" spans="1:12" x14ac:dyDescent="0.25">
      <c r="A2652" t="s">
        <v>6030</v>
      </c>
      <c r="B2652" t="s">
        <v>144</v>
      </c>
      <c r="C2652" t="s">
        <v>1644</v>
      </c>
      <c r="D2652" t="s">
        <v>46</v>
      </c>
      <c r="E2652">
        <v>31</v>
      </c>
      <c r="F2652" t="s">
        <v>296</v>
      </c>
      <c r="G2652" t="s">
        <v>278</v>
      </c>
      <c r="H2652" t="s">
        <v>6031</v>
      </c>
      <c r="I2652" s="1" t="d">
        <v>2007-12-13</v>
      </c>
      <c r="J2652" t="s">
        <v>1049</v>
      </c>
      <c r="K2652" s="17" t="s">
        <v>58</v>
      </c>
      <c r="L2652">
        <v>5</v>
      </c>
    </row>
    <row r="2653" spans="1:12" x14ac:dyDescent="0.25">
      <c r="A2653" t="s">
        <v>6032</v>
      </c>
      <c r="B2653" t="s">
        <v>5474</v>
      </c>
      <c r="C2653" t="s">
        <v>2023</v>
      </c>
      <c r="D2653" t="s">
        <v>46</v>
      </c>
      <c r="E2653">
        <v>56</v>
      </c>
      <c r="F2653" t="s">
        <v>559</v>
      </c>
      <c r="G2653" t="s">
        <v>141</v>
      </c>
      <c r="H2653" t="s">
        <v>6033</v>
      </c>
      <c r="I2653" s="1" t="d">
        <v>2018-10-07</v>
      </c>
      <c r="J2653" t="s">
        <v>1952</v>
      </c>
      <c r="K2653" s="17" t="s">
        <v>50</v>
      </c>
      <c r="L2653">
        <v>3</v>
      </c>
    </row>
    <row r="2654" spans="1:12" x14ac:dyDescent="0.25">
      <c r="A2654" t="s">
        <v>6034</v>
      </c>
      <c r="B2654" t="s">
        <v>323</v>
      </c>
      <c r="C2654" t="s">
        <v>3996</v>
      </c>
      <c r="D2654" t="s">
        <v>9527</v>
      </c>
      <c r="E2654">
        <v>36</v>
      </c>
      <c r="F2654" t="s">
        <v>186</v>
      </c>
      <c r="G2654" t="s">
        <v>16</v>
      </c>
      <c r="H2654" t="s">
        <v>6035</v>
      </c>
      <c r="I2654" s="1" t="d">
        <v>2012-07-22</v>
      </c>
      <c r="J2654" t="s">
        <v>6036</v>
      </c>
      <c r="K2654" s="17" t="s">
        <v>118</v>
      </c>
      <c r="L2654">
        <v>2</v>
      </c>
    </row>
    <row r="2655" spans="1:12" x14ac:dyDescent="0.25">
      <c r="A2655" t="s">
        <v>6037</v>
      </c>
      <c r="B2655" t="s">
        <v>889</v>
      </c>
      <c r="C2655" t="s">
        <v>1881</v>
      </c>
      <c r="D2655" t="s">
        <v>9527</v>
      </c>
      <c r="E2655">
        <v>47</v>
      </c>
      <c r="F2655" t="s">
        <v>258</v>
      </c>
      <c r="G2655" t="s">
        <v>357</v>
      </c>
      <c r="I2655" s="1" t="d">
        <v>2023-05-28</v>
      </c>
      <c r="J2655" t="s">
        <v>3077</v>
      </c>
      <c r="K2655" s="17" t="s">
        <v>118</v>
      </c>
      <c r="L2655">
        <v>3</v>
      </c>
    </row>
    <row r="2656" spans="1:12" x14ac:dyDescent="0.25">
      <c r="A2656" t="s">
        <v>6038</v>
      </c>
      <c r="B2656" t="s">
        <v>6039</v>
      </c>
      <c r="C2656" t="s">
        <v>5654</v>
      </c>
      <c r="D2656" t="s">
        <v>46</v>
      </c>
      <c r="E2656">
        <v>34</v>
      </c>
      <c r="F2656" t="s">
        <v>356</v>
      </c>
      <c r="G2656" t="s">
        <v>182</v>
      </c>
      <c r="H2656" t="s">
        <v>6040</v>
      </c>
      <c r="I2656" s="1" t="d">
        <v>2015-08-05</v>
      </c>
      <c r="J2656" t="s">
        <v>6041</v>
      </c>
      <c r="K2656" s="17" t="s">
        <v>100</v>
      </c>
      <c r="L2656">
        <v>4</v>
      </c>
    </row>
    <row r="2657" spans="1:12" x14ac:dyDescent="0.25">
      <c r="A2657" t="s">
        <v>6042</v>
      </c>
      <c r="B2657" t="s">
        <v>151</v>
      </c>
      <c r="C2657" t="s">
        <v>739</v>
      </c>
      <c r="D2657" t="s">
        <v>23</v>
      </c>
      <c r="E2657">
        <v>23</v>
      </c>
      <c r="F2657" t="s">
        <v>406</v>
      </c>
      <c r="G2657" t="s">
        <v>357</v>
      </c>
      <c r="H2657" t="s">
        <v>6043</v>
      </c>
      <c r="I2657" s="1" t="d">
        <v>2019-12-22</v>
      </c>
      <c r="J2657" t="s">
        <v>4650</v>
      </c>
      <c r="K2657" s="17" t="s">
        <v>50</v>
      </c>
      <c r="L2657">
        <v>1</v>
      </c>
    </row>
    <row r="2658" spans="1:12" x14ac:dyDescent="0.25">
      <c r="A2658" t="s">
        <v>6044</v>
      </c>
      <c r="B2658" t="s">
        <v>3988</v>
      </c>
      <c r="C2658" t="s">
        <v>1030</v>
      </c>
      <c r="D2658" t="s">
        <v>9527</v>
      </c>
      <c r="E2658">
        <v>31</v>
      </c>
      <c r="F2658" t="s">
        <v>417</v>
      </c>
      <c r="G2658" t="s">
        <v>170</v>
      </c>
      <c r="H2658" t="s">
        <v>6045</v>
      </c>
      <c r="I2658" s="1" t="d">
        <v>2005-04-17</v>
      </c>
      <c r="J2658" t="s">
        <v>6046</v>
      </c>
      <c r="K2658" s="17" t="s">
        <v>100</v>
      </c>
      <c r="L2658">
        <v>1</v>
      </c>
    </row>
    <row r="2659" spans="1:12" x14ac:dyDescent="0.25">
      <c r="A2659" t="s">
        <v>6047</v>
      </c>
      <c r="B2659" t="s">
        <v>507</v>
      </c>
      <c r="C2659" t="s">
        <v>204</v>
      </c>
      <c r="D2659" t="s">
        <v>23</v>
      </c>
      <c r="E2659">
        <v>47</v>
      </c>
      <c r="F2659" t="s">
        <v>253</v>
      </c>
      <c r="G2659" t="s">
        <v>82</v>
      </c>
      <c r="H2659" t="s">
        <v>6048</v>
      </c>
      <c r="I2659" s="1" t="d">
        <v>2020-01-22</v>
      </c>
      <c r="J2659" t="s">
        <v>3258</v>
      </c>
      <c r="K2659" s="17" t="s">
        <v>100</v>
      </c>
      <c r="L2659">
        <v>5</v>
      </c>
    </row>
    <row r="2660" spans="1:12" x14ac:dyDescent="0.25">
      <c r="A2660" t="s">
        <v>6049</v>
      </c>
      <c r="B2660" t="s">
        <v>1738</v>
      </c>
      <c r="C2660" t="s">
        <v>168</v>
      </c>
      <c r="D2660" t="s">
        <v>23</v>
      </c>
      <c r="E2660">
        <v>44</v>
      </c>
      <c r="F2660" t="s">
        <v>54</v>
      </c>
      <c r="G2660" t="s">
        <v>115</v>
      </c>
      <c r="H2660">
        <v>64029</v>
      </c>
      <c r="I2660" s="1" t="d">
        <v>2006-10-02</v>
      </c>
      <c r="J2660" t="s">
        <v>5767</v>
      </c>
      <c r="K2660" s="17" t="s">
        <v>90</v>
      </c>
      <c r="L2660">
        <v>4</v>
      </c>
    </row>
    <row r="2661" spans="1:12" x14ac:dyDescent="0.25">
      <c r="A2661" t="s">
        <v>6050</v>
      </c>
      <c r="B2661" t="s">
        <v>5538</v>
      </c>
      <c r="C2661" t="s">
        <v>540</v>
      </c>
      <c r="D2661" t="s">
        <v>46</v>
      </c>
      <c r="E2661">
        <v>39</v>
      </c>
      <c r="F2661" t="s">
        <v>859</v>
      </c>
      <c r="G2661" t="s">
        <v>212</v>
      </c>
      <c r="H2661" t="s">
        <v>6051</v>
      </c>
      <c r="I2661" s="1" t="d">
        <v>2008-11-06</v>
      </c>
      <c r="J2661" t="s">
        <v>1603</v>
      </c>
      <c r="K2661" s="17" t="s">
        <v>207</v>
      </c>
      <c r="L2661">
        <v>4</v>
      </c>
    </row>
    <row r="2662" spans="1:12" x14ac:dyDescent="0.25">
      <c r="A2662" t="s">
        <v>6052</v>
      </c>
      <c r="B2662" t="s">
        <v>804</v>
      </c>
      <c r="C2662" t="s">
        <v>1052</v>
      </c>
      <c r="D2662" t="s">
        <v>46</v>
      </c>
      <c r="E2662">
        <v>38</v>
      </c>
      <c r="F2662" t="s">
        <v>38</v>
      </c>
      <c r="G2662" t="s">
        <v>170</v>
      </c>
      <c r="H2662">
        <v>58544</v>
      </c>
      <c r="I2662" s="1" t="d">
        <v>2024-01-16</v>
      </c>
      <c r="J2662" t="s">
        <v>2285</v>
      </c>
      <c r="K2662" s="17" t="s">
        <v>184</v>
      </c>
      <c r="L2662">
        <v>2</v>
      </c>
    </row>
    <row r="2663" spans="1:12" x14ac:dyDescent="0.25">
      <c r="A2663" t="s">
        <v>6053</v>
      </c>
      <c r="B2663" t="s">
        <v>808</v>
      </c>
      <c r="C2663" t="s">
        <v>2926</v>
      </c>
      <c r="D2663" t="s">
        <v>9527</v>
      </c>
      <c r="E2663">
        <v>34</v>
      </c>
      <c r="F2663" t="s">
        <v>196</v>
      </c>
      <c r="G2663" t="s">
        <v>63</v>
      </c>
      <c r="H2663" t="s">
        <v>6054</v>
      </c>
      <c r="I2663" s="1" t="d">
        <v>2006-02-18</v>
      </c>
      <c r="J2663" t="s">
        <v>2639</v>
      </c>
      <c r="K2663" s="17" t="s">
        <v>50</v>
      </c>
      <c r="L2663">
        <v>3</v>
      </c>
    </row>
    <row r="2664" spans="1:12" x14ac:dyDescent="0.25">
      <c r="A2664" t="s">
        <v>6055</v>
      </c>
      <c r="B2664" t="s">
        <v>29</v>
      </c>
      <c r="C2664" t="s">
        <v>181</v>
      </c>
      <c r="D2664" t="s">
        <v>46</v>
      </c>
      <c r="E2664">
        <v>32</v>
      </c>
      <c r="F2664" t="s">
        <v>264</v>
      </c>
      <c r="G2664" t="s">
        <v>504</v>
      </c>
      <c r="H2664" t="s">
        <v>6056</v>
      </c>
      <c r="I2664" s="1" t="d">
        <v>2009-01-27</v>
      </c>
      <c r="J2664" t="s">
        <v>1239</v>
      </c>
      <c r="K2664" s="17" t="s">
        <v>19</v>
      </c>
      <c r="L2664">
        <v>1</v>
      </c>
    </row>
    <row r="2665" spans="1:12" x14ac:dyDescent="0.25">
      <c r="A2665" t="s">
        <v>6057</v>
      </c>
      <c r="B2665" t="s">
        <v>1403</v>
      </c>
      <c r="C2665" t="s">
        <v>540</v>
      </c>
      <c r="D2665" t="s">
        <v>9527</v>
      </c>
      <c r="E2665">
        <v>44</v>
      </c>
      <c r="F2665" t="s">
        <v>269</v>
      </c>
      <c r="G2665" t="s">
        <v>115</v>
      </c>
      <c r="H2665" t="s">
        <v>6058</v>
      </c>
      <c r="J2665" t="s">
        <v>1603</v>
      </c>
      <c r="K2665" s="17" t="s">
        <v>100</v>
      </c>
      <c r="L2665">
        <v>3</v>
      </c>
    </row>
    <row r="2666" spans="1:12" x14ac:dyDescent="0.25">
      <c r="A2666" t="s">
        <v>6059</v>
      </c>
      <c r="B2666" t="s">
        <v>248</v>
      </c>
      <c r="C2666" t="s">
        <v>6060</v>
      </c>
      <c r="D2666" t="s">
        <v>46</v>
      </c>
      <c r="E2666">
        <v>61</v>
      </c>
      <c r="F2666" t="s">
        <v>126</v>
      </c>
      <c r="G2666" t="s">
        <v>283</v>
      </c>
      <c r="H2666" t="s">
        <v>6061</v>
      </c>
      <c r="I2666" s="1" t="d">
        <v>2022-07-04</v>
      </c>
      <c r="J2666" t="s">
        <v>1559</v>
      </c>
      <c r="K2666" s="17" t="s">
        <v>118</v>
      </c>
      <c r="L2666">
        <v>2</v>
      </c>
    </row>
    <row r="2667" spans="1:12" x14ac:dyDescent="0.25">
      <c r="A2667" t="s">
        <v>6062</v>
      </c>
      <c r="B2667" t="s">
        <v>199</v>
      </c>
      <c r="C2667" t="s">
        <v>758</v>
      </c>
      <c r="D2667" t="s">
        <v>9527</v>
      </c>
      <c r="E2667">
        <v>61</v>
      </c>
      <c r="F2667" t="s">
        <v>190</v>
      </c>
      <c r="G2667" t="s">
        <v>182</v>
      </c>
      <c r="H2667" s="2">
        <v>83116</v>
      </c>
      <c r="I2667" s="1" t="d">
        <v>2006-02-23</v>
      </c>
      <c r="J2667" t="s">
        <v>3125</v>
      </c>
      <c r="K2667" s="17" t="s">
        <v>184</v>
      </c>
      <c r="L2667">
        <v>3</v>
      </c>
    </row>
    <row r="2668" spans="1:12" x14ac:dyDescent="0.25">
      <c r="A2668" t="s">
        <v>6063</v>
      </c>
      <c r="B2668" t="s">
        <v>410</v>
      </c>
      <c r="C2668" t="s">
        <v>555</v>
      </c>
      <c r="D2668" t="s">
        <v>9527</v>
      </c>
      <c r="E2668">
        <v>41</v>
      </c>
      <c r="F2668" t="s">
        <v>422</v>
      </c>
      <c r="G2668" t="s">
        <v>48</v>
      </c>
      <c r="H2668" t="s">
        <v>5915</v>
      </c>
      <c r="I2668" s="1" t="d">
        <v>2023-02-23</v>
      </c>
      <c r="J2668" t="s">
        <v>1661</v>
      </c>
      <c r="K2668" s="17" t="s">
        <v>370</v>
      </c>
      <c r="L2668">
        <v>3</v>
      </c>
    </row>
    <row r="2669" spans="1:12" x14ac:dyDescent="0.25">
      <c r="A2669" t="s">
        <v>6064</v>
      </c>
      <c r="B2669" t="s">
        <v>5934</v>
      </c>
      <c r="C2669" t="s">
        <v>61</v>
      </c>
      <c r="D2669" t="s">
        <v>23</v>
      </c>
      <c r="E2669">
        <v>33</v>
      </c>
      <c r="F2669" t="s">
        <v>411</v>
      </c>
      <c r="G2669" t="s">
        <v>1658</v>
      </c>
      <c r="H2669" t="s">
        <v>6065</v>
      </c>
      <c r="I2669" s="1" t="d">
        <v>2019-10-28</v>
      </c>
      <c r="J2669" t="s">
        <v>4930</v>
      </c>
      <c r="K2669" s="17" t="s">
        <v>34</v>
      </c>
      <c r="L2669">
        <v>3</v>
      </c>
    </row>
    <row r="2670" spans="1:12" x14ac:dyDescent="0.25">
      <c r="A2670" t="s">
        <v>6066</v>
      </c>
      <c r="B2670" t="s">
        <v>3179</v>
      </c>
      <c r="C2670" t="s">
        <v>204</v>
      </c>
      <c r="D2670" t="s">
        <v>23</v>
      </c>
      <c r="E2670">
        <v>42</v>
      </c>
      <c r="F2670" t="s">
        <v>589</v>
      </c>
      <c r="G2670" t="s">
        <v>191</v>
      </c>
      <c r="H2670">
        <v>52558</v>
      </c>
      <c r="I2670" s="1" t="d">
        <v>2021-06-19</v>
      </c>
      <c r="J2670" t="s">
        <v>1637</v>
      </c>
      <c r="K2670" s="17" t="s">
        <v>58</v>
      </c>
      <c r="L2670">
        <v>4</v>
      </c>
    </row>
    <row r="2671" spans="1:12" x14ac:dyDescent="0.25">
      <c r="A2671" t="s">
        <v>6067</v>
      </c>
      <c r="B2671" t="s">
        <v>112</v>
      </c>
      <c r="C2671" t="s">
        <v>6068</v>
      </c>
      <c r="D2671" t="s">
        <v>46</v>
      </c>
      <c r="E2671">
        <v>42</v>
      </c>
      <c r="F2671" t="s">
        <v>47</v>
      </c>
      <c r="G2671" t="s">
        <v>357</v>
      </c>
      <c r="H2671" s="2">
        <v>71318</v>
      </c>
      <c r="I2671" s="1" t="d">
        <v>2019-04-04</v>
      </c>
      <c r="J2671" t="s">
        <v>255</v>
      </c>
      <c r="K2671" s="17" t="s">
        <v>149</v>
      </c>
      <c r="L2671">
        <v>3</v>
      </c>
    </row>
    <row r="2672" spans="1:12" x14ac:dyDescent="0.25">
      <c r="A2672" t="s">
        <v>6069</v>
      </c>
      <c r="B2672" t="s">
        <v>594</v>
      </c>
      <c r="C2672" t="s">
        <v>660</v>
      </c>
      <c r="D2672" t="s">
        <v>46</v>
      </c>
      <c r="E2672">
        <v>28</v>
      </c>
      <c r="G2672" t="s">
        <v>109</v>
      </c>
      <c r="H2672" t="s">
        <v>6070</v>
      </c>
      <c r="I2672" s="1" t="d">
        <v>2012-12-07</v>
      </c>
      <c r="J2672" t="s">
        <v>6071</v>
      </c>
      <c r="K2672" s="17" t="s">
        <v>58</v>
      </c>
      <c r="L2672">
        <v>4</v>
      </c>
    </row>
    <row r="2673" spans="1:12" x14ac:dyDescent="0.25">
      <c r="A2673" t="s">
        <v>6072</v>
      </c>
      <c r="B2673" t="s">
        <v>2365</v>
      </c>
      <c r="C2673" t="s">
        <v>324</v>
      </c>
      <c r="D2673" t="s">
        <v>46</v>
      </c>
      <c r="E2673">
        <v>39</v>
      </c>
      <c r="F2673" t="s">
        <v>68</v>
      </c>
      <c r="G2673" t="s">
        <v>504</v>
      </c>
      <c r="H2673" s="2">
        <v>90743</v>
      </c>
      <c r="I2673" s="1" t="d">
        <v>2011-07-16</v>
      </c>
      <c r="J2673" t="s">
        <v>3022</v>
      </c>
      <c r="K2673" s="17" t="s">
        <v>19</v>
      </c>
      <c r="L2673">
        <v>3</v>
      </c>
    </row>
    <row r="2674" spans="1:12" x14ac:dyDescent="0.25">
      <c r="A2674" t="s">
        <v>6073</v>
      </c>
      <c r="B2674" t="s">
        <v>670</v>
      </c>
      <c r="C2674" t="s">
        <v>758</v>
      </c>
      <c r="D2674" t="s">
        <v>46</v>
      </c>
      <c r="E2674">
        <v>37</v>
      </c>
      <c r="F2674" t="s">
        <v>296</v>
      </c>
      <c r="G2674" t="s">
        <v>357</v>
      </c>
      <c r="H2674" t="s">
        <v>6074</v>
      </c>
      <c r="I2674" s="1" t="d">
        <v>2009-01-27</v>
      </c>
      <c r="J2674" t="s">
        <v>2609</v>
      </c>
      <c r="K2674" s="17" t="s">
        <v>207</v>
      </c>
      <c r="L2674">
        <v>2</v>
      </c>
    </row>
    <row r="2675" spans="1:12" x14ac:dyDescent="0.25">
      <c r="A2675" t="s">
        <v>6075</v>
      </c>
      <c r="B2675" t="s">
        <v>248</v>
      </c>
      <c r="C2675" t="s">
        <v>74</v>
      </c>
      <c r="D2675" t="s">
        <v>9527</v>
      </c>
      <c r="E2675">
        <v>67</v>
      </c>
      <c r="F2675" t="s">
        <v>15</v>
      </c>
      <c r="G2675" t="s">
        <v>357</v>
      </c>
      <c r="H2675">
        <v>109379</v>
      </c>
      <c r="I2675" s="1" t="d">
        <v>2009-05-05</v>
      </c>
      <c r="J2675" t="s">
        <v>2346</v>
      </c>
      <c r="K2675" s="17" t="s">
        <v>100</v>
      </c>
      <c r="L2675">
        <v>3</v>
      </c>
    </row>
    <row r="2676" spans="1:12" x14ac:dyDescent="0.25">
      <c r="A2676" t="s">
        <v>6076</v>
      </c>
      <c r="B2676" t="s">
        <v>6077</v>
      </c>
      <c r="C2676" t="s">
        <v>660</v>
      </c>
      <c r="D2676" t="s">
        <v>23</v>
      </c>
      <c r="E2676">
        <v>39</v>
      </c>
      <c r="F2676" t="s">
        <v>258</v>
      </c>
      <c r="G2676" t="s">
        <v>231</v>
      </c>
      <c r="H2676">
        <v>66635</v>
      </c>
      <c r="I2676" s="1" t="d">
        <v>2008-08-19</v>
      </c>
      <c r="J2676" t="s">
        <v>1188</v>
      </c>
      <c r="K2676" s="17" t="s">
        <v>149</v>
      </c>
      <c r="L2676">
        <v>4</v>
      </c>
    </row>
    <row r="2677" spans="1:12" x14ac:dyDescent="0.25">
      <c r="A2677" t="s">
        <v>6078</v>
      </c>
      <c r="B2677" t="s">
        <v>180</v>
      </c>
      <c r="C2677" t="s">
        <v>158</v>
      </c>
      <c r="D2677" t="s">
        <v>9527</v>
      </c>
      <c r="E2677">
        <v>33</v>
      </c>
      <c r="F2677" t="s">
        <v>62</v>
      </c>
      <c r="G2677" t="s">
        <v>55</v>
      </c>
      <c r="H2677" s="2">
        <v>75652</v>
      </c>
      <c r="I2677" s="1" t="d">
        <v>2016-01-03</v>
      </c>
      <c r="J2677" t="s">
        <v>2881</v>
      </c>
      <c r="K2677" s="17" t="s">
        <v>27</v>
      </c>
      <c r="L2677">
        <v>2</v>
      </c>
    </row>
    <row r="2678" spans="1:12" x14ac:dyDescent="0.25">
      <c r="A2678" t="s">
        <v>6079</v>
      </c>
      <c r="B2678" t="s">
        <v>1181</v>
      </c>
      <c r="C2678" t="s">
        <v>1384</v>
      </c>
      <c r="D2678" t="s">
        <v>46</v>
      </c>
      <c r="E2678">
        <v>38</v>
      </c>
      <c r="F2678" t="s">
        <v>645</v>
      </c>
      <c r="G2678" t="s">
        <v>32</v>
      </c>
      <c r="H2678" s="2">
        <v>44680</v>
      </c>
      <c r="I2678" s="1" t="d">
        <v>2018-08-06</v>
      </c>
      <c r="J2678" t="s">
        <v>3738</v>
      </c>
      <c r="K2678" s="17" t="s">
        <v>118</v>
      </c>
      <c r="L2678">
        <v>2</v>
      </c>
    </row>
    <row r="2679" spans="1:12" x14ac:dyDescent="0.25">
      <c r="A2679" t="s">
        <v>6080</v>
      </c>
      <c r="B2679" t="s">
        <v>520</v>
      </c>
      <c r="C2679" t="s">
        <v>1030</v>
      </c>
      <c r="D2679" t="s">
        <v>23</v>
      </c>
      <c r="E2679">
        <v>27</v>
      </c>
      <c r="F2679" t="s">
        <v>264</v>
      </c>
      <c r="G2679" t="s">
        <v>39</v>
      </c>
      <c r="H2679" s="2">
        <v>90086</v>
      </c>
      <c r="I2679" s="1" t="d">
        <v>2005-06-19</v>
      </c>
      <c r="J2679" t="s">
        <v>4035</v>
      </c>
      <c r="K2679" s="17" t="s">
        <v>58</v>
      </c>
      <c r="L2679">
        <v>5</v>
      </c>
    </row>
    <row r="2680" spans="1:12" x14ac:dyDescent="0.25">
      <c r="A2680" t="s">
        <v>6081</v>
      </c>
      <c r="B2680" t="s">
        <v>571</v>
      </c>
      <c r="C2680" t="s">
        <v>966</v>
      </c>
      <c r="D2680" t="s">
        <v>23</v>
      </c>
      <c r="E2680">
        <v>40</v>
      </c>
      <c r="F2680" t="s">
        <v>1568</v>
      </c>
      <c r="G2680" t="s">
        <v>177</v>
      </c>
      <c r="H2680" t="s">
        <v>6082</v>
      </c>
      <c r="I2680" s="1" t="d">
        <v>2023-09-02</v>
      </c>
      <c r="J2680" t="s">
        <v>6083</v>
      </c>
      <c r="K2680" s="17" t="s">
        <v>149</v>
      </c>
      <c r="L2680">
        <v>4</v>
      </c>
    </row>
    <row r="2681" spans="1:12" x14ac:dyDescent="0.25">
      <c r="A2681" t="s">
        <v>3290</v>
      </c>
      <c r="B2681" t="s">
        <v>563</v>
      </c>
      <c r="C2681" t="s">
        <v>2926</v>
      </c>
      <c r="D2681" t="s">
        <v>9527</v>
      </c>
      <c r="E2681">
        <v>48</v>
      </c>
      <c r="F2681" t="s">
        <v>406</v>
      </c>
      <c r="G2681" t="s">
        <v>177</v>
      </c>
      <c r="I2681" s="1" t="d">
        <v>2017-10-07</v>
      </c>
      <c r="J2681" t="s">
        <v>3292</v>
      </c>
      <c r="K2681" s="17" t="s">
        <v>184</v>
      </c>
      <c r="L2681">
        <v>3</v>
      </c>
    </row>
    <row r="2682" spans="1:12" x14ac:dyDescent="0.25">
      <c r="A2682" t="s">
        <v>6084</v>
      </c>
      <c r="B2682" t="s">
        <v>224</v>
      </c>
      <c r="C2682" t="s">
        <v>988</v>
      </c>
      <c r="D2682" t="s">
        <v>9527</v>
      </c>
      <c r="E2682">
        <v>29</v>
      </c>
      <c r="F2682" t="s">
        <v>1147</v>
      </c>
      <c r="G2682" t="s">
        <v>191</v>
      </c>
      <c r="I2682" s="1" t="d">
        <v>2018-07-24</v>
      </c>
      <c r="J2682" t="s">
        <v>3745</v>
      </c>
      <c r="K2682" s="17" t="s">
        <v>42</v>
      </c>
      <c r="L2682">
        <v>5</v>
      </c>
    </row>
    <row r="2683" spans="1:12" x14ac:dyDescent="0.25">
      <c r="A2683" t="s">
        <v>6085</v>
      </c>
      <c r="B2683" t="s">
        <v>6086</v>
      </c>
      <c r="C2683" t="s">
        <v>1039</v>
      </c>
      <c r="D2683" t="s">
        <v>46</v>
      </c>
      <c r="E2683">
        <v>35</v>
      </c>
      <c r="F2683" t="s">
        <v>649</v>
      </c>
      <c r="G2683" t="s">
        <v>69</v>
      </c>
      <c r="I2683" s="1" t="d">
        <v>2005-10-27</v>
      </c>
      <c r="J2683" t="s">
        <v>5125</v>
      </c>
      <c r="K2683" s="17" t="s">
        <v>118</v>
      </c>
      <c r="L2683">
        <v>4</v>
      </c>
    </row>
    <row r="2684" spans="1:12" x14ac:dyDescent="0.25">
      <c r="A2684" t="s">
        <v>6087</v>
      </c>
      <c r="B2684" t="s">
        <v>281</v>
      </c>
      <c r="C2684" t="s">
        <v>291</v>
      </c>
      <c r="D2684" t="s">
        <v>9527</v>
      </c>
      <c r="E2684">
        <v>36</v>
      </c>
      <c r="F2684" t="s">
        <v>169</v>
      </c>
      <c r="G2684" t="s">
        <v>782</v>
      </c>
      <c r="H2684" t="s">
        <v>6088</v>
      </c>
      <c r="I2684" s="1" t="d">
        <v>2005-04-11</v>
      </c>
      <c r="J2684" t="s">
        <v>2073</v>
      </c>
      <c r="K2684" s="17" t="s">
        <v>58</v>
      </c>
      <c r="L2684">
        <v>4</v>
      </c>
    </row>
    <row r="2685" spans="1:12" x14ac:dyDescent="0.25">
      <c r="A2685" t="s">
        <v>6089</v>
      </c>
      <c r="B2685" t="s">
        <v>144</v>
      </c>
      <c r="C2685" t="s">
        <v>1266</v>
      </c>
      <c r="D2685" t="s">
        <v>23</v>
      </c>
      <c r="E2685">
        <v>48</v>
      </c>
      <c r="F2685" t="s">
        <v>2065</v>
      </c>
      <c r="G2685" t="s">
        <v>1645</v>
      </c>
      <c r="H2685" t="s">
        <v>6090</v>
      </c>
      <c r="I2685" s="1" t="d">
        <v>2009-05-01</v>
      </c>
      <c r="J2685" t="s">
        <v>4709</v>
      </c>
      <c r="K2685" s="17" t="s">
        <v>149</v>
      </c>
      <c r="L2685">
        <v>4</v>
      </c>
    </row>
    <row r="2686" spans="1:12" x14ac:dyDescent="0.25">
      <c r="A2686" t="s">
        <v>6091</v>
      </c>
      <c r="B2686" t="s">
        <v>60</v>
      </c>
      <c r="C2686" t="s">
        <v>135</v>
      </c>
      <c r="D2686" t="s">
        <v>23</v>
      </c>
      <c r="E2686">
        <v>41</v>
      </c>
      <c r="F2686" t="s">
        <v>984</v>
      </c>
      <c r="G2686" t="s">
        <v>526</v>
      </c>
      <c r="H2686">
        <v>43743</v>
      </c>
      <c r="I2686" s="1" t="d">
        <v>2015-07-09</v>
      </c>
      <c r="J2686" t="s">
        <v>6092</v>
      </c>
      <c r="K2686" s="17" t="s">
        <v>42</v>
      </c>
      <c r="L2686">
        <v>3</v>
      </c>
    </row>
    <row r="2687" spans="1:12" x14ac:dyDescent="0.25">
      <c r="A2687" t="s">
        <v>6093</v>
      </c>
      <c r="B2687" t="s">
        <v>594</v>
      </c>
      <c r="C2687" t="s">
        <v>181</v>
      </c>
      <c r="D2687" t="s">
        <v>9527</v>
      </c>
      <c r="E2687">
        <v>39</v>
      </c>
      <c r="F2687" t="s">
        <v>196</v>
      </c>
      <c r="G2687" t="s">
        <v>82</v>
      </c>
      <c r="H2687" t="s">
        <v>6094</v>
      </c>
      <c r="I2687" s="1" t="d">
        <v>2020-08-25</v>
      </c>
      <c r="J2687" t="s">
        <v>3426</v>
      </c>
      <c r="K2687" s="17" t="s">
        <v>34</v>
      </c>
      <c r="L2687">
        <v>4</v>
      </c>
    </row>
    <row r="2688" spans="1:12" x14ac:dyDescent="0.25">
      <c r="A2688" t="s">
        <v>6095</v>
      </c>
      <c r="B2688" t="s">
        <v>66</v>
      </c>
      <c r="C2688" t="s">
        <v>215</v>
      </c>
      <c r="D2688" t="s">
        <v>23</v>
      </c>
      <c r="E2688">
        <v>26</v>
      </c>
      <c r="F2688" t="s">
        <v>645</v>
      </c>
      <c r="G2688" t="s">
        <v>69</v>
      </c>
      <c r="H2688" s="2">
        <v>45915</v>
      </c>
      <c r="I2688" s="1" t="d">
        <v>2020-05-20</v>
      </c>
      <c r="J2688" t="s">
        <v>1225</v>
      </c>
      <c r="K2688" s="17" t="s">
        <v>42</v>
      </c>
      <c r="L2688">
        <v>4</v>
      </c>
    </row>
    <row r="2689" spans="1:12" x14ac:dyDescent="0.25">
      <c r="A2689" t="s">
        <v>6096</v>
      </c>
      <c r="B2689" t="s">
        <v>6097</v>
      </c>
      <c r="C2689" t="s">
        <v>1205</v>
      </c>
      <c r="D2689" t="s">
        <v>23</v>
      </c>
      <c r="E2689">
        <v>45</v>
      </c>
      <c r="F2689" t="s">
        <v>200</v>
      </c>
      <c r="G2689" t="s">
        <v>870</v>
      </c>
      <c r="H2689" s="2">
        <v>203451</v>
      </c>
      <c r="I2689" s="1" t="d">
        <v>2007-10-29</v>
      </c>
      <c r="J2689" t="s">
        <v>2116</v>
      </c>
      <c r="K2689" s="17" t="s">
        <v>118</v>
      </c>
      <c r="L2689">
        <v>4</v>
      </c>
    </row>
    <row r="2690" spans="1:12" x14ac:dyDescent="0.25">
      <c r="A2690" t="s">
        <v>6098</v>
      </c>
      <c r="B2690" t="s">
        <v>1706</v>
      </c>
      <c r="C2690" t="s">
        <v>1384</v>
      </c>
      <c r="D2690" t="s">
        <v>23</v>
      </c>
      <c r="E2690">
        <v>32</v>
      </c>
      <c r="F2690" t="s">
        <v>645</v>
      </c>
      <c r="G2690" t="s">
        <v>170</v>
      </c>
      <c r="I2690" s="1" t="d">
        <v>2013-09-13</v>
      </c>
      <c r="J2690" t="s">
        <v>4705</v>
      </c>
      <c r="K2690" s="17" t="s">
        <v>184</v>
      </c>
      <c r="L2690">
        <v>2</v>
      </c>
    </row>
    <row r="2691" spans="1:12" x14ac:dyDescent="0.25">
      <c r="A2691" t="s">
        <v>6099</v>
      </c>
      <c r="B2691" t="s">
        <v>563</v>
      </c>
      <c r="C2691" t="s">
        <v>324</v>
      </c>
      <c r="D2691" t="s">
        <v>9527</v>
      </c>
      <c r="E2691">
        <v>21</v>
      </c>
      <c r="F2691" t="s">
        <v>24</v>
      </c>
      <c r="G2691" t="s">
        <v>614</v>
      </c>
      <c r="J2691" t="s">
        <v>2110</v>
      </c>
      <c r="K2691" s="17" t="s">
        <v>19</v>
      </c>
      <c r="L2691">
        <v>4</v>
      </c>
    </row>
    <row r="2692" spans="1:12" x14ac:dyDescent="0.25">
      <c r="A2692" t="s">
        <v>6100</v>
      </c>
      <c r="B2692" t="s">
        <v>2681</v>
      </c>
      <c r="C2692" t="s">
        <v>1520</v>
      </c>
      <c r="D2692" t="s">
        <v>9527</v>
      </c>
      <c r="E2692">
        <v>52</v>
      </c>
      <c r="F2692" t="s">
        <v>296</v>
      </c>
      <c r="G2692" t="s">
        <v>55</v>
      </c>
      <c r="H2692">
        <v>64716</v>
      </c>
      <c r="I2692" s="1" t="d">
        <v>2019-09-18</v>
      </c>
      <c r="J2692" t="s">
        <v>1507</v>
      </c>
      <c r="K2692" s="17" t="s">
        <v>71</v>
      </c>
      <c r="L2692">
        <v>3</v>
      </c>
    </row>
    <row r="2693" spans="1:12" x14ac:dyDescent="0.25">
      <c r="A2693" t="s">
        <v>6101</v>
      </c>
      <c r="B2693" t="s">
        <v>2041</v>
      </c>
      <c r="C2693" t="s">
        <v>552</v>
      </c>
      <c r="D2693" t="s">
        <v>46</v>
      </c>
      <c r="E2693">
        <v>34</v>
      </c>
      <c r="F2693" t="s">
        <v>411</v>
      </c>
      <c r="G2693" t="s">
        <v>842</v>
      </c>
      <c r="I2693" s="1" t="d">
        <v>2019-01-26</v>
      </c>
      <c r="J2693" t="s">
        <v>5838</v>
      </c>
      <c r="K2693" s="17" t="s">
        <v>100</v>
      </c>
      <c r="L2693">
        <v>4</v>
      </c>
    </row>
    <row r="2694" spans="1:12" x14ac:dyDescent="0.25">
      <c r="A2694" t="s">
        <v>5490</v>
      </c>
      <c r="B2694" t="s">
        <v>52</v>
      </c>
      <c r="C2694" t="s">
        <v>45</v>
      </c>
      <c r="D2694" t="s">
        <v>46</v>
      </c>
      <c r="E2694">
        <v>23</v>
      </c>
      <c r="F2694" t="s">
        <v>264</v>
      </c>
      <c r="G2694" t="s">
        <v>82</v>
      </c>
      <c r="H2694" t="s">
        <v>5491</v>
      </c>
      <c r="I2694" s="1" t="d">
        <v>2021-02-21</v>
      </c>
      <c r="J2694" t="s">
        <v>4986</v>
      </c>
      <c r="K2694" s="17" t="s">
        <v>370</v>
      </c>
      <c r="L2694">
        <v>4</v>
      </c>
    </row>
    <row r="2695" spans="1:12" x14ac:dyDescent="0.25">
      <c r="A2695" t="s">
        <v>6102</v>
      </c>
      <c r="B2695" t="s">
        <v>594</v>
      </c>
      <c r="C2695" t="s">
        <v>715</v>
      </c>
      <c r="D2695" t="s">
        <v>46</v>
      </c>
      <c r="E2695">
        <v>29</v>
      </c>
      <c r="F2695" t="s">
        <v>859</v>
      </c>
      <c r="G2695" t="s">
        <v>48</v>
      </c>
      <c r="H2695">
        <v>59356</v>
      </c>
      <c r="I2695" s="1" t="d">
        <v>2007-08-12</v>
      </c>
      <c r="J2695" t="s">
        <v>3426</v>
      </c>
      <c r="K2695" s="17" t="s">
        <v>207</v>
      </c>
      <c r="L2695">
        <v>2</v>
      </c>
    </row>
    <row r="2696" spans="1:12" x14ac:dyDescent="0.25">
      <c r="A2696" t="s">
        <v>6103</v>
      </c>
      <c r="B2696" t="s">
        <v>686</v>
      </c>
      <c r="C2696" t="s">
        <v>1442</v>
      </c>
      <c r="D2696" t="s">
        <v>9527</v>
      </c>
      <c r="E2696">
        <v>41</v>
      </c>
      <c r="F2696" t="s">
        <v>196</v>
      </c>
      <c r="G2696" t="s">
        <v>288</v>
      </c>
      <c r="H2696">
        <v>36612</v>
      </c>
      <c r="I2696" s="1" t="d">
        <v>2010-03-02</v>
      </c>
      <c r="J2696" t="s">
        <v>6104</v>
      </c>
      <c r="K2696" s="17" t="s">
        <v>27</v>
      </c>
      <c r="L2696">
        <v>4</v>
      </c>
    </row>
    <row r="2697" spans="1:12" x14ac:dyDescent="0.25">
      <c r="A2697" t="s">
        <v>6105</v>
      </c>
      <c r="B2697" t="s">
        <v>13</v>
      </c>
      <c r="C2697" t="s">
        <v>2231</v>
      </c>
      <c r="D2697" t="s">
        <v>46</v>
      </c>
      <c r="E2697">
        <v>38</v>
      </c>
      <c r="F2697" t="s">
        <v>81</v>
      </c>
      <c r="G2697" t="s">
        <v>967</v>
      </c>
      <c r="H2697" t="s">
        <v>6106</v>
      </c>
      <c r="I2697" s="1" t="d">
        <v>2009-03-01</v>
      </c>
      <c r="J2697" t="s">
        <v>5031</v>
      </c>
      <c r="K2697" s="17" t="s">
        <v>149</v>
      </c>
      <c r="L2697">
        <v>3</v>
      </c>
    </row>
    <row r="2698" spans="1:12" x14ac:dyDescent="0.25">
      <c r="A2698" t="s">
        <v>6107</v>
      </c>
      <c r="B2698" t="s">
        <v>37</v>
      </c>
      <c r="C2698" t="s">
        <v>2023</v>
      </c>
      <c r="D2698" t="s">
        <v>9527</v>
      </c>
      <c r="E2698">
        <v>49</v>
      </c>
      <c r="F2698" t="s">
        <v>522</v>
      </c>
      <c r="G2698" t="s">
        <v>1285</v>
      </c>
      <c r="H2698" t="s">
        <v>6108</v>
      </c>
      <c r="I2698" s="1" t="d">
        <v>2006-05-24</v>
      </c>
      <c r="J2698" t="s">
        <v>6109</v>
      </c>
      <c r="K2698" s="17" t="s">
        <v>19</v>
      </c>
      <c r="L2698">
        <v>4</v>
      </c>
    </row>
    <row r="2699" spans="1:12" x14ac:dyDescent="0.25">
      <c r="A2699" t="s">
        <v>6110</v>
      </c>
      <c r="B2699" t="s">
        <v>44</v>
      </c>
      <c r="C2699" t="s">
        <v>386</v>
      </c>
      <c r="D2699" t="s">
        <v>9527</v>
      </c>
      <c r="E2699">
        <v>39</v>
      </c>
      <c r="F2699" t="s">
        <v>399</v>
      </c>
      <c r="G2699" t="s">
        <v>55</v>
      </c>
      <c r="H2699" t="s">
        <v>6111</v>
      </c>
      <c r="I2699" s="1" t="d">
        <v>2010-03-12</v>
      </c>
      <c r="J2699" t="s">
        <v>1830</v>
      </c>
      <c r="K2699" s="17" t="s">
        <v>58</v>
      </c>
      <c r="L2699">
        <v>4</v>
      </c>
    </row>
    <row r="2700" spans="1:12" x14ac:dyDescent="0.25">
      <c r="A2700" t="s">
        <v>6112</v>
      </c>
      <c r="B2700" t="s">
        <v>21</v>
      </c>
      <c r="C2700" t="s">
        <v>332</v>
      </c>
      <c r="D2700" t="s">
        <v>23</v>
      </c>
      <c r="E2700">
        <v>35</v>
      </c>
      <c r="F2700" t="s">
        <v>211</v>
      </c>
      <c r="G2700" t="s">
        <v>170</v>
      </c>
      <c r="H2700" t="s">
        <v>6113</v>
      </c>
      <c r="I2700" s="1" t="d">
        <v>2007-01-11</v>
      </c>
      <c r="J2700" t="s">
        <v>2809</v>
      </c>
      <c r="K2700" s="17" t="s">
        <v>370</v>
      </c>
      <c r="L2700">
        <v>5</v>
      </c>
    </row>
    <row r="2701" spans="1:12" x14ac:dyDescent="0.25">
      <c r="A2701" t="s">
        <v>6114</v>
      </c>
      <c r="B2701" t="s">
        <v>1784</v>
      </c>
      <c r="C2701" t="s">
        <v>3158</v>
      </c>
      <c r="D2701" t="s">
        <v>23</v>
      </c>
      <c r="E2701">
        <v>37</v>
      </c>
      <c r="G2701" t="s">
        <v>526</v>
      </c>
      <c r="I2701" s="1" t="d">
        <v>2008-07-20</v>
      </c>
      <c r="J2701" t="s">
        <v>3496</v>
      </c>
      <c r="K2701" s="17" t="s">
        <v>42</v>
      </c>
      <c r="L2701">
        <v>4</v>
      </c>
    </row>
    <row r="2702" spans="1:12" x14ac:dyDescent="0.25">
      <c r="A2702" t="s">
        <v>6115</v>
      </c>
      <c r="B2702" t="s">
        <v>2190</v>
      </c>
      <c r="C2702" t="s">
        <v>805</v>
      </c>
      <c r="D2702" t="s">
        <v>46</v>
      </c>
      <c r="E2702">
        <v>41</v>
      </c>
      <c r="F2702" t="s">
        <v>522</v>
      </c>
      <c r="G2702" t="s">
        <v>16</v>
      </c>
      <c r="H2702" s="2">
        <v>125791</v>
      </c>
      <c r="I2702" s="1" t="d">
        <v>2020-07-05</v>
      </c>
      <c r="J2702" t="s">
        <v>6116</v>
      </c>
      <c r="K2702" s="17" t="s">
        <v>42</v>
      </c>
      <c r="L2702">
        <v>3</v>
      </c>
    </row>
    <row r="2703" spans="1:12" x14ac:dyDescent="0.25">
      <c r="A2703" t="s">
        <v>6117</v>
      </c>
      <c r="B2703" t="s">
        <v>648</v>
      </c>
      <c r="C2703" t="s">
        <v>3998</v>
      </c>
      <c r="D2703" t="s">
        <v>46</v>
      </c>
      <c r="E2703">
        <v>31</v>
      </c>
      <c r="F2703" t="s">
        <v>406</v>
      </c>
      <c r="G2703" t="s">
        <v>170</v>
      </c>
      <c r="H2703" t="s">
        <v>6118</v>
      </c>
      <c r="I2703" s="1" t="d">
        <v>2024-02-08</v>
      </c>
      <c r="J2703" t="s">
        <v>6119</v>
      </c>
      <c r="K2703" s="17" t="s">
        <v>50</v>
      </c>
      <c r="L2703">
        <v>3</v>
      </c>
    </row>
    <row r="2704" spans="1:12" x14ac:dyDescent="0.25">
      <c r="A2704" t="s">
        <v>6120</v>
      </c>
      <c r="B2704" t="s">
        <v>1561</v>
      </c>
      <c r="C2704" t="s">
        <v>858</v>
      </c>
      <c r="D2704" t="s">
        <v>9527</v>
      </c>
      <c r="E2704">
        <v>41</v>
      </c>
      <c r="F2704" t="s">
        <v>169</v>
      </c>
      <c r="G2704" t="s">
        <v>48</v>
      </c>
      <c r="H2704" t="s">
        <v>6121</v>
      </c>
      <c r="I2704" s="1" t="d">
        <v>2018-09-05</v>
      </c>
      <c r="J2704" t="s">
        <v>128</v>
      </c>
      <c r="K2704" s="17" t="s">
        <v>118</v>
      </c>
      <c r="L2704">
        <v>3</v>
      </c>
    </row>
    <row r="2705" spans="1:12" x14ac:dyDescent="0.25">
      <c r="A2705" t="s">
        <v>4114</v>
      </c>
      <c r="B2705" t="s">
        <v>1051</v>
      </c>
      <c r="C2705" t="s">
        <v>244</v>
      </c>
      <c r="D2705" t="s">
        <v>23</v>
      </c>
      <c r="E2705">
        <v>27</v>
      </c>
      <c r="F2705" t="s">
        <v>75</v>
      </c>
      <c r="G2705" t="s">
        <v>16</v>
      </c>
      <c r="H2705" t="s">
        <v>4115</v>
      </c>
      <c r="I2705" s="1" t="d">
        <v>2009-07-14</v>
      </c>
      <c r="J2705" t="s">
        <v>2997</v>
      </c>
      <c r="K2705" s="17" t="s">
        <v>42</v>
      </c>
      <c r="L2705">
        <v>4</v>
      </c>
    </row>
    <row r="2706" spans="1:12" x14ac:dyDescent="0.25">
      <c r="A2706" t="s">
        <v>6122</v>
      </c>
      <c r="B2706" t="s">
        <v>594</v>
      </c>
      <c r="C2706" t="s">
        <v>3551</v>
      </c>
      <c r="D2706" t="s">
        <v>9527</v>
      </c>
      <c r="E2706">
        <v>32</v>
      </c>
      <c r="F2706" t="s">
        <v>711</v>
      </c>
      <c r="G2706" t="s">
        <v>82</v>
      </c>
      <c r="H2706" t="s">
        <v>6123</v>
      </c>
      <c r="I2706" s="1" t="d">
        <v>2008-09-02</v>
      </c>
      <c r="J2706" t="s">
        <v>5594</v>
      </c>
      <c r="K2706" s="17" t="s">
        <v>149</v>
      </c>
      <c r="L2706">
        <v>4</v>
      </c>
    </row>
    <row r="2707" spans="1:12" x14ac:dyDescent="0.25">
      <c r="A2707" t="s">
        <v>6124</v>
      </c>
      <c r="B2707" t="s">
        <v>134</v>
      </c>
      <c r="C2707" t="s">
        <v>1258</v>
      </c>
      <c r="D2707" t="s">
        <v>9527</v>
      </c>
      <c r="E2707">
        <v>45</v>
      </c>
      <c r="F2707" t="s">
        <v>54</v>
      </c>
      <c r="G2707" t="s">
        <v>55</v>
      </c>
      <c r="H2707" s="2">
        <v>49027</v>
      </c>
      <c r="I2707" s="1" t="d">
        <v>2023-10-02</v>
      </c>
      <c r="J2707" t="s">
        <v>1289</v>
      </c>
      <c r="K2707" s="17" t="s">
        <v>118</v>
      </c>
      <c r="L2707">
        <v>3</v>
      </c>
    </row>
    <row r="2708" spans="1:12" x14ac:dyDescent="0.25">
      <c r="A2708" t="s">
        <v>6125</v>
      </c>
      <c r="B2708" t="s">
        <v>1512</v>
      </c>
      <c r="C2708" t="s">
        <v>152</v>
      </c>
      <c r="D2708" t="s">
        <v>23</v>
      </c>
      <c r="E2708">
        <v>35</v>
      </c>
      <c r="G2708" t="s">
        <v>170</v>
      </c>
      <c r="H2708" t="s">
        <v>6126</v>
      </c>
      <c r="I2708" s="1" t="d">
        <v>2008-06-13</v>
      </c>
      <c r="J2708" t="s">
        <v>3750</v>
      </c>
      <c r="K2708" s="17" t="s">
        <v>370</v>
      </c>
      <c r="L2708">
        <v>4</v>
      </c>
    </row>
    <row r="2709" spans="1:12" x14ac:dyDescent="0.25">
      <c r="A2709" t="s">
        <v>6127</v>
      </c>
      <c r="B2709" t="s">
        <v>52</v>
      </c>
      <c r="C2709" t="s">
        <v>790</v>
      </c>
      <c r="D2709" t="s">
        <v>46</v>
      </c>
      <c r="E2709">
        <v>32</v>
      </c>
      <c r="F2709" t="s">
        <v>75</v>
      </c>
      <c r="G2709" t="s">
        <v>212</v>
      </c>
      <c r="H2709" s="2">
        <v>91583</v>
      </c>
      <c r="I2709" s="1" t="d">
        <v>2018-12-07</v>
      </c>
      <c r="J2709" t="s">
        <v>4160</v>
      </c>
      <c r="K2709" s="17" t="s">
        <v>90</v>
      </c>
      <c r="L2709">
        <v>5</v>
      </c>
    </row>
    <row r="2710" spans="1:12" x14ac:dyDescent="0.25">
      <c r="A2710" t="s">
        <v>6128</v>
      </c>
      <c r="B2710" t="s">
        <v>594</v>
      </c>
      <c r="C2710" t="s">
        <v>758</v>
      </c>
      <c r="D2710" t="s">
        <v>46</v>
      </c>
      <c r="E2710">
        <v>49</v>
      </c>
      <c r="F2710" t="s">
        <v>264</v>
      </c>
      <c r="G2710" t="s">
        <v>212</v>
      </c>
      <c r="H2710" t="s">
        <v>6129</v>
      </c>
      <c r="I2710" s="1" t="d">
        <v>2014-11-20</v>
      </c>
      <c r="J2710" t="s">
        <v>761</v>
      </c>
      <c r="K2710" s="17" t="s">
        <v>58</v>
      </c>
      <c r="L2710">
        <v>2</v>
      </c>
    </row>
    <row r="2711" spans="1:12" x14ac:dyDescent="0.25">
      <c r="A2711" t="s">
        <v>6130</v>
      </c>
      <c r="B2711" t="s">
        <v>684</v>
      </c>
      <c r="C2711" t="s">
        <v>225</v>
      </c>
      <c r="D2711" t="s">
        <v>23</v>
      </c>
      <c r="E2711">
        <v>29</v>
      </c>
      <c r="F2711" t="s">
        <v>978</v>
      </c>
      <c r="G2711" t="s">
        <v>39</v>
      </c>
      <c r="H2711" t="s">
        <v>6131</v>
      </c>
      <c r="I2711" s="1" t="d">
        <v>2007-02-05</v>
      </c>
      <c r="J2711" t="s">
        <v>6132</v>
      </c>
      <c r="K2711" s="17" t="s">
        <v>184</v>
      </c>
      <c r="L2711">
        <v>3</v>
      </c>
    </row>
    <row r="2712" spans="1:12" x14ac:dyDescent="0.25">
      <c r="A2712" t="s">
        <v>6133</v>
      </c>
      <c r="B2712" t="s">
        <v>60</v>
      </c>
      <c r="C2712" t="s">
        <v>204</v>
      </c>
      <c r="D2712" t="s">
        <v>46</v>
      </c>
      <c r="E2712">
        <v>51</v>
      </c>
      <c r="F2712" t="s">
        <v>108</v>
      </c>
      <c r="G2712" t="s">
        <v>16</v>
      </c>
      <c r="H2712" s="2">
        <v>131500</v>
      </c>
      <c r="I2712" s="1" t="d">
        <v>2021-12-02</v>
      </c>
      <c r="J2712" t="s">
        <v>1822</v>
      </c>
      <c r="K2712" s="17" t="s">
        <v>207</v>
      </c>
      <c r="L2712">
        <v>3</v>
      </c>
    </row>
    <row r="2713" spans="1:12" x14ac:dyDescent="0.25">
      <c r="A2713" t="s">
        <v>6134</v>
      </c>
      <c r="B2713" t="s">
        <v>21</v>
      </c>
      <c r="C2713" t="s">
        <v>521</v>
      </c>
      <c r="D2713" t="s">
        <v>9527</v>
      </c>
      <c r="E2713">
        <v>27</v>
      </c>
      <c r="F2713" t="s">
        <v>3823</v>
      </c>
      <c r="G2713" t="s">
        <v>115</v>
      </c>
      <c r="H2713">
        <v>80603</v>
      </c>
      <c r="I2713" s="1" t="d">
        <v>2022-10-02</v>
      </c>
      <c r="J2713" t="s">
        <v>2809</v>
      </c>
      <c r="K2713" s="17" t="s">
        <v>58</v>
      </c>
      <c r="L2713">
        <v>2</v>
      </c>
    </row>
    <row r="2714" spans="1:12" x14ac:dyDescent="0.25">
      <c r="A2714" t="s">
        <v>6135</v>
      </c>
      <c r="B2714" t="s">
        <v>841</v>
      </c>
      <c r="C2714" t="s">
        <v>758</v>
      </c>
      <c r="D2714" t="s">
        <v>23</v>
      </c>
      <c r="E2714">
        <v>35</v>
      </c>
      <c r="F2714" t="s">
        <v>399</v>
      </c>
      <c r="G2714" t="s">
        <v>3197</v>
      </c>
      <c r="H2714" t="s">
        <v>6136</v>
      </c>
      <c r="I2714" s="1" t="d">
        <v>2024-02-05</v>
      </c>
      <c r="J2714" t="s">
        <v>2460</v>
      </c>
      <c r="K2714" s="17" t="s">
        <v>90</v>
      </c>
      <c r="L2714">
        <v>4</v>
      </c>
    </row>
    <row r="2715" spans="1:12" x14ac:dyDescent="0.25">
      <c r="A2715" t="s">
        <v>6137</v>
      </c>
      <c r="B2715" t="s">
        <v>482</v>
      </c>
      <c r="C2715" t="s">
        <v>2874</v>
      </c>
      <c r="D2715" t="s">
        <v>23</v>
      </c>
      <c r="E2715">
        <v>37</v>
      </c>
      <c r="F2715" t="s">
        <v>94</v>
      </c>
      <c r="G2715" t="s">
        <v>182</v>
      </c>
      <c r="H2715" t="s">
        <v>6138</v>
      </c>
      <c r="I2715" s="1" t="d">
        <v>2007-06-12</v>
      </c>
      <c r="J2715" t="s">
        <v>2138</v>
      </c>
      <c r="K2715" s="17" t="s">
        <v>27</v>
      </c>
      <c r="L2715">
        <v>3</v>
      </c>
    </row>
    <row r="2716" spans="1:12" x14ac:dyDescent="0.25">
      <c r="A2716" t="s">
        <v>6139</v>
      </c>
      <c r="B2716" t="s">
        <v>1650</v>
      </c>
      <c r="C2716" t="s">
        <v>381</v>
      </c>
      <c r="D2716" t="s">
        <v>46</v>
      </c>
      <c r="E2716">
        <v>48</v>
      </c>
      <c r="F2716" t="s">
        <v>2090</v>
      </c>
      <c r="G2716" t="s">
        <v>842</v>
      </c>
      <c r="I2716" s="1" t="d">
        <v>2017-04-09</v>
      </c>
      <c r="J2716" t="s">
        <v>4738</v>
      </c>
      <c r="K2716" s="17" t="s">
        <v>58</v>
      </c>
      <c r="L2716">
        <v>4</v>
      </c>
    </row>
    <row r="2717" spans="1:12" x14ac:dyDescent="0.25">
      <c r="A2717" t="s">
        <v>6140</v>
      </c>
      <c r="B2717" t="s">
        <v>566</v>
      </c>
      <c r="C2717" t="s">
        <v>145</v>
      </c>
      <c r="D2717" t="s">
        <v>9527</v>
      </c>
      <c r="E2717">
        <v>40</v>
      </c>
      <c r="F2717" t="s">
        <v>365</v>
      </c>
      <c r="G2717" t="s">
        <v>6141</v>
      </c>
      <c r="H2717" t="s">
        <v>6142</v>
      </c>
      <c r="I2717" s="1" t="d">
        <v>2015-08-26</v>
      </c>
      <c r="J2717" t="s">
        <v>1439</v>
      </c>
      <c r="K2717" s="17" t="s">
        <v>19</v>
      </c>
      <c r="L2717">
        <v>3</v>
      </c>
    </row>
    <row r="2718" spans="1:12" x14ac:dyDescent="0.25">
      <c r="A2718" t="s">
        <v>6143</v>
      </c>
      <c r="B2718" t="s">
        <v>6144</v>
      </c>
      <c r="C2718" t="s">
        <v>1377</v>
      </c>
      <c r="D2718" t="s">
        <v>9527</v>
      </c>
      <c r="E2718">
        <v>33</v>
      </c>
      <c r="F2718" t="s">
        <v>365</v>
      </c>
      <c r="G2718" t="s">
        <v>337</v>
      </c>
      <c r="H2718">
        <v>37450</v>
      </c>
      <c r="I2718" s="1" t="d">
        <v>2023-10-08</v>
      </c>
      <c r="J2718" t="s">
        <v>4145</v>
      </c>
      <c r="K2718" s="17" t="s">
        <v>50</v>
      </c>
      <c r="L2718">
        <v>5</v>
      </c>
    </row>
    <row r="2719" spans="1:12" x14ac:dyDescent="0.25">
      <c r="A2719" t="s">
        <v>6145</v>
      </c>
      <c r="B2719" t="s">
        <v>1316</v>
      </c>
      <c r="C2719" t="s">
        <v>318</v>
      </c>
      <c r="D2719" t="s">
        <v>46</v>
      </c>
      <c r="E2719">
        <v>43</v>
      </c>
      <c r="F2719" t="s">
        <v>3978</v>
      </c>
      <c r="G2719" t="s">
        <v>170</v>
      </c>
      <c r="H2719" t="s">
        <v>6146</v>
      </c>
      <c r="I2719" s="1" t="d">
        <v>2023-11-25</v>
      </c>
      <c r="J2719" t="s">
        <v>4152</v>
      </c>
      <c r="K2719" s="17" t="s">
        <v>90</v>
      </c>
      <c r="L2719">
        <v>2</v>
      </c>
    </row>
    <row r="2720" spans="1:12" x14ac:dyDescent="0.25">
      <c r="A2720" t="s">
        <v>6147</v>
      </c>
      <c r="B2720" t="s">
        <v>37</v>
      </c>
      <c r="C2720" t="s">
        <v>14</v>
      </c>
      <c r="D2720" t="s">
        <v>46</v>
      </c>
      <c r="E2720">
        <v>36</v>
      </c>
      <c r="F2720" t="s">
        <v>576</v>
      </c>
      <c r="G2720" t="s">
        <v>82</v>
      </c>
      <c r="H2720" t="s">
        <v>6148</v>
      </c>
      <c r="I2720" s="1" t="d">
        <v>2024-12-17</v>
      </c>
      <c r="J2720" t="s">
        <v>6149</v>
      </c>
      <c r="K2720" s="17" t="s">
        <v>58</v>
      </c>
      <c r="L2720">
        <v>4</v>
      </c>
    </row>
    <row r="2721" spans="1:12" x14ac:dyDescent="0.25">
      <c r="A2721" t="s">
        <v>6150</v>
      </c>
      <c r="B2721" t="s">
        <v>808</v>
      </c>
      <c r="C2721" t="s">
        <v>215</v>
      </c>
      <c r="D2721" t="s">
        <v>23</v>
      </c>
      <c r="E2721">
        <v>30</v>
      </c>
      <c r="F2721" t="s">
        <v>296</v>
      </c>
      <c r="G2721" t="s">
        <v>141</v>
      </c>
      <c r="H2721" t="s">
        <v>6151</v>
      </c>
      <c r="I2721" s="1" t="d">
        <v>2024-08-17</v>
      </c>
      <c r="J2721" t="s">
        <v>6152</v>
      </c>
      <c r="K2721" s="17" t="s">
        <v>50</v>
      </c>
      <c r="L2721">
        <v>4</v>
      </c>
    </row>
    <row r="2722" spans="1:12" x14ac:dyDescent="0.25">
      <c r="A2722" t="s">
        <v>6153</v>
      </c>
      <c r="B2722" t="s">
        <v>548</v>
      </c>
      <c r="C2722" t="s">
        <v>3554</v>
      </c>
      <c r="D2722" t="s">
        <v>46</v>
      </c>
      <c r="E2722">
        <v>25</v>
      </c>
      <c r="F2722" t="s">
        <v>264</v>
      </c>
      <c r="G2722" t="s">
        <v>614</v>
      </c>
      <c r="H2722" t="s">
        <v>6154</v>
      </c>
      <c r="I2722" s="1" t="d">
        <v>2014-05-04</v>
      </c>
      <c r="J2722" t="s">
        <v>791</v>
      </c>
      <c r="K2722" s="17" t="s">
        <v>34</v>
      </c>
      <c r="L2722">
        <v>3</v>
      </c>
    </row>
    <row r="2723" spans="1:12" x14ac:dyDescent="0.25">
      <c r="A2723" t="s">
        <v>6155</v>
      </c>
      <c r="B2723" t="s">
        <v>4760</v>
      </c>
      <c r="C2723" t="s">
        <v>1326</v>
      </c>
      <c r="D2723" t="s">
        <v>23</v>
      </c>
      <c r="E2723">
        <v>52</v>
      </c>
      <c r="F2723" t="s">
        <v>238</v>
      </c>
      <c r="G2723" t="s">
        <v>55</v>
      </c>
      <c r="H2723" t="s">
        <v>6156</v>
      </c>
      <c r="I2723" s="1" t="d">
        <v>2016-12-22</v>
      </c>
      <c r="J2723" t="s">
        <v>2134</v>
      </c>
      <c r="K2723" s="17" t="s">
        <v>90</v>
      </c>
      <c r="L2723">
        <v>3</v>
      </c>
    </row>
    <row r="2724" spans="1:12" x14ac:dyDescent="0.25">
      <c r="A2724" t="s">
        <v>6157</v>
      </c>
      <c r="B2724" t="s">
        <v>826</v>
      </c>
      <c r="C2724" t="s">
        <v>53</v>
      </c>
      <c r="D2724" t="s">
        <v>23</v>
      </c>
      <c r="E2724">
        <v>43</v>
      </c>
      <c r="F2724" t="s">
        <v>146</v>
      </c>
      <c r="G2724" t="s">
        <v>82</v>
      </c>
      <c r="H2724" s="2">
        <v>95252</v>
      </c>
      <c r="I2724" s="1" t="d">
        <v>2007-02-01</v>
      </c>
      <c r="J2724" t="s">
        <v>4967</v>
      </c>
      <c r="K2724" s="17" t="s">
        <v>149</v>
      </c>
      <c r="L2724">
        <v>4</v>
      </c>
    </row>
    <row r="2725" spans="1:12" x14ac:dyDescent="0.25">
      <c r="A2725" t="s">
        <v>6158</v>
      </c>
      <c r="B2725" t="s">
        <v>670</v>
      </c>
      <c r="C2725" t="s">
        <v>970</v>
      </c>
      <c r="D2725" t="s">
        <v>23</v>
      </c>
      <c r="E2725">
        <v>39</v>
      </c>
      <c r="G2725" t="s">
        <v>63</v>
      </c>
      <c r="H2725">
        <v>76473</v>
      </c>
      <c r="I2725" s="1" t="d">
        <v>2022-10-07</v>
      </c>
      <c r="J2725" t="s">
        <v>673</v>
      </c>
      <c r="K2725" s="17" t="s">
        <v>100</v>
      </c>
      <c r="L2725">
        <v>3</v>
      </c>
    </row>
    <row r="2726" spans="1:12" x14ac:dyDescent="0.25">
      <c r="A2726" t="s">
        <v>6159</v>
      </c>
      <c r="B2726" t="s">
        <v>2041</v>
      </c>
      <c r="C2726" t="s">
        <v>225</v>
      </c>
      <c r="D2726" t="s">
        <v>46</v>
      </c>
      <c r="E2726">
        <v>43</v>
      </c>
      <c r="F2726" t="s">
        <v>645</v>
      </c>
      <c r="G2726" t="s">
        <v>458</v>
      </c>
      <c r="H2726" t="s">
        <v>6160</v>
      </c>
      <c r="I2726" s="1" t="d">
        <v>2005-02-25</v>
      </c>
      <c r="J2726" t="s">
        <v>6161</v>
      </c>
      <c r="K2726" s="17" t="s">
        <v>50</v>
      </c>
      <c r="L2726">
        <v>3</v>
      </c>
    </row>
    <row r="2727" spans="1:12" x14ac:dyDescent="0.25">
      <c r="A2727" t="s">
        <v>6162</v>
      </c>
      <c r="B2727" t="s">
        <v>6086</v>
      </c>
      <c r="C2727" t="s">
        <v>858</v>
      </c>
      <c r="D2727" t="s">
        <v>9527</v>
      </c>
      <c r="E2727">
        <v>23</v>
      </c>
      <c r="F2727" t="s">
        <v>169</v>
      </c>
      <c r="G2727" t="s">
        <v>796</v>
      </c>
      <c r="I2727" s="1" t="d">
        <v>2021-02-28</v>
      </c>
      <c r="J2727" t="s">
        <v>4678</v>
      </c>
      <c r="K2727" s="17" t="s">
        <v>34</v>
      </c>
      <c r="L2727">
        <v>4</v>
      </c>
    </row>
    <row r="2728" spans="1:12" x14ac:dyDescent="0.25">
      <c r="A2728" t="s">
        <v>6163</v>
      </c>
      <c r="B2728" t="s">
        <v>637</v>
      </c>
      <c r="C2728" t="s">
        <v>427</v>
      </c>
      <c r="D2728" t="s">
        <v>23</v>
      </c>
      <c r="E2728">
        <v>26</v>
      </c>
      <c r="F2728" t="s">
        <v>356</v>
      </c>
      <c r="G2728" t="s">
        <v>3409</v>
      </c>
      <c r="H2728">
        <v>266549</v>
      </c>
      <c r="I2728" s="1" t="d">
        <v>2023-10-27</v>
      </c>
      <c r="J2728" t="s">
        <v>2921</v>
      </c>
      <c r="K2728" s="17" t="s">
        <v>149</v>
      </c>
      <c r="L2728">
        <v>2</v>
      </c>
    </row>
    <row r="2729" spans="1:12" x14ac:dyDescent="0.25">
      <c r="A2729" t="s">
        <v>6164</v>
      </c>
      <c r="B2729" t="s">
        <v>993</v>
      </c>
      <c r="C2729" t="s">
        <v>1384</v>
      </c>
      <c r="D2729" t="s">
        <v>9527</v>
      </c>
      <c r="E2729">
        <v>44</v>
      </c>
      <c r="F2729" t="s">
        <v>356</v>
      </c>
      <c r="G2729" t="s">
        <v>191</v>
      </c>
      <c r="H2729">
        <v>101055</v>
      </c>
      <c r="I2729" s="1" t="d">
        <v>2016-12-21</v>
      </c>
      <c r="J2729" t="s">
        <v>1693</v>
      </c>
      <c r="K2729" s="17" t="s">
        <v>58</v>
      </c>
      <c r="L2729">
        <v>3</v>
      </c>
    </row>
    <row r="2730" spans="1:12" x14ac:dyDescent="0.25">
      <c r="A2730" t="s">
        <v>6165</v>
      </c>
      <c r="B2730" t="s">
        <v>228</v>
      </c>
      <c r="C2730" t="s">
        <v>665</v>
      </c>
      <c r="D2730" t="s">
        <v>46</v>
      </c>
      <c r="E2730">
        <v>50</v>
      </c>
      <c r="F2730" t="s">
        <v>399</v>
      </c>
      <c r="G2730" t="s">
        <v>82</v>
      </c>
      <c r="I2730" s="1" t="d">
        <v>2018-08-09</v>
      </c>
      <c r="J2730" t="s">
        <v>831</v>
      </c>
      <c r="K2730" s="17" t="s">
        <v>100</v>
      </c>
      <c r="L2730">
        <v>4</v>
      </c>
    </row>
    <row r="2731" spans="1:12" x14ac:dyDescent="0.25">
      <c r="A2731" t="s">
        <v>6166</v>
      </c>
      <c r="B2731" t="s">
        <v>728</v>
      </c>
      <c r="C2731" t="s">
        <v>121</v>
      </c>
      <c r="D2731" t="s">
        <v>46</v>
      </c>
      <c r="E2731">
        <v>41</v>
      </c>
      <c r="F2731" t="s">
        <v>4781</v>
      </c>
      <c r="G2731" t="s">
        <v>357</v>
      </c>
      <c r="H2731">
        <v>75532</v>
      </c>
      <c r="I2731" s="1" t="d">
        <v>2009-03-21</v>
      </c>
      <c r="J2731" t="s">
        <v>6167</v>
      </c>
      <c r="K2731" s="17" t="s">
        <v>19</v>
      </c>
      <c r="L2731">
        <v>4</v>
      </c>
    </row>
    <row r="2732" spans="1:12" x14ac:dyDescent="0.25">
      <c r="A2732" t="s">
        <v>6168</v>
      </c>
      <c r="B2732" t="s">
        <v>6169</v>
      </c>
      <c r="C2732" t="s">
        <v>1881</v>
      </c>
      <c r="D2732" t="s">
        <v>46</v>
      </c>
      <c r="E2732">
        <v>46</v>
      </c>
      <c r="F2732" t="s">
        <v>108</v>
      </c>
      <c r="G2732" t="s">
        <v>1117</v>
      </c>
      <c r="H2732">
        <v>201500</v>
      </c>
      <c r="I2732" s="1" t="d">
        <v>2022-05-24</v>
      </c>
      <c r="J2732" t="s">
        <v>6170</v>
      </c>
      <c r="K2732" s="17" t="s">
        <v>34</v>
      </c>
      <c r="L2732">
        <v>5</v>
      </c>
    </row>
    <row r="2733" spans="1:12" x14ac:dyDescent="0.25">
      <c r="A2733" t="s">
        <v>6171</v>
      </c>
      <c r="B2733" t="s">
        <v>52</v>
      </c>
      <c r="C2733" t="s">
        <v>684</v>
      </c>
      <c r="D2733" t="s">
        <v>46</v>
      </c>
      <c r="E2733">
        <v>51</v>
      </c>
      <c r="F2733" t="s">
        <v>31</v>
      </c>
      <c r="G2733" t="s">
        <v>191</v>
      </c>
      <c r="I2733" s="1" t="d">
        <v>2012-03-02</v>
      </c>
      <c r="J2733" t="s">
        <v>1782</v>
      </c>
      <c r="K2733" s="17" t="s">
        <v>34</v>
      </c>
      <c r="L2733">
        <v>4</v>
      </c>
    </row>
    <row r="2734" spans="1:12" x14ac:dyDescent="0.25">
      <c r="A2734" t="s">
        <v>6172</v>
      </c>
      <c r="B2734" t="s">
        <v>120</v>
      </c>
      <c r="C2734" t="s">
        <v>1991</v>
      </c>
      <c r="D2734" t="s">
        <v>23</v>
      </c>
      <c r="E2734">
        <v>38</v>
      </c>
      <c r="F2734" t="s">
        <v>146</v>
      </c>
      <c r="G2734" t="s">
        <v>115</v>
      </c>
      <c r="H2734" t="s">
        <v>6173</v>
      </c>
      <c r="I2734" s="1" t="d">
        <v>2008-05-30</v>
      </c>
      <c r="J2734" t="s">
        <v>4401</v>
      </c>
      <c r="K2734" s="17" t="s">
        <v>71</v>
      </c>
      <c r="L2734">
        <v>4</v>
      </c>
    </row>
    <row r="2735" spans="1:12" x14ac:dyDescent="0.25">
      <c r="A2735" t="s">
        <v>6174</v>
      </c>
      <c r="B2735" t="s">
        <v>786</v>
      </c>
      <c r="C2735" t="s">
        <v>6175</v>
      </c>
      <c r="D2735" t="s">
        <v>9527</v>
      </c>
      <c r="E2735">
        <v>39</v>
      </c>
      <c r="F2735" t="s">
        <v>865</v>
      </c>
      <c r="G2735" t="s">
        <v>283</v>
      </c>
      <c r="I2735" s="1" t="d">
        <v>2019-02-08</v>
      </c>
      <c r="J2735" t="s">
        <v>2792</v>
      </c>
      <c r="K2735" s="17" t="s">
        <v>90</v>
      </c>
      <c r="L2735">
        <v>3</v>
      </c>
    </row>
    <row r="2736" spans="1:12" x14ac:dyDescent="0.25">
      <c r="A2736" t="s">
        <v>6176</v>
      </c>
      <c r="B2736" t="s">
        <v>3587</v>
      </c>
      <c r="C2736" t="s">
        <v>6177</v>
      </c>
      <c r="D2736" t="s">
        <v>23</v>
      </c>
      <c r="E2736">
        <v>50</v>
      </c>
      <c r="F2736" t="s">
        <v>2065</v>
      </c>
      <c r="G2736" t="s">
        <v>1117</v>
      </c>
      <c r="H2736" t="s">
        <v>6178</v>
      </c>
      <c r="I2736" s="1" t="d">
        <v>2008-05-21</v>
      </c>
      <c r="J2736" t="s">
        <v>187</v>
      </c>
      <c r="K2736" s="17" t="s">
        <v>42</v>
      </c>
      <c r="L2736">
        <v>4</v>
      </c>
    </row>
    <row r="2737" spans="1:12" x14ac:dyDescent="0.25">
      <c r="A2737" t="s">
        <v>6179</v>
      </c>
      <c r="B2737" t="s">
        <v>808</v>
      </c>
      <c r="C2737" t="s">
        <v>67</v>
      </c>
      <c r="D2737" t="s">
        <v>46</v>
      </c>
      <c r="E2737">
        <v>41</v>
      </c>
      <c r="F2737" t="s">
        <v>15</v>
      </c>
      <c r="G2737" t="s">
        <v>115</v>
      </c>
      <c r="H2737" t="s">
        <v>6180</v>
      </c>
      <c r="I2737" s="1" t="d">
        <v>2023-09-01</v>
      </c>
      <c r="J2737" t="s">
        <v>2203</v>
      </c>
      <c r="K2737" s="17" t="s">
        <v>370</v>
      </c>
      <c r="L2737">
        <v>3</v>
      </c>
    </row>
    <row r="2738" spans="1:12" x14ac:dyDescent="0.25">
      <c r="A2738" t="s">
        <v>6181</v>
      </c>
      <c r="B2738" t="s">
        <v>2512</v>
      </c>
      <c r="C2738" t="s">
        <v>1306</v>
      </c>
      <c r="D2738" t="s">
        <v>9527</v>
      </c>
      <c r="E2738">
        <v>29</v>
      </c>
      <c r="F2738" t="s">
        <v>245</v>
      </c>
      <c r="G2738" t="s">
        <v>115</v>
      </c>
      <c r="H2738" s="2">
        <v>61193</v>
      </c>
      <c r="I2738" s="1" t="d">
        <v>2006-10-16</v>
      </c>
      <c r="J2738" t="s">
        <v>587</v>
      </c>
      <c r="K2738" s="17" t="s">
        <v>50</v>
      </c>
      <c r="L2738">
        <v>5</v>
      </c>
    </row>
    <row r="2739" spans="1:12" x14ac:dyDescent="0.25">
      <c r="A2739" t="s">
        <v>6182</v>
      </c>
      <c r="B2739" t="s">
        <v>1403</v>
      </c>
      <c r="C2739" t="s">
        <v>1520</v>
      </c>
      <c r="D2739" t="s">
        <v>46</v>
      </c>
      <c r="E2739">
        <v>32</v>
      </c>
      <c r="G2739" t="s">
        <v>357</v>
      </c>
      <c r="H2739">
        <v>69797</v>
      </c>
      <c r="I2739" s="1" t="d">
        <v>2019-08-31</v>
      </c>
      <c r="J2739" t="s">
        <v>226</v>
      </c>
      <c r="K2739" s="17" t="s">
        <v>100</v>
      </c>
      <c r="L2739">
        <v>4</v>
      </c>
    </row>
    <row r="2740" spans="1:12" x14ac:dyDescent="0.25">
      <c r="A2740" t="s">
        <v>6183</v>
      </c>
      <c r="B2740" t="s">
        <v>571</v>
      </c>
      <c r="C2740" t="s">
        <v>381</v>
      </c>
      <c r="D2740" t="s">
        <v>23</v>
      </c>
      <c r="E2740">
        <v>25</v>
      </c>
      <c r="F2740" t="s">
        <v>532</v>
      </c>
      <c r="G2740" t="s">
        <v>191</v>
      </c>
      <c r="H2740" t="s">
        <v>6184</v>
      </c>
      <c r="I2740" s="1" t="d">
        <v>2014-11-06</v>
      </c>
      <c r="J2740" t="s">
        <v>1070</v>
      </c>
      <c r="K2740" s="17" t="s">
        <v>118</v>
      </c>
      <c r="L2740">
        <v>4</v>
      </c>
    </row>
    <row r="2741" spans="1:12" x14ac:dyDescent="0.25">
      <c r="A2741" t="s">
        <v>6185</v>
      </c>
      <c r="B2741" t="s">
        <v>630</v>
      </c>
      <c r="C2741" t="s">
        <v>229</v>
      </c>
      <c r="D2741" t="s">
        <v>46</v>
      </c>
      <c r="E2741">
        <v>39</v>
      </c>
      <c r="F2741" t="s">
        <v>296</v>
      </c>
      <c r="G2741" t="s">
        <v>115</v>
      </c>
      <c r="I2741" s="1" t="d">
        <v>2016-02-15</v>
      </c>
      <c r="J2741" t="s">
        <v>4388</v>
      </c>
      <c r="K2741" s="17" t="s">
        <v>90</v>
      </c>
      <c r="L2741">
        <v>4</v>
      </c>
    </row>
    <row r="2742" spans="1:12" x14ac:dyDescent="0.25">
      <c r="A2742" t="s">
        <v>6186</v>
      </c>
      <c r="B2742" t="s">
        <v>507</v>
      </c>
      <c r="C2742" t="s">
        <v>3955</v>
      </c>
      <c r="D2742" t="s">
        <v>9527</v>
      </c>
      <c r="E2742">
        <v>26</v>
      </c>
      <c r="F2742" t="s">
        <v>666</v>
      </c>
      <c r="G2742" t="s">
        <v>1215</v>
      </c>
      <c r="I2742" s="1" t="d">
        <v>2017-01-04</v>
      </c>
      <c r="J2742" t="s">
        <v>3282</v>
      </c>
      <c r="K2742" s="17" t="s">
        <v>370</v>
      </c>
      <c r="L2742">
        <v>4</v>
      </c>
    </row>
    <row r="2743" spans="1:12" x14ac:dyDescent="0.25">
      <c r="A2743" t="s">
        <v>6187</v>
      </c>
      <c r="B2743" t="s">
        <v>410</v>
      </c>
      <c r="C2743" t="s">
        <v>210</v>
      </c>
      <c r="D2743" t="s">
        <v>9527</v>
      </c>
      <c r="E2743">
        <v>27</v>
      </c>
      <c r="F2743" t="s">
        <v>1908</v>
      </c>
      <c r="G2743" t="s">
        <v>39</v>
      </c>
      <c r="H2743">
        <v>86819</v>
      </c>
      <c r="I2743" s="1" t="d">
        <v>2014-01-10</v>
      </c>
      <c r="J2743" t="s">
        <v>4472</v>
      </c>
      <c r="K2743" s="17" t="s">
        <v>42</v>
      </c>
      <c r="L2743">
        <v>3</v>
      </c>
    </row>
    <row r="2744" spans="1:12" x14ac:dyDescent="0.25">
      <c r="A2744" t="s">
        <v>6188</v>
      </c>
      <c r="B2744" t="s">
        <v>102</v>
      </c>
      <c r="C2744" t="s">
        <v>2013</v>
      </c>
      <c r="D2744" t="s">
        <v>9527</v>
      </c>
      <c r="E2744">
        <v>29</v>
      </c>
      <c r="F2744" t="s">
        <v>1116</v>
      </c>
      <c r="G2744" t="s">
        <v>39</v>
      </c>
      <c r="H2744" t="s">
        <v>6189</v>
      </c>
      <c r="I2744" s="1" t="d">
        <v>2008-09-25</v>
      </c>
      <c r="J2744" t="s">
        <v>6190</v>
      </c>
      <c r="K2744" s="17" t="s">
        <v>27</v>
      </c>
      <c r="L2744">
        <v>3</v>
      </c>
    </row>
    <row r="2745" spans="1:12" x14ac:dyDescent="0.25">
      <c r="A2745" t="s">
        <v>6191</v>
      </c>
      <c r="B2745" t="s">
        <v>993</v>
      </c>
      <c r="C2745" t="s">
        <v>6192</v>
      </c>
      <c r="D2745" t="s">
        <v>9527</v>
      </c>
      <c r="E2745">
        <v>45</v>
      </c>
      <c r="F2745" t="s">
        <v>1851</v>
      </c>
      <c r="G2745" t="s">
        <v>177</v>
      </c>
      <c r="H2745" s="2">
        <v>53420</v>
      </c>
      <c r="I2745" s="1" t="d">
        <v>2022-09-17</v>
      </c>
      <c r="J2745" t="s">
        <v>6193</v>
      </c>
      <c r="K2745" s="17" t="s">
        <v>19</v>
      </c>
      <c r="L2745">
        <v>4</v>
      </c>
    </row>
    <row r="2746" spans="1:12" x14ac:dyDescent="0.25">
      <c r="A2746" t="s">
        <v>6194</v>
      </c>
      <c r="B2746" t="s">
        <v>3535</v>
      </c>
      <c r="C2746" t="s">
        <v>181</v>
      </c>
      <c r="D2746" t="s">
        <v>9527</v>
      </c>
      <c r="E2746">
        <v>42</v>
      </c>
      <c r="F2746" t="s">
        <v>422</v>
      </c>
      <c r="G2746" t="s">
        <v>3409</v>
      </c>
      <c r="H2746">
        <v>168728</v>
      </c>
      <c r="I2746" s="1" t="d">
        <v>2022-04-04</v>
      </c>
      <c r="J2746" t="s">
        <v>1597</v>
      </c>
      <c r="K2746" s="17" t="s">
        <v>19</v>
      </c>
      <c r="L2746">
        <v>5</v>
      </c>
    </row>
    <row r="2747" spans="1:12" x14ac:dyDescent="0.25">
      <c r="A2747" t="s">
        <v>6195</v>
      </c>
      <c r="B2747" t="s">
        <v>4320</v>
      </c>
      <c r="C2747" t="s">
        <v>660</v>
      </c>
      <c r="D2747" t="s">
        <v>9527</v>
      </c>
      <c r="E2747">
        <v>57</v>
      </c>
      <c r="G2747" t="s">
        <v>55</v>
      </c>
      <c r="H2747" s="2">
        <v>48851</v>
      </c>
      <c r="J2747" t="s">
        <v>6196</v>
      </c>
      <c r="K2747" s="17" t="s">
        <v>118</v>
      </c>
      <c r="L2747">
        <v>4</v>
      </c>
    </row>
    <row r="2748" spans="1:12" x14ac:dyDescent="0.25">
      <c r="A2748" t="s">
        <v>6197</v>
      </c>
      <c r="B2748" t="s">
        <v>3179</v>
      </c>
      <c r="C2748" t="s">
        <v>1538</v>
      </c>
      <c r="D2748" t="s">
        <v>46</v>
      </c>
      <c r="E2748">
        <v>34</v>
      </c>
      <c r="F2748" t="s">
        <v>411</v>
      </c>
      <c r="G2748" t="s">
        <v>16</v>
      </c>
      <c r="H2748">
        <v>74091</v>
      </c>
      <c r="I2748" s="1" t="d">
        <v>2016-09-11</v>
      </c>
      <c r="J2748" t="s">
        <v>2985</v>
      </c>
      <c r="K2748" s="17" t="s">
        <v>370</v>
      </c>
      <c r="L2748">
        <v>3</v>
      </c>
    </row>
    <row r="2749" spans="1:12" x14ac:dyDescent="0.25">
      <c r="A2749" t="s">
        <v>6198</v>
      </c>
      <c r="B2749" t="s">
        <v>112</v>
      </c>
      <c r="C2749" t="s">
        <v>80</v>
      </c>
      <c r="D2749" t="s">
        <v>46</v>
      </c>
      <c r="E2749">
        <v>42</v>
      </c>
      <c r="F2749" t="s">
        <v>146</v>
      </c>
      <c r="G2749" t="s">
        <v>387</v>
      </c>
      <c r="H2749" t="s">
        <v>6199</v>
      </c>
      <c r="I2749" s="1" t="d">
        <v>2022-05-26</v>
      </c>
      <c r="J2749" t="s">
        <v>2629</v>
      </c>
      <c r="K2749" s="17" t="s">
        <v>27</v>
      </c>
      <c r="L2749">
        <v>4</v>
      </c>
    </row>
    <row r="2750" spans="1:12" x14ac:dyDescent="0.25">
      <c r="A2750" t="s">
        <v>3997</v>
      </c>
      <c r="B2750" t="s">
        <v>3914</v>
      </c>
      <c r="C2750" t="s">
        <v>22</v>
      </c>
      <c r="D2750" t="s">
        <v>23</v>
      </c>
      <c r="E2750">
        <v>21</v>
      </c>
      <c r="F2750" t="s">
        <v>559</v>
      </c>
      <c r="G2750" t="s">
        <v>39</v>
      </c>
      <c r="H2750">
        <v>98270</v>
      </c>
      <c r="I2750" s="1" t="d">
        <v>2006-12-14</v>
      </c>
      <c r="J2750" t="s">
        <v>338</v>
      </c>
      <c r="K2750" s="17" t="s">
        <v>118</v>
      </c>
      <c r="L2750">
        <v>5</v>
      </c>
    </row>
    <row r="2751" spans="1:12" x14ac:dyDescent="0.25">
      <c r="A2751" t="s">
        <v>6200</v>
      </c>
      <c r="B2751" t="s">
        <v>4201</v>
      </c>
      <c r="C2751" t="s">
        <v>263</v>
      </c>
      <c r="D2751" t="s">
        <v>46</v>
      </c>
      <c r="E2751">
        <v>50</v>
      </c>
      <c r="G2751" t="s">
        <v>16</v>
      </c>
      <c r="H2751" t="s">
        <v>6201</v>
      </c>
      <c r="I2751" s="1" t="d">
        <v>2022-06-26</v>
      </c>
      <c r="J2751" t="s">
        <v>4730</v>
      </c>
      <c r="K2751" s="17" t="s">
        <v>118</v>
      </c>
      <c r="L2751">
        <v>3</v>
      </c>
    </row>
    <row r="2752" spans="1:12" x14ac:dyDescent="0.25">
      <c r="A2752" t="s">
        <v>6202</v>
      </c>
      <c r="B2752" t="s">
        <v>6203</v>
      </c>
      <c r="C2752" t="s">
        <v>516</v>
      </c>
      <c r="D2752" t="s">
        <v>23</v>
      </c>
      <c r="E2752">
        <v>41</v>
      </c>
      <c r="F2752" t="s">
        <v>108</v>
      </c>
      <c r="G2752" t="s">
        <v>217</v>
      </c>
      <c r="I2752" s="1" t="d">
        <v>2018-12-11</v>
      </c>
      <c r="J2752" t="s">
        <v>2671</v>
      </c>
      <c r="K2752" s="17" t="s">
        <v>184</v>
      </c>
      <c r="L2752">
        <v>5</v>
      </c>
    </row>
    <row r="2753" spans="1:12" x14ac:dyDescent="0.25">
      <c r="A2753" t="s">
        <v>6204</v>
      </c>
      <c r="B2753" t="s">
        <v>394</v>
      </c>
      <c r="C2753" t="s">
        <v>729</v>
      </c>
      <c r="D2753" t="s">
        <v>9527</v>
      </c>
      <c r="E2753">
        <v>34</v>
      </c>
      <c r="F2753" t="s">
        <v>196</v>
      </c>
      <c r="G2753" t="s">
        <v>458</v>
      </c>
      <c r="H2753" s="2">
        <v>50278</v>
      </c>
      <c r="I2753" s="1" t="d">
        <v>2023-07-29</v>
      </c>
      <c r="J2753" t="s">
        <v>2599</v>
      </c>
      <c r="K2753" s="17" t="s">
        <v>149</v>
      </c>
      <c r="L2753">
        <v>2</v>
      </c>
    </row>
    <row r="2754" spans="1:12" x14ac:dyDescent="0.25">
      <c r="A2754" t="s">
        <v>6205</v>
      </c>
      <c r="B2754" t="s">
        <v>1503</v>
      </c>
      <c r="C2754" t="s">
        <v>970</v>
      </c>
      <c r="D2754" t="s">
        <v>9527</v>
      </c>
      <c r="E2754">
        <v>44</v>
      </c>
      <c r="F2754" t="s">
        <v>258</v>
      </c>
      <c r="G2754" t="s">
        <v>159</v>
      </c>
      <c r="H2754" s="2">
        <v>47916</v>
      </c>
      <c r="I2754" s="1" t="d">
        <v>2011-10-30</v>
      </c>
      <c r="J2754" t="s">
        <v>6206</v>
      </c>
      <c r="K2754" s="17" t="s">
        <v>370</v>
      </c>
      <c r="L2754">
        <v>4</v>
      </c>
    </row>
    <row r="2755" spans="1:12" x14ac:dyDescent="0.25">
      <c r="A2755" t="s">
        <v>6207</v>
      </c>
      <c r="B2755" t="s">
        <v>583</v>
      </c>
      <c r="C2755" t="s">
        <v>474</v>
      </c>
      <c r="D2755" t="s">
        <v>46</v>
      </c>
      <c r="E2755">
        <v>28</v>
      </c>
      <c r="F2755" t="s">
        <v>186</v>
      </c>
      <c r="G2755" t="s">
        <v>39</v>
      </c>
      <c r="H2755" t="s">
        <v>6208</v>
      </c>
      <c r="I2755" s="1" t="d">
        <v>2018-01-26</v>
      </c>
      <c r="J2755" t="s">
        <v>4983</v>
      </c>
      <c r="K2755" s="17" t="s">
        <v>149</v>
      </c>
      <c r="L2755">
        <v>4</v>
      </c>
    </row>
    <row r="2756" spans="1:12" x14ac:dyDescent="0.25">
      <c r="A2756" t="s">
        <v>6209</v>
      </c>
      <c r="B2756" t="s">
        <v>945</v>
      </c>
      <c r="C2756" t="s">
        <v>3998</v>
      </c>
      <c r="D2756" t="s">
        <v>23</v>
      </c>
      <c r="E2756">
        <v>31</v>
      </c>
      <c r="F2756" t="s">
        <v>422</v>
      </c>
      <c r="G2756" t="s">
        <v>39</v>
      </c>
      <c r="H2756" t="s">
        <v>6210</v>
      </c>
      <c r="I2756" s="1" t="d">
        <v>2010-08-21</v>
      </c>
      <c r="J2756" t="s">
        <v>26</v>
      </c>
      <c r="K2756" s="17" t="s">
        <v>71</v>
      </c>
      <c r="L2756">
        <v>4</v>
      </c>
    </row>
    <row r="2757" spans="1:12" x14ac:dyDescent="0.25">
      <c r="A2757" t="s">
        <v>6211</v>
      </c>
      <c r="B2757" t="s">
        <v>1512</v>
      </c>
      <c r="C2757" t="s">
        <v>74</v>
      </c>
      <c r="D2757" t="s">
        <v>9527</v>
      </c>
      <c r="E2757">
        <v>34</v>
      </c>
      <c r="F2757" t="s">
        <v>859</v>
      </c>
      <c r="G2757" t="s">
        <v>283</v>
      </c>
      <c r="H2757" s="2">
        <v>122560</v>
      </c>
      <c r="I2757" s="1" t="d">
        <v>2014-05-25</v>
      </c>
      <c r="J2757" t="s">
        <v>6212</v>
      </c>
      <c r="K2757" s="17" t="s">
        <v>370</v>
      </c>
      <c r="L2757">
        <v>4</v>
      </c>
    </row>
    <row r="2758" spans="1:12" x14ac:dyDescent="0.25">
      <c r="A2758" t="s">
        <v>6213</v>
      </c>
      <c r="B2758" t="s">
        <v>1086</v>
      </c>
      <c r="C2758" t="s">
        <v>6214</v>
      </c>
      <c r="D2758" t="s">
        <v>23</v>
      </c>
      <c r="E2758">
        <v>29</v>
      </c>
      <c r="F2758" t="s">
        <v>532</v>
      </c>
      <c r="G2758" t="s">
        <v>39</v>
      </c>
      <c r="H2758" s="2">
        <v>66893</v>
      </c>
      <c r="I2758" s="1" t="d">
        <v>2013-01-02</v>
      </c>
      <c r="J2758" t="s">
        <v>1582</v>
      </c>
      <c r="K2758" s="17" t="s">
        <v>19</v>
      </c>
      <c r="L2758">
        <v>5</v>
      </c>
    </row>
    <row r="2759" spans="1:12" x14ac:dyDescent="0.25">
      <c r="A2759" t="s">
        <v>6215</v>
      </c>
      <c r="B2759" t="s">
        <v>1086</v>
      </c>
      <c r="C2759" t="s">
        <v>660</v>
      </c>
      <c r="D2759" t="s">
        <v>23</v>
      </c>
      <c r="E2759">
        <v>43</v>
      </c>
      <c r="F2759" t="s">
        <v>62</v>
      </c>
      <c r="G2759" t="s">
        <v>357</v>
      </c>
      <c r="H2759" t="s">
        <v>6216</v>
      </c>
      <c r="I2759" s="1" t="d">
        <v>2013-09-23</v>
      </c>
      <c r="J2759" t="s">
        <v>6217</v>
      </c>
      <c r="K2759" s="17" t="s">
        <v>100</v>
      </c>
      <c r="L2759">
        <v>1</v>
      </c>
    </row>
    <row r="2760" spans="1:12" x14ac:dyDescent="0.25">
      <c r="A2760" t="s">
        <v>6218</v>
      </c>
      <c r="B2760" t="s">
        <v>174</v>
      </c>
      <c r="C2760" t="s">
        <v>1253</v>
      </c>
      <c r="D2760" t="s">
        <v>46</v>
      </c>
      <c r="E2760">
        <v>31</v>
      </c>
      <c r="F2760" t="s">
        <v>365</v>
      </c>
      <c r="G2760" t="s">
        <v>82</v>
      </c>
      <c r="H2760">
        <v>51451</v>
      </c>
      <c r="I2760" s="1" t="d">
        <v>2012-07-03</v>
      </c>
      <c r="J2760" t="s">
        <v>1946</v>
      </c>
      <c r="K2760" s="17" t="s">
        <v>42</v>
      </c>
      <c r="L2760">
        <v>3</v>
      </c>
    </row>
    <row r="2761" spans="1:12" x14ac:dyDescent="0.25">
      <c r="A2761" t="s">
        <v>6219</v>
      </c>
      <c r="B2761" t="s">
        <v>66</v>
      </c>
      <c r="C2761" t="s">
        <v>988</v>
      </c>
      <c r="D2761" t="s">
        <v>46</v>
      </c>
      <c r="E2761">
        <v>23</v>
      </c>
      <c r="F2761" t="s">
        <v>47</v>
      </c>
      <c r="G2761" t="s">
        <v>641</v>
      </c>
      <c r="H2761" t="s">
        <v>6220</v>
      </c>
      <c r="I2761" s="1" t="d">
        <v>2013-10-06</v>
      </c>
      <c r="J2761" t="s">
        <v>1625</v>
      </c>
      <c r="K2761" s="17" t="s">
        <v>42</v>
      </c>
      <c r="L2761">
        <v>3</v>
      </c>
    </row>
    <row r="2762" spans="1:12" x14ac:dyDescent="0.25">
      <c r="A2762" t="s">
        <v>6221</v>
      </c>
      <c r="B2762" t="s">
        <v>2045</v>
      </c>
      <c r="C2762" t="s">
        <v>135</v>
      </c>
      <c r="D2762" t="s">
        <v>23</v>
      </c>
      <c r="E2762">
        <v>43</v>
      </c>
      <c r="F2762" t="s">
        <v>269</v>
      </c>
      <c r="G2762" t="s">
        <v>283</v>
      </c>
      <c r="H2762" t="s">
        <v>6222</v>
      </c>
      <c r="I2762" s="1" t="d">
        <v>2017-11-13</v>
      </c>
      <c r="J2762" t="s">
        <v>4475</v>
      </c>
      <c r="K2762" s="17" t="s">
        <v>90</v>
      </c>
      <c r="L2762">
        <v>3</v>
      </c>
    </row>
    <row r="2763" spans="1:12" x14ac:dyDescent="0.25">
      <c r="A2763" t="s">
        <v>6223</v>
      </c>
      <c r="B2763" t="s">
        <v>21</v>
      </c>
      <c r="C2763" t="s">
        <v>665</v>
      </c>
      <c r="D2763" t="s">
        <v>46</v>
      </c>
      <c r="E2763">
        <v>38</v>
      </c>
      <c r="F2763" t="s">
        <v>2029</v>
      </c>
      <c r="G2763" t="s">
        <v>55</v>
      </c>
      <c r="H2763" t="s">
        <v>6224</v>
      </c>
      <c r="I2763" s="1" t="d">
        <v>2006-01-11</v>
      </c>
      <c r="J2763" t="s">
        <v>2181</v>
      </c>
      <c r="K2763" s="17" t="s">
        <v>58</v>
      </c>
      <c r="L2763">
        <v>5</v>
      </c>
    </row>
    <row r="2764" spans="1:12" x14ac:dyDescent="0.25">
      <c r="A2764" t="s">
        <v>6225</v>
      </c>
      <c r="B2764" t="s">
        <v>139</v>
      </c>
      <c r="C2764" t="s">
        <v>318</v>
      </c>
      <c r="D2764" t="s">
        <v>9527</v>
      </c>
      <c r="E2764">
        <v>35</v>
      </c>
      <c r="F2764" t="s">
        <v>918</v>
      </c>
      <c r="G2764" t="s">
        <v>351</v>
      </c>
      <c r="H2764" t="s">
        <v>6226</v>
      </c>
      <c r="I2764" s="1" t="d">
        <v>2009-11-17</v>
      </c>
      <c r="J2764" t="s">
        <v>635</v>
      </c>
      <c r="K2764" s="17" t="s">
        <v>71</v>
      </c>
      <c r="L2764">
        <v>4</v>
      </c>
    </row>
    <row r="2765" spans="1:12" x14ac:dyDescent="0.25">
      <c r="A2765" t="s">
        <v>6227</v>
      </c>
      <c r="B2765" t="s">
        <v>151</v>
      </c>
      <c r="C2765" t="s">
        <v>395</v>
      </c>
      <c r="D2765" t="s">
        <v>46</v>
      </c>
      <c r="E2765">
        <v>53</v>
      </c>
      <c r="F2765" t="s">
        <v>5799</v>
      </c>
      <c r="G2765" t="s">
        <v>82</v>
      </c>
      <c r="H2765" t="s">
        <v>6228</v>
      </c>
      <c r="J2765" t="s">
        <v>581</v>
      </c>
      <c r="K2765" s="17" t="s">
        <v>27</v>
      </c>
      <c r="L2765">
        <v>5</v>
      </c>
    </row>
    <row r="2766" spans="1:12" x14ac:dyDescent="0.25">
      <c r="A2766" t="s">
        <v>6229</v>
      </c>
      <c r="B2766" t="s">
        <v>180</v>
      </c>
      <c r="C2766" t="s">
        <v>898</v>
      </c>
      <c r="D2766" t="s">
        <v>46</v>
      </c>
      <c r="E2766">
        <v>45</v>
      </c>
      <c r="F2766" t="s">
        <v>399</v>
      </c>
      <c r="G2766" t="s">
        <v>357</v>
      </c>
      <c r="H2766" t="s">
        <v>6230</v>
      </c>
      <c r="I2766" s="1" t="d">
        <v>2015-08-09</v>
      </c>
      <c r="J2766" t="s">
        <v>183</v>
      </c>
      <c r="K2766" s="17" t="s">
        <v>149</v>
      </c>
      <c r="L2766">
        <v>3</v>
      </c>
    </row>
    <row r="2767" spans="1:12" x14ac:dyDescent="0.25">
      <c r="A2767" t="s">
        <v>6231</v>
      </c>
      <c r="B2767" t="s">
        <v>901</v>
      </c>
      <c r="C2767" t="s">
        <v>805</v>
      </c>
      <c r="D2767" t="s">
        <v>46</v>
      </c>
      <c r="E2767">
        <v>37</v>
      </c>
      <c r="G2767" t="s">
        <v>16</v>
      </c>
      <c r="H2767" s="2">
        <v>82789</v>
      </c>
      <c r="I2767" s="1" t="d">
        <v>2017-04-11</v>
      </c>
      <c r="J2767" t="s">
        <v>3039</v>
      </c>
      <c r="K2767" s="17" t="s">
        <v>50</v>
      </c>
      <c r="L2767">
        <v>3</v>
      </c>
    </row>
    <row r="2768" spans="1:12" x14ac:dyDescent="0.25">
      <c r="A2768" t="s">
        <v>6232</v>
      </c>
      <c r="B2768" t="s">
        <v>102</v>
      </c>
      <c r="C2768" t="s">
        <v>14</v>
      </c>
      <c r="D2768" t="s">
        <v>46</v>
      </c>
      <c r="E2768">
        <v>47</v>
      </c>
      <c r="F2768" t="s">
        <v>522</v>
      </c>
      <c r="G2768" t="s">
        <v>82</v>
      </c>
      <c r="H2768" t="s">
        <v>6233</v>
      </c>
      <c r="I2768" s="1" t="d">
        <v>2018-07-27</v>
      </c>
      <c r="J2768" t="s">
        <v>160</v>
      </c>
      <c r="K2768" s="17" t="s">
        <v>370</v>
      </c>
      <c r="L2768">
        <v>2</v>
      </c>
    </row>
    <row r="2769" spans="1:12" x14ac:dyDescent="0.25">
      <c r="A2769" t="s">
        <v>6234</v>
      </c>
      <c r="B2769" t="s">
        <v>789</v>
      </c>
      <c r="C2769" t="s">
        <v>282</v>
      </c>
      <c r="D2769" t="s">
        <v>9527</v>
      </c>
      <c r="E2769">
        <v>34</v>
      </c>
      <c r="F2769" t="s">
        <v>169</v>
      </c>
      <c r="G2769" t="s">
        <v>131</v>
      </c>
      <c r="H2769">
        <v>60631</v>
      </c>
      <c r="I2769" s="1" t="d">
        <v>2013-07-14</v>
      </c>
      <c r="J2769" t="s">
        <v>309</v>
      </c>
      <c r="K2769" s="17" t="s">
        <v>90</v>
      </c>
      <c r="L2769">
        <v>1</v>
      </c>
    </row>
    <row r="2770" spans="1:12" x14ac:dyDescent="0.25">
      <c r="A2770" t="s">
        <v>6235</v>
      </c>
      <c r="B2770" t="s">
        <v>426</v>
      </c>
      <c r="C2770" t="s">
        <v>113</v>
      </c>
      <c r="D2770" t="s">
        <v>46</v>
      </c>
      <c r="E2770">
        <v>33</v>
      </c>
      <c r="F2770" t="s">
        <v>186</v>
      </c>
      <c r="G2770" t="s">
        <v>500</v>
      </c>
      <c r="H2770" s="2">
        <v>96368</v>
      </c>
      <c r="I2770" s="1" t="d">
        <v>2021-08-13</v>
      </c>
      <c r="J2770" t="s">
        <v>6236</v>
      </c>
      <c r="K2770" s="17" t="s">
        <v>100</v>
      </c>
      <c r="L2770">
        <v>3</v>
      </c>
    </row>
    <row r="2771" spans="1:12" x14ac:dyDescent="0.25">
      <c r="A2771" t="s">
        <v>6237</v>
      </c>
      <c r="B2771" t="s">
        <v>773</v>
      </c>
      <c r="C2771" t="s">
        <v>1364</v>
      </c>
      <c r="D2771" t="s">
        <v>46</v>
      </c>
      <c r="E2771">
        <v>33</v>
      </c>
      <c r="F2771" t="s">
        <v>559</v>
      </c>
      <c r="G2771" t="s">
        <v>526</v>
      </c>
      <c r="H2771" s="2">
        <v>95456</v>
      </c>
      <c r="I2771" s="1" t="d">
        <v>2008-07-20</v>
      </c>
      <c r="J2771" t="s">
        <v>5617</v>
      </c>
      <c r="K2771" s="17" t="s">
        <v>90</v>
      </c>
      <c r="L2771">
        <v>3</v>
      </c>
    </row>
    <row r="2772" spans="1:12" x14ac:dyDescent="0.25">
      <c r="A2772" t="s">
        <v>6238</v>
      </c>
      <c r="B2772" t="s">
        <v>6239</v>
      </c>
      <c r="C2772" t="s">
        <v>237</v>
      </c>
      <c r="D2772" t="s">
        <v>9527</v>
      </c>
      <c r="E2772">
        <v>45</v>
      </c>
      <c r="F2772" t="s">
        <v>196</v>
      </c>
      <c r="G2772" t="s">
        <v>39</v>
      </c>
      <c r="H2772" t="s">
        <v>6240</v>
      </c>
      <c r="I2772" s="1" t="d">
        <v>2018-07-14</v>
      </c>
      <c r="J2772" t="s">
        <v>3047</v>
      </c>
      <c r="K2772" s="17" t="s">
        <v>90</v>
      </c>
      <c r="L2772">
        <v>3</v>
      </c>
    </row>
    <row r="2773" spans="1:12" x14ac:dyDescent="0.25">
      <c r="A2773" t="s">
        <v>6241</v>
      </c>
      <c r="B2773" t="s">
        <v>630</v>
      </c>
      <c r="C2773" t="s">
        <v>462</v>
      </c>
      <c r="D2773" t="s">
        <v>46</v>
      </c>
      <c r="E2773">
        <v>40</v>
      </c>
      <c r="F2773" t="s">
        <v>522</v>
      </c>
      <c r="G2773" t="s">
        <v>297</v>
      </c>
      <c r="I2773" s="1" t="d">
        <v>2020-06-12</v>
      </c>
      <c r="J2773" t="s">
        <v>2373</v>
      </c>
      <c r="K2773" s="17" t="s">
        <v>50</v>
      </c>
      <c r="L2773">
        <v>4</v>
      </c>
    </row>
    <row r="2774" spans="1:12" x14ac:dyDescent="0.25">
      <c r="A2774" t="s">
        <v>6242</v>
      </c>
      <c r="B2774" t="s">
        <v>2681</v>
      </c>
      <c r="C2774" t="s">
        <v>898</v>
      </c>
      <c r="D2774" t="s">
        <v>9527</v>
      </c>
      <c r="E2774">
        <v>37</v>
      </c>
      <c r="F2774" t="s">
        <v>649</v>
      </c>
      <c r="G2774" t="s">
        <v>170</v>
      </c>
      <c r="H2774" t="s">
        <v>6243</v>
      </c>
      <c r="I2774" s="1" t="d">
        <v>2015-05-06</v>
      </c>
      <c r="J2774" t="s">
        <v>820</v>
      </c>
      <c r="K2774" s="17" t="s">
        <v>71</v>
      </c>
      <c r="L2774">
        <v>3</v>
      </c>
    </row>
    <row r="2775" spans="1:12" x14ac:dyDescent="0.25">
      <c r="A2775" t="s">
        <v>6244</v>
      </c>
      <c r="B2775" t="s">
        <v>993</v>
      </c>
      <c r="C2775" t="s">
        <v>381</v>
      </c>
      <c r="D2775" t="s">
        <v>46</v>
      </c>
      <c r="E2775">
        <v>62</v>
      </c>
      <c r="F2775" t="s">
        <v>6245</v>
      </c>
      <c r="G2775" t="s">
        <v>141</v>
      </c>
      <c r="H2775" t="s">
        <v>6246</v>
      </c>
      <c r="J2775" t="s">
        <v>3411</v>
      </c>
      <c r="K2775" s="17" t="s">
        <v>184</v>
      </c>
      <c r="L2775">
        <v>3</v>
      </c>
    </row>
    <row r="2776" spans="1:12" x14ac:dyDescent="0.25">
      <c r="A2776" t="s">
        <v>6247</v>
      </c>
      <c r="B2776" t="s">
        <v>102</v>
      </c>
      <c r="C2776" t="s">
        <v>684</v>
      </c>
      <c r="D2776" t="s">
        <v>46</v>
      </c>
      <c r="E2776">
        <v>30</v>
      </c>
      <c r="F2776" t="s">
        <v>585</v>
      </c>
      <c r="G2776" t="s">
        <v>25</v>
      </c>
      <c r="I2776" s="1" t="d">
        <v>2013-11-14</v>
      </c>
      <c r="J2776" t="s">
        <v>1890</v>
      </c>
      <c r="K2776" s="17" t="s">
        <v>207</v>
      </c>
      <c r="L2776">
        <v>3</v>
      </c>
    </row>
    <row r="2777" spans="1:12" x14ac:dyDescent="0.25">
      <c r="A2777" t="s">
        <v>6248</v>
      </c>
      <c r="B2777" t="s">
        <v>5044</v>
      </c>
      <c r="C2777" t="s">
        <v>715</v>
      </c>
      <c r="D2777" t="s">
        <v>46</v>
      </c>
      <c r="E2777">
        <v>46</v>
      </c>
      <c r="F2777" t="s">
        <v>15</v>
      </c>
      <c r="G2777" t="s">
        <v>16</v>
      </c>
      <c r="H2777" s="2">
        <v>136258</v>
      </c>
      <c r="I2777" s="1" t="d">
        <v>2006-06-06</v>
      </c>
      <c r="J2777" t="s">
        <v>2896</v>
      </c>
      <c r="K2777" s="17" t="s">
        <v>184</v>
      </c>
      <c r="L2777">
        <v>3</v>
      </c>
    </row>
    <row r="2778" spans="1:12" x14ac:dyDescent="0.25">
      <c r="A2778" t="s">
        <v>6249</v>
      </c>
      <c r="B2778" t="s">
        <v>1124</v>
      </c>
      <c r="C2778" t="s">
        <v>516</v>
      </c>
      <c r="D2778" t="s">
        <v>9527</v>
      </c>
      <c r="E2778">
        <v>40</v>
      </c>
      <c r="F2778" t="s">
        <v>1699</v>
      </c>
      <c r="G2778" t="s">
        <v>842</v>
      </c>
      <c r="H2778" t="s">
        <v>1739</v>
      </c>
      <c r="I2778" s="1" t="d">
        <v>2022-09-02</v>
      </c>
      <c r="J2778" t="s">
        <v>6250</v>
      </c>
      <c r="K2778" s="17" t="s">
        <v>100</v>
      </c>
      <c r="L2778">
        <v>4</v>
      </c>
    </row>
    <row r="2779" spans="1:12" x14ac:dyDescent="0.25">
      <c r="A2779" t="s">
        <v>6251</v>
      </c>
      <c r="B2779" t="s">
        <v>130</v>
      </c>
      <c r="C2779" t="s">
        <v>1384</v>
      </c>
      <c r="D2779" t="s">
        <v>46</v>
      </c>
      <c r="E2779">
        <v>50</v>
      </c>
      <c r="G2779" t="s">
        <v>1285</v>
      </c>
      <c r="H2779">
        <v>40198</v>
      </c>
      <c r="I2779" s="1" t="d">
        <v>2006-08-25</v>
      </c>
      <c r="J2779" t="s">
        <v>2305</v>
      </c>
      <c r="K2779" s="17" t="s">
        <v>90</v>
      </c>
      <c r="L2779">
        <v>4</v>
      </c>
    </row>
    <row r="2780" spans="1:12" x14ac:dyDescent="0.25">
      <c r="A2780" t="s">
        <v>6252</v>
      </c>
      <c r="B2780" t="s">
        <v>6253</v>
      </c>
      <c r="C2780" t="s">
        <v>790</v>
      </c>
      <c r="D2780" t="s">
        <v>23</v>
      </c>
      <c r="E2780">
        <v>33</v>
      </c>
      <c r="F2780" t="s">
        <v>649</v>
      </c>
      <c r="G2780" t="s">
        <v>337</v>
      </c>
      <c r="H2780" t="s">
        <v>6254</v>
      </c>
      <c r="I2780" s="1" t="d">
        <v>2024-11-04</v>
      </c>
      <c r="J2780" t="s">
        <v>4162</v>
      </c>
      <c r="K2780" s="17" t="s">
        <v>34</v>
      </c>
      <c r="L2780">
        <v>3</v>
      </c>
    </row>
    <row r="2781" spans="1:12" x14ac:dyDescent="0.25">
      <c r="A2781" t="s">
        <v>6255</v>
      </c>
      <c r="B2781" t="s">
        <v>2856</v>
      </c>
      <c r="C2781" t="s">
        <v>631</v>
      </c>
      <c r="D2781" t="s">
        <v>23</v>
      </c>
      <c r="E2781">
        <v>36</v>
      </c>
      <c r="F2781" t="s">
        <v>169</v>
      </c>
      <c r="G2781" t="s">
        <v>191</v>
      </c>
      <c r="H2781">
        <v>55258</v>
      </c>
      <c r="I2781" s="1" t="d">
        <v>2018-10-13</v>
      </c>
      <c r="J2781" t="s">
        <v>3282</v>
      </c>
      <c r="K2781" s="17" t="s">
        <v>370</v>
      </c>
      <c r="L2781">
        <v>3</v>
      </c>
    </row>
    <row r="2782" spans="1:12" x14ac:dyDescent="0.25">
      <c r="A2782" t="s">
        <v>6256</v>
      </c>
      <c r="B2782" t="s">
        <v>79</v>
      </c>
      <c r="C2782" t="s">
        <v>988</v>
      </c>
      <c r="D2782" t="s">
        <v>46</v>
      </c>
      <c r="E2782">
        <v>23</v>
      </c>
      <c r="G2782" t="s">
        <v>32</v>
      </c>
      <c r="H2782">
        <v>75994</v>
      </c>
      <c r="I2782" s="1" t="d">
        <v>2017-08-03</v>
      </c>
      <c r="J2782" t="s">
        <v>6257</v>
      </c>
      <c r="K2782" s="17" t="s">
        <v>149</v>
      </c>
      <c r="L2782">
        <v>5</v>
      </c>
    </row>
    <row r="2783" spans="1:12" x14ac:dyDescent="0.25">
      <c r="A2783" t="s">
        <v>6258</v>
      </c>
      <c r="B2783" t="s">
        <v>162</v>
      </c>
      <c r="C2783" t="s">
        <v>324</v>
      </c>
      <c r="D2783" t="s">
        <v>46</v>
      </c>
      <c r="E2783">
        <v>41</v>
      </c>
      <c r="F2783" t="s">
        <v>559</v>
      </c>
      <c r="G2783" t="s">
        <v>39</v>
      </c>
      <c r="H2783" s="2">
        <v>93046</v>
      </c>
      <c r="I2783" s="1" t="d">
        <v>2009-01-02</v>
      </c>
      <c r="J2783" t="s">
        <v>4741</v>
      </c>
      <c r="K2783" s="17" t="s">
        <v>90</v>
      </c>
      <c r="L2783">
        <v>5</v>
      </c>
    </row>
    <row r="2784" spans="1:12" x14ac:dyDescent="0.25">
      <c r="A2784" t="s">
        <v>6259</v>
      </c>
      <c r="B2784" t="s">
        <v>37</v>
      </c>
      <c r="C2784" t="s">
        <v>4693</v>
      </c>
      <c r="D2784" t="s">
        <v>9527</v>
      </c>
      <c r="E2784">
        <v>41</v>
      </c>
      <c r="F2784" t="s">
        <v>122</v>
      </c>
      <c r="G2784" t="s">
        <v>1199</v>
      </c>
      <c r="H2784">
        <v>77215</v>
      </c>
      <c r="I2784" s="1" t="d">
        <v>2014-01-23</v>
      </c>
      <c r="J2784" t="s">
        <v>6260</v>
      </c>
      <c r="K2784" s="17" t="s">
        <v>149</v>
      </c>
      <c r="L2784">
        <v>4</v>
      </c>
    </row>
    <row r="2785" spans="1:12" x14ac:dyDescent="0.25">
      <c r="A2785" t="s">
        <v>6261</v>
      </c>
      <c r="B2785" t="s">
        <v>812</v>
      </c>
      <c r="C2785" t="s">
        <v>1039</v>
      </c>
      <c r="D2785" t="s">
        <v>46</v>
      </c>
      <c r="E2785">
        <v>28</v>
      </c>
      <c r="F2785" t="s">
        <v>6262</v>
      </c>
      <c r="G2785" t="s">
        <v>88</v>
      </c>
      <c r="H2785" s="2">
        <v>85111</v>
      </c>
      <c r="I2785" s="1" t="d">
        <v>2022-11-19</v>
      </c>
      <c r="J2785" t="s">
        <v>6263</v>
      </c>
      <c r="K2785" s="17" t="s">
        <v>19</v>
      </c>
      <c r="L2785">
        <v>5</v>
      </c>
    </row>
    <row r="2786" spans="1:12" x14ac:dyDescent="0.25">
      <c r="A2786" t="s">
        <v>6264</v>
      </c>
      <c r="B2786" t="s">
        <v>3186</v>
      </c>
      <c r="C2786" t="s">
        <v>181</v>
      </c>
      <c r="D2786" t="s">
        <v>9527</v>
      </c>
      <c r="E2786">
        <v>63</v>
      </c>
      <c r="F2786" t="s">
        <v>31</v>
      </c>
      <c r="G2786" t="s">
        <v>82</v>
      </c>
      <c r="H2786" t="s">
        <v>6265</v>
      </c>
      <c r="I2786" s="1" t="d">
        <v>2024-04-21</v>
      </c>
      <c r="J2786" t="s">
        <v>3187</v>
      </c>
      <c r="K2786" s="17" t="s">
        <v>207</v>
      </c>
      <c r="L2786">
        <v>3</v>
      </c>
    </row>
    <row r="2787" spans="1:12" x14ac:dyDescent="0.25">
      <c r="A2787" t="s">
        <v>6266</v>
      </c>
      <c r="B2787" t="s">
        <v>2197</v>
      </c>
      <c r="C2787" t="s">
        <v>1622</v>
      </c>
      <c r="D2787" t="s">
        <v>46</v>
      </c>
      <c r="E2787">
        <v>37</v>
      </c>
      <c r="F2787" t="s">
        <v>645</v>
      </c>
      <c r="G2787" t="s">
        <v>69</v>
      </c>
      <c r="I2787" s="1" t="d">
        <v>2016-03-23</v>
      </c>
      <c r="J2787" t="s">
        <v>1811</v>
      </c>
      <c r="K2787" s="17" t="s">
        <v>118</v>
      </c>
      <c r="L2787">
        <v>2</v>
      </c>
    </row>
    <row r="2788" spans="1:12" x14ac:dyDescent="0.25">
      <c r="A2788" t="s">
        <v>6267</v>
      </c>
      <c r="B2788" t="s">
        <v>66</v>
      </c>
      <c r="C2788" t="s">
        <v>665</v>
      </c>
      <c r="D2788" t="s">
        <v>9527</v>
      </c>
      <c r="E2788">
        <v>32</v>
      </c>
      <c r="F2788" t="s">
        <v>200</v>
      </c>
      <c r="G2788" t="s">
        <v>48</v>
      </c>
      <c r="H2788" t="s">
        <v>6268</v>
      </c>
      <c r="J2788" t="s">
        <v>831</v>
      </c>
      <c r="K2788" s="17" t="s">
        <v>58</v>
      </c>
      <c r="L2788">
        <v>3</v>
      </c>
    </row>
    <row r="2789" spans="1:12" x14ac:dyDescent="0.25">
      <c r="A2789" t="s">
        <v>6269</v>
      </c>
      <c r="B2789" t="s">
        <v>530</v>
      </c>
      <c r="C2789" t="s">
        <v>474</v>
      </c>
      <c r="D2789" t="s">
        <v>23</v>
      </c>
      <c r="E2789">
        <v>36</v>
      </c>
      <c r="F2789" t="s">
        <v>649</v>
      </c>
      <c r="G2789" t="s">
        <v>1277</v>
      </c>
      <c r="H2789" t="s">
        <v>6270</v>
      </c>
      <c r="I2789" s="1" t="d">
        <v>2011-12-25</v>
      </c>
      <c r="J2789" t="s">
        <v>5429</v>
      </c>
      <c r="K2789" s="17" t="s">
        <v>370</v>
      </c>
      <c r="L2789">
        <v>5</v>
      </c>
    </row>
    <row r="2790" spans="1:12" x14ac:dyDescent="0.25">
      <c r="A2790" t="s">
        <v>6271</v>
      </c>
      <c r="B2790" t="s">
        <v>786</v>
      </c>
      <c r="C2790" t="s">
        <v>61</v>
      </c>
      <c r="D2790" t="s">
        <v>46</v>
      </c>
      <c r="E2790">
        <v>50</v>
      </c>
      <c r="G2790" t="s">
        <v>39</v>
      </c>
      <c r="H2790" t="s">
        <v>6272</v>
      </c>
      <c r="I2790" s="1" t="d">
        <v>2019-08-06</v>
      </c>
      <c r="J2790" t="s">
        <v>5215</v>
      </c>
      <c r="K2790" s="17" t="s">
        <v>34</v>
      </c>
      <c r="L2790">
        <v>4</v>
      </c>
    </row>
    <row r="2791" spans="1:12" x14ac:dyDescent="0.25">
      <c r="A2791" t="s">
        <v>6273</v>
      </c>
      <c r="B2791" t="s">
        <v>804</v>
      </c>
      <c r="C2791" t="s">
        <v>851</v>
      </c>
      <c r="D2791" t="s">
        <v>23</v>
      </c>
      <c r="E2791">
        <v>38</v>
      </c>
      <c r="F2791" t="s">
        <v>104</v>
      </c>
      <c r="G2791" t="s">
        <v>16</v>
      </c>
      <c r="H2791" s="2">
        <v>85511</v>
      </c>
      <c r="I2791" s="1" t="d">
        <v>2009-08-25</v>
      </c>
      <c r="J2791" t="s">
        <v>2206</v>
      </c>
      <c r="K2791" s="17" t="s">
        <v>58</v>
      </c>
      <c r="L2791">
        <v>4</v>
      </c>
    </row>
    <row r="2792" spans="1:12" x14ac:dyDescent="0.25">
      <c r="A2792" t="s">
        <v>6274</v>
      </c>
      <c r="B2792" t="s">
        <v>448</v>
      </c>
      <c r="C2792" t="s">
        <v>805</v>
      </c>
      <c r="D2792" t="s">
        <v>46</v>
      </c>
      <c r="E2792">
        <v>32</v>
      </c>
      <c r="G2792" t="s">
        <v>357</v>
      </c>
      <c r="H2792" t="s">
        <v>6275</v>
      </c>
      <c r="I2792" s="1" t="d">
        <v>2022-09-21</v>
      </c>
      <c r="J2792" t="s">
        <v>2655</v>
      </c>
      <c r="K2792" s="17" t="s">
        <v>90</v>
      </c>
      <c r="L2792">
        <v>3</v>
      </c>
    </row>
    <row r="2793" spans="1:12" x14ac:dyDescent="0.25">
      <c r="A2793" t="s">
        <v>6276</v>
      </c>
      <c r="B2793" t="s">
        <v>2041</v>
      </c>
      <c r="C2793" t="s">
        <v>665</v>
      </c>
      <c r="D2793" t="s">
        <v>46</v>
      </c>
      <c r="E2793">
        <v>34</v>
      </c>
      <c r="F2793" t="s">
        <v>3864</v>
      </c>
      <c r="G2793" t="s">
        <v>82</v>
      </c>
      <c r="H2793" s="2">
        <v>72448</v>
      </c>
      <c r="I2793" s="1" t="d">
        <v>2009-06-25</v>
      </c>
      <c r="J2793" t="s">
        <v>2250</v>
      </c>
      <c r="K2793" s="17" t="s">
        <v>50</v>
      </c>
      <c r="L2793">
        <v>2</v>
      </c>
    </row>
    <row r="2794" spans="1:12" x14ac:dyDescent="0.25">
      <c r="A2794" t="s">
        <v>6277</v>
      </c>
      <c r="B2794" t="s">
        <v>426</v>
      </c>
      <c r="C2794" t="s">
        <v>215</v>
      </c>
      <c r="D2794" t="s">
        <v>9527</v>
      </c>
      <c r="E2794">
        <v>30</v>
      </c>
      <c r="F2794" t="s">
        <v>649</v>
      </c>
      <c r="G2794" t="s">
        <v>3800</v>
      </c>
      <c r="H2794">
        <v>78950</v>
      </c>
      <c r="I2794" s="1" t="d">
        <v>2010-10-11</v>
      </c>
      <c r="J2794" t="s">
        <v>3217</v>
      </c>
      <c r="K2794" s="17" t="s">
        <v>34</v>
      </c>
      <c r="L2794">
        <v>5</v>
      </c>
    </row>
    <row r="2795" spans="1:12" x14ac:dyDescent="0.25">
      <c r="A2795" t="s">
        <v>6278</v>
      </c>
      <c r="B2795" t="s">
        <v>66</v>
      </c>
      <c r="C2795" t="s">
        <v>336</v>
      </c>
      <c r="D2795" t="s">
        <v>23</v>
      </c>
      <c r="E2795">
        <v>47</v>
      </c>
      <c r="F2795" t="s">
        <v>532</v>
      </c>
      <c r="G2795" t="s">
        <v>39</v>
      </c>
      <c r="H2795">
        <v>66586</v>
      </c>
      <c r="I2795" s="1" t="d">
        <v>2011-07-01</v>
      </c>
      <c r="J2795" t="s">
        <v>4158</v>
      </c>
      <c r="K2795" s="17" t="s">
        <v>19</v>
      </c>
      <c r="L2795">
        <v>4</v>
      </c>
    </row>
    <row r="2796" spans="1:12" x14ac:dyDescent="0.25">
      <c r="A2796" t="s">
        <v>6279</v>
      </c>
      <c r="B2796" t="s">
        <v>2222</v>
      </c>
      <c r="C2796" t="s">
        <v>244</v>
      </c>
      <c r="D2796" t="s">
        <v>23</v>
      </c>
      <c r="E2796">
        <v>45</v>
      </c>
      <c r="G2796" t="s">
        <v>170</v>
      </c>
      <c r="H2796" s="2">
        <v>80626</v>
      </c>
      <c r="I2796" s="1" t="d">
        <v>2015-09-20</v>
      </c>
      <c r="J2796" t="s">
        <v>6280</v>
      </c>
      <c r="K2796" s="17" t="s">
        <v>207</v>
      </c>
      <c r="L2796">
        <v>2</v>
      </c>
    </row>
    <row r="2797" spans="1:12" x14ac:dyDescent="0.25">
      <c r="A2797" t="s">
        <v>6281</v>
      </c>
      <c r="B2797" t="s">
        <v>901</v>
      </c>
      <c r="C2797" t="s">
        <v>74</v>
      </c>
      <c r="D2797" t="s">
        <v>23</v>
      </c>
      <c r="E2797">
        <v>35</v>
      </c>
      <c r="G2797" t="s">
        <v>351</v>
      </c>
      <c r="H2797" t="s">
        <v>6282</v>
      </c>
      <c r="I2797" s="1" t="d">
        <v>2015-10-17</v>
      </c>
      <c r="J2797" t="s">
        <v>5984</v>
      </c>
      <c r="K2797" s="17" t="s">
        <v>100</v>
      </c>
      <c r="L2797">
        <v>3</v>
      </c>
    </row>
    <row r="2798" spans="1:12" x14ac:dyDescent="0.25">
      <c r="A2798" t="s">
        <v>6283</v>
      </c>
      <c r="B2798" t="s">
        <v>394</v>
      </c>
      <c r="C2798" t="s">
        <v>1494</v>
      </c>
      <c r="D2798" t="s">
        <v>9527</v>
      </c>
      <c r="E2798">
        <v>59</v>
      </c>
      <c r="F2798" t="s">
        <v>478</v>
      </c>
      <c r="G2798" t="s">
        <v>69</v>
      </c>
      <c r="H2798" t="s">
        <v>6284</v>
      </c>
      <c r="I2798" s="1" t="d">
        <v>2010-11-24</v>
      </c>
      <c r="J2798" t="s">
        <v>1554</v>
      </c>
      <c r="K2798" s="17" t="s">
        <v>42</v>
      </c>
      <c r="L2798">
        <v>4</v>
      </c>
    </row>
    <row r="2799" spans="1:12" x14ac:dyDescent="0.25">
      <c r="A2799" t="s">
        <v>6285</v>
      </c>
      <c r="B2799" t="s">
        <v>1002</v>
      </c>
      <c r="C2799" t="s">
        <v>758</v>
      </c>
      <c r="D2799" t="s">
        <v>23</v>
      </c>
      <c r="E2799">
        <v>36</v>
      </c>
      <c r="F2799" t="s">
        <v>918</v>
      </c>
      <c r="G2799" t="s">
        <v>6141</v>
      </c>
      <c r="H2799" s="2">
        <v>122749</v>
      </c>
      <c r="I2799" s="1" t="d">
        <v>2011-05-23</v>
      </c>
      <c r="J2799" t="s">
        <v>6286</v>
      </c>
      <c r="K2799" s="17" t="s">
        <v>58</v>
      </c>
      <c r="L2799">
        <v>3</v>
      </c>
    </row>
    <row r="2800" spans="1:12" x14ac:dyDescent="0.25">
      <c r="A2800" t="s">
        <v>6287</v>
      </c>
      <c r="B2800" t="s">
        <v>1382</v>
      </c>
      <c r="C2800" t="s">
        <v>457</v>
      </c>
      <c r="D2800" t="s">
        <v>23</v>
      </c>
      <c r="E2800">
        <v>37</v>
      </c>
      <c r="F2800" t="s">
        <v>230</v>
      </c>
      <c r="G2800" t="s">
        <v>39</v>
      </c>
      <c r="H2800" t="s">
        <v>6288</v>
      </c>
      <c r="I2800" s="1" t="d">
        <v>2012-05-16</v>
      </c>
      <c r="J2800" t="s">
        <v>279</v>
      </c>
      <c r="K2800" s="17" t="s">
        <v>42</v>
      </c>
      <c r="L2800">
        <v>4</v>
      </c>
    </row>
    <row r="2801" spans="1:12" x14ac:dyDescent="0.25">
      <c r="A2801" t="s">
        <v>6289</v>
      </c>
      <c r="B2801" t="s">
        <v>167</v>
      </c>
      <c r="C2801" t="s">
        <v>830</v>
      </c>
      <c r="D2801" t="s">
        <v>23</v>
      </c>
      <c r="E2801">
        <v>45</v>
      </c>
      <c r="F2801" t="s">
        <v>146</v>
      </c>
      <c r="G2801" t="s">
        <v>782</v>
      </c>
      <c r="H2801">
        <v>112542</v>
      </c>
      <c r="I2801" s="1" t="d">
        <v>2021-06-09</v>
      </c>
      <c r="J2801" t="s">
        <v>3712</v>
      </c>
      <c r="K2801" s="17" t="s">
        <v>149</v>
      </c>
      <c r="L2801">
        <v>3</v>
      </c>
    </row>
    <row r="2802" spans="1:12" x14ac:dyDescent="0.25">
      <c r="A2802" t="s">
        <v>6290</v>
      </c>
      <c r="B2802" t="s">
        <v>862</v>
      </c>
      <c r="C2802" t="s">
        <v>1337</v>
      </c>
      <c r="D2802" t="s">
        <v>46</v>
      </c>
      <c r="E2802">
        <v>46</v>
      </c>
      <c r="F2802" t="s">
        <v>230</v>
      </c>
      <c r="G2802" t="s">
        <v>1133</v>
      </c>
      <c r="H2802" s="2">
        <v>139395</v>
      </c>
      <c r="I2802" s="1" t="d">
        <v>2016-09-14</v>
      </c>
      <c r="J2802" t="s">
        <v>5015</v>
      </c>
      <c r="K2802" s="17" t="s">
        <v>207</v>
      </c>
      <c r="L2802">
        <v>5</v>
      </c>
    </row>
    <row r="2803" spans="1:12" x14ac:dyDescent="0.25">
      <c r="A2803" t="s">
        <v>6291</v>
      </c>
      <c r="B2803" t="s">
        <v>251</v>
      </c>
      <c r="C2803" t="s">
        <v>805</v>
      </c>
      <c r="D2803" t="s">
        <v>46</v>
      </c>
      <c r="E2803">
        <v>50</v>
      </c>
      <c r="F2803" t="s">
        <v>666</v>
      </c>
      <c r="G2803" t="s">
        <v>212</v>
      </c>
      <c r="H2803" s="2">
        <v>58794</v>
      </c>
      <c r="I2803" s="1" t="d">
        <v>2006-10-03</v>
      </c>
      <c r="J2803" t="s">
        <v>117</v>
      </c>
      <c r="K2803" s="17" t="s">
        <v>58</v>
      </c>
      <c r="L2803">
        <v>3</v>
      </c>
    </row>
    <row r="2804" spans="1:12" x14ac:dyDescent="0.25">
      <c r="A2804" t="s">
        <v>6292</v>
      </c>
      <c r="B2804" t="s">
        <v>769</v>
      </c>
      <c r="C2804" t="s">
        <v>140</v>
      </c>
      <c r="D2804" t="s">
        <v>9527</v>
      </c>
      <c r="E2804">
        <v>27</v>
      </c>
      <c r="F2804" t="s">
        <v>971</v>
      </c>
      <c r="G2804" t="s">
        <v>182</v>
      </c>
      <c r="H2804">
        <v>125459</v>
      </c>
      <c r="I2804" s="1" t="d">
        <v>2013-01-18</v>
      </c>
      <c r="J2804" t="s">
        <v>6293</v>
      </c>
      <c r="K2804" s="17" t="s">
        <v>149</v>
      </c>
      <c r="L2804">
        <v>5</v>
      </c>
    </row>
    <row r="2805" spans="1:12" x14ac:dyDescent="0.25">
      <c r="A2805" t="s">
        <v>6294</v>
      </c>
      <c r="B2805" t="s">
        <v>125</v>
      </c>
      <c r="C2805" t="s">
        <v>74</v>
      </c>
      <c r="D2805" t="s">
        <v>9527</v>
      </c>
      <c r="E2805">
        <v>21</v>
      </c>
      <c r="F2805" t="s">
        <v>350</v>
      </c>
      <c r="G2805" t="s">
        <v>82</v>
      </c>
      <c r="H2805">
        <v>43706</v>
      </c>
      <c r="I2805" s="1" t="d">
        <v>2023-06-12</v>
      </c>
      <c r="J2805" t="s">
        <v>128</v>
      </c>
      <c r="K2805" s="17" t="s">
        <v>50</v>
      </c>
      <c r="L2805">
        <v>5</v>
      </c>
    </row>
    <row r="2806" spans="1:12" x14ac:dyDescent="0.25">
      <c r="A2806" t="s">
        <v>6295</v>
      </c>
      <c r="B2806" t="s">
        <v>1368</v>
      </c>
      <c r="C2806" t="s">
        <v>286</v>
      </c>
      <c r="D2806" t="s">
        <v>9527</v>
      </c>
      <c r="E2806">
        <v>26</v>
      </c>
      <c r="F2806" t="s">
        <v>190</v>
      </c>
      <c r="G2806" t="s">
        <v>82</v>
      </c>
      <c r="H2806" t="s">
        <v>6296</v>
      </c>
      <c r="I2806" s="1" t="d">
        <v>2022-03-03</v>
      </c>
      <c r="J2806" t="s">
        <v>4244</v>
      </c>
      <c r="K2806" s="17" t="s">
        <v>90</v>
      </c>
      <c r="L2806">
        <v>2</v>
      </c>
    </row>
    <row r="2807" spans="1:12" x14ac:dyDescent="0.25">
      <c r="A2807" t="s">
        <v>6297</v>
      </c>
      <c r="B2807" t="s">
        <v>281</v>
      </c>
      <c r="C2807" t="s">
        <v>2428</v>
      </c>
      <c r="D2807" t="s">
        <v>9527</v>
      </c>
      <c r="E2807">
        <v>30</v>
      </c>
      <c r="F2807" t="s">
        <v>2065</v>
      </c>
      <c r="G2807" t="s">
        <v>69</v>
      </c>
      <c r="I2807" s="1" t="d">
        <v>2013-09-23</v>
      </c>
      <c r="J2807" t="s">
        <v>1081</v>
      </c>
      <c r="K2807" s="17" t="s">
        <v>71</v>
      </c>
      <c r="L2807">
        <v>4</v>
      </c>
    </row>
    <row r="2808" spans="1:12" x14ac:dyDescent="0.25">
      <c r="A2808" t="s">
        <v>6298</v>
      </c>
      <c r="B2808" t="s">
        <v>566</v>
      </c>
      <c r="C2808" t="s">
        <v>6299</v>
      </c>
      <c r="D2808" t="s">
        <v>9527</v>
      </c>
      <c r="E2808">
        <v>29</v>
      </c>
      <c r="F2808" t="s">
        <v>522</v>
      </c>
      <c r="G2808" t="s">
        <v>458</v>
      </c>
      <c r="I2808" s="1" t="d">
        <v>2022-01-06</v>
      </c>
      <c r="J2808" t="s">
        <v>5054</v>
      </c>
      <c r="K2808" s="17" t="s">
        <v>34</v>
      </c>
      <c r="L2808">
        <v>5</v>
      </c>
    </row>
    <row r="2809" spans="1:12" x14ac:dyDescent="0.25">
      <c r="A2809" t="s">
        <v>6300</v>
      </c>
      <c r="B2809" t="s">
        <v>203</v>
      </c>
      <c r="C2809" t="s">
        <v>195</v>
      </c>
      <c r="D2809" t="s">
        <v>23</v>
      </c>
      <c r="E2809">
        <v>28</v>
      </c>
      <c r="F2809" t="s">
        <v>122</v>
      </c>
      <c r="G2809" t="s">
        <v>141</v>
      </c>
      <c r="H2809" s="2">
        <v>62988</v>
      </c>
      <c r="I2809" s="1" t="d">
        <v>2007-06-04</v>
      </c>
      <c r="J2809" t="s">
        <v>3045</v>
      </c>
      <c r="K2809" s="17" t="s">
        <v>19</v>
      </c>
      <c r="L2809">
        <v>1</v>
      </c>
    </row>
    <row r="2810" spans="1:12" x14ac:dyDescent="0.25">
      <c r="A2810" t="s">
        <v>6301</v>
      </c>
      <c r="B2810" t="s">
        <v>66</v>
      </c>
      <c r="C2810" t="s">
        <v>1622</v>
      </c>
      <c r="D2810" t="s">
        <v>46</v>
      </c>
      <c r="E2810">
        <v>30</v>
      </c>
      <c r="G2810" t="s">
        <v>16</v>
      </c>
      <c r="H2810">
        <v>-143173</v>
      </c>
      <c r="I2810" s="1" t="d">
        <v>2013-03-16</v>
      </c>
      <c r="J2810" t="s">
        <v>232</v>
      </c>
      <c r="K2810" s="17" t="s">
        <v>90</v>
      </c>
      <c r="L2810">
        <v>3</v>
      </c>
    </row>
    <row r="2811" spans="1:12" x14ac:dyDescent="0.25">
      <c r="A2811" t="s">
        <v>6302</v>
      </c>
      <c r="B2811" t="s">
        <v>548</v>
      </c>
      <c r="C2811" t="s">
        <v>699</v>
      </c>
      <c r="D2811" t="s">
        <v>46</v>
      </c>
      <c r="E2811">
        <v>45</v>
      </c>
      <c r="F2811" t="s">
        <v>720</v>
      </c>
      <c r="G2811" t="s">
        <v>88</v>
      </c>
      <c r="H2811" t="s">
        <v>6303</v>
      </c>
      <c r="I2811" s="1" t="d">
        <v>2005-12-20</v>
      </c>
      <c r="J2811" t="s">
        <v>3880</v>
      </c>
      <c r="K2811" s="17" t="s">
        <v>90</v>
      </c>
      <c r="L2811">
        <v>3</v>
      </c>
    </row>
    <row r="2812" spans="1:12" x14ac:dyDescent="0.25">
      <c r="A2812" t="s">
        <v>6304</v>
      </c>
      <c r="B2812" t="s">
        <v>906</v>
      </c>
      <c r="C2812" t="s">
        <v>1055</v>
      </c>
      <c r="D2812" t="s">
        <v>9527</v>
      </c>
      <c r="E2812">
        <v>53</v>
      </c>
      <c r="F2812" t="s">
        <v>114</v>
      </c>
      <c r="G2812" t="s">
        <v>39</v>
      </c>
      <c r="H2812" t="s">
        <v>6305</v>
      </c>
      <c r="I2812" s="1" t="d">
        <v>2011-05-15</v>
      </c>
      <c r="J2812" t="s">
        <v>3379</v>
      </c>
      <c r="K2812" s="17" t="s">
        <v>42</v>
      </c>
      <c r="L2812">
        <v>2</v>
      </c>
    </row>
    <row r="2813" spans="1:12" x14ac:dyDescent="0.25">
      <c r="A2813" t="s">
        <v>5499</v>
      </c>
      <c r="B2813" t="s">
        <v>659</v>
      </c>
      <c r="C2813" t="s">
        <v>1494</v>
      </c>
      <c r="D2813" t="s">
        <v>9527</v>
      </c>
      <c r="E2813">
        <v>30</v>
      </c>
      <c r="G2813" t="s">
        <v>82</v>
      </c>
      <c r="H2813" s="2">
        <v>96578</v>
      </c>
      <c r="I2813" s="1" t="d">
        <v>2024-05-10</v>
      </c>
      <c r="J2813" t="s">
        <v>5024</v>
      </c>
      <c r="K2813" s="17" t="s">
        <v>71</v>
      </c>
      <c r="L2813">
        <v>3</v>
      </c>
    </row>
    <row r="2814" spans="1:12" x14ac:dyDescent="0.25">
      <c r="A2814" t="s">
        <v>705</v>
      </c>
      <c r="B2814" t="s">
        <v>906</v>
      </c>
      <c r="C2814" t="s">
        <v>252</v>
      </c>
      <c r="D2814" t="s">
        <v>9527</v>
      </c>
      <c r="E2814">
        <v>43</v>
      </c>
      <c r="F2814" t="s">
        <v>1785</v>
      </c>
      <c r="G2814" t="s">
        <v>88</v>
      </c>
      <c r="H2814" t="s">
        <v>6306</v>
      </c>
      <c r="I2814" s="1" t="d">
        <v>2020-10-03</v>
      </c>
      <c r="J2814" t="s">
        <v>707</v>
      </c>
      <c r="K2814" s="17" t="s">
        <v>100</v>
      </c>
      <c r="L2814">
        <v>4</v>
      </c>
    </row>
    <row r="2815" spans="1:12" x14ac:dyDescent="0.25">
      <c r="A2815" t="s">
        <v>6307</v>
      </c>
      <c r="B2815" t="s">
        <v>199</v>
      </c>
      <c r="C2815" t="s">
        <v>93</v>
      </c>
      <c r="D2815" t="s">
        <v>46</v>
      </c>
      <c r="E2815">
        <v>55</v>
      </c>
      <c r="F2815" t="s">
        <v>2065</v>
      </c>
      <c r="G2815" t="s">
        <v>288</v>
      </c>
      <c r="H2815" t="s">
        <v>6308</v>
      </c>
      <c r="I2815" s="1" t="d">
        <v>2021-07-28</v>
      </c>
      <c r="J2815" t="s">
        <v>1655</v>
      </c>
      <c r="K2815" s="17" t="s">
        <v>100</v>
      </c>
      <c r="L2815">
        <v>5</v>
      </c>
    </row>
    <row r="2816" spans="1:12" x14ac:dyDescent="0.25">
      <c r="A2816" t="s">
        <v>6309</v>
      </c>
      <c r="B2816" t="s">
        <v>360</v>
      </c>
      <c r="C2816" t="s">
        <v>790</v>
      </c>
      <c r="D2816" t="s">
        <v>23</v>
      </c>
      <c r="E2816">
        <v>29</v>
      </c>
      <c r="F2816" t="s">
        <v>422</v>
      </c>
      <c r="G2816" t="s">
        <v>337</v>
      </c>
      <c r="H2816" s="2">
        <v>68981</v>
      </c>
      <c r="I2816" s="1" t="d">
        <v>2023-03-16</v>
      </c>
      <c r="J2816" t="s">
        <v>4108</v>
      </c>
      <c r="K2816" s="17" t="s">
        <v>207</v>
      </c>
      <c r="L2816">
        <v>2</v>
      </c>
    </row>
    <row r="2817" spans="1:12" x14ac:dyDescent="0.25">
      <c r="A2817" t="s">
        <v>6310</v>
      </c>
      <c r="B2817" t="s">
        <v>37</v>
      </c>
      <c r="C2817" t="s">
        <v>552</v>
      </c>
      <c r="D2817" t="s">
        <v>46</v>
      </c>
      <c r="E2817">
        <v>29</v>
      </c>
      <c r="F2817" t="s">
        <v>31</v>
      </c>
      <c r="G2817" t="s">
        <v>82</v>
      </c>
      <c r="H2817" t="s">
        <v>6311</v>
      </c>
      <c r="I2817" s="1" t="d">
        <v>2010-06-03</v>
      </c>
      <c r="J2817" t="s">
        <v>1789</v>
      </c>
      <c r="K2817" s="17" t="s">
        <v>100</v>
      </c>
      <c r="L2817">
        <v>5</v>
      </c>
    </row>
    <row r="2818" spans="1:12" x14ac:dyDescent="0.25">
      <c r="A2818" t="s">
        <v>6312</v>
      </c>
      <c r="B2818" t="s">
        <v>945</v>
      </c>
      <c r="C2818" t="s">
        <v>318</v>
      </c>
      <c r="D2818" t="s">
        <v>23</v>
      </c>
      <c r="E2818">
        <v>26</v>
      </c>
      <c r="F2818" t="s">
        <v>269</v>
      </c>
      <c r="G2818" t="s">
        <v>1121</v>
      </c>
      <c r="H2818" t="s">
        <v>6313</v>
      </c>
      <c r="I2818" s="1" t="d">
        <v>2018-12-17</v>
      </c>
      <c r="J2818" t="s">
        <v>1944</v>
      </c>
      <c r="K2818" s="17" t="s">
        <v>50</v>
      </c>
      <c r="L2818">
        <v>4</v>
      </c>
    </row>
    <row r="2819" spans="1:12" x14ac:dyDescent="0.25">
      <c r="A2819" t="s">
        <v>6314</v>
      </c>
      <c r="B2819" t="s">
        <v>2234</v>
      </c>
      <c r="C2819" t="s">
        <v>22</v>
      </c>
      <c r="D2819" t="s">
        <v>23</v>
      </c>
      <c r="E2819">
        <v>53</v>
      </c>
      <c r="F2819" t="s">
        <v>1195</v>
      </c>
      <c r="G2819" t="s">
        <v>231</v>
      </c>
      <c r="H2819">
        <v>65581</v>
      </c>
      <c r="I2819" s="1" t="d">
        <v>2013-04-20</v>
      </c>
      <c r="J2819" t="s">
        <v>1499</v>
      </c>
      <c r="K2819" s="17" t="s">
        <v>149</v>
      </c>
      <c r="L2819">
        <v>4</v>
      </c>
    </row>
    <row r="2820" spans="1:12" x14ac:dyDescent="0.25">
      <c r="A2820" t="s">
        <v>6315</v>
      </c>
      <c r="B2820" t="s">
        <v>507</v>
      </c>
      <c r="C2820" t="s">
        <v>67</v>
      </c>
      <c r="D2820" t="s">
        <v>23</v>
      </c>
      <c r="E2820">
        <v>21</v>
      </c>
      <c r="F2820" t="s">
        <v>559</v>
      </c>
      <c r="G2820" t="s">
        <v>82</v>
      </c>
      <c r="H2820" t="s">
        <v>6316</v>
      </c>
      <c r="J2820" t="s">
        <v>6317</v>
      </c>
      <c r="K2820" s="17" t="s">
        <v>50</v>
      </c>
      <c r="L2820">
        <v>4</v>
      </c>
    </row>
    <row r="2821" spans="1:12" x14ac:dyDescent="0.25">
      <c r="A2821" t="s">
        <v>6318</v>
      </c>
      <c r="B2821" t="s">
        <v>162</v>
      </c>
      <c r="C2821" t="s">
        <v>631</v>
      </c>
      <c r="D2821" t="s">
        <v>9527</v>
      </c>
      <c r="E2821">
        <v>32</v>
      </c>
      <c r="F2821" t="s">
        <v>264</v>
      </c>
      <c r="G2821" t="s">
        <v>16</v>
      </c>
      <c r="H2821" t="s">
        <v>6319</v>
      </c>
      <c r="I2821" s="1" t="d">
        <v>2007-05-01</v>
      </c>
      <c r="J2821" t="s">
        <v>3059</v>
      </c>
      <c r="K2821" s="17" t="s">
        <v>207</v>
      </c>
      <c r="L2821">
        <v>4</v>
      </c>
    </row>
    <row r="2822" spans="1:12" x14ac:dyDescent="0.25">
      <c r="A2822" t="s">
        <v>6320</v>
      </c>
      <c r="B2822" t="s">
        <v>630</v>
      </c>
      <c r="C2822" t="s">
        <v>1039</v>
      </c>
      <c r="D2822" t="s">
        <v>9527</v>
      </c>
      <c r="E2822">
        <v>29</v>
      </c>
      <c r="F2822" t="s">
        <v>356</v>
      </c>
      <c r="G2822" t="s">
        <v>177</v>
      </c>
      <c r="I2822" s="1" t="d">
        <v>2006-05-05</v>
      </c>
      <c r="J2822" t="s">
        <v>6321</v>
      </c>
      <c r="K2822" s="17" t="s">
        <v>50</v>
      </c>
      <c r="L2822">
        <v>4</v>
      </c>
    </row>
    <row r="2823" spans="1:12" x14ac:dyDescent="0.25">
      <c r="A2823" t="s">
        <v>6322</v>
      </c>
      <c r="B2823" t="s">
        <v>6323</v>
      </c>
      <c r="C2823" t="s">
        <v>2023</v>
      </c>
      <c r="D2823" t="s">
        <v>23</v>
      </c>
      <c r="E2823">
        <v>39</v>
      </c>
      <c r="F2823" t="s">
        <v>24</v>
      </c>
      <c r="G2823" t="s">
        <v>48</v>
      </c>
      <c r="H2823" t="s">
        <v>6324</v>
      </c>
      <c r="I2823" s="1" t="d">
        <v>2018-11-04</v>
      </c>
      <c r="J2823" t="s">
        <v>6325</v>
      </c>
      <c r="K2823" s="17" t="s">
        <v>42</v>
      </c>
      <c r="L2823">
        <v>3</v>
      </c>
    </row>
    <row r="2824" spans="1:12" x14ac:dyDescent="0.25">
      <c r="A2824" t="s">
        <v>6326</v>
      </c>
      <c r="B2824" t="s">
        <v>906</v>
      </c>
      <c r="C2824" t="s">
        <v>6327</v>
      </c>
      <c r="D2824" t="s">
        <v>23</v>
      </c>
      <c r="E2824">
        <v>35</v>
      </c>
      <c r="F2824" t="s">
        <v>301</v>
      </c>
      <c r="G2824" t="s">
        <v>170</v>
      </c>
      <c r="H2824" s="2">
        <v>98212</v>
      </c>
      <c r="I2824" s="1" t="d">
        <v>2018-12-27</v>
      </c>
      <c r="J2824" t="s">
        <v>3379</v>
      </c>
      <c r="K2824" s="17" t="s">
        <v>118</v>
      </c>
      <c r="L2824">
        <v>3</v>
      </c>
    </row>
    <row r="2825" spans="1:12" x14ac:dyDescent="0.25">
      <c r="A2825" t="s">
        <v>6328</v>
      </c>
      <c r="B2825" t="s">
        <v>1769</v>
      </c>
      <c r="C2825" t="s">
        <v>665</v>
      </c>
      <c r="D2825" t="s">
        <v>9527</v>
      </c>
      <c r="E2825">
        <v>49</v>
      </c>
      <c r="F2825" t="s">
        <v>787</v>
      </c>
      <c r="G2825" t="s">
        <v>115</v>
      </c>
      <c r="I2825" s="1" t="d">
        <v>2009-09-18</v>
      </c>
      <c r="J2825" t="s">
        <v>2841</v>
      </c>
      <c r="K2825" s="17" t="s">
        <v>71</v>
      </c>
      <c r="L2825">
        <v>3</v>
      </c>
    </row>
    <row r="2826" spans="1:12" x14ac:dyDescent="0.25">
      <c r="A2826" t="s">
        <v>6329</v>
      </c>
      <c r="B2826" t="s">
        <v>228</v>
      </c>
      <c r="C2826" t="s">
        <v>53</v>
      </c>
      <c r="D2826" t="s">
        <v>46</v>
      </c>
      <c r="E2826">
        <v>32</v>
      </c>
      <c r="F2826" t="s">
        <v>153</v>
      </c>
      <c r="G2826" t="s">
        <v>39</v>
      </c>
      <c r="H2826" t="s">
        <v>6330</v>
      </c>
      <c r="I2826" s="1" t="d">
        <v>2007-09-06</v>
      </c>
      <c r="J2826" t="s">
        <v>57</v>
      </c>
      <c r="K2826" s="17" t="s">
        <v>184</v>
      </c>
      <c r="L2826">
        <v>4</v>
      </c>
    </row>
    <row r="2827" spans="1:12" x14ac:dyDescent="0.25">
      <c r="A2827" t="s">
        <v>6331</v>
      </c>
      <c r="B2827" t="s">
        <v>1706</v>
      </c>
      <c r="C2827" t="s">
        <v>158</v>
      </c>
      <c r="D2827" t="s">
        <v>9527</v>
      </c>
      <c r="E2827">
        <v>41</v>
      </c>
      <c r="F2827" t="s">
        <v>54</v>
      </c>
      <c r="G2827" t="s">
        <v>212</v>
      </c>
      <c r="H2827" t="s">
        <v>6332</v>
      </c>
      <c r="I2827" s="1" t="d">
        <v>2007-09-28</v>
      </c>
      <c r="J2827" t="s">
        <v>6003</v>
      </c>
      <c r="K2827" s="17" t="s">
        <v>71</v>
      </c>
      <c r="L2827">
        <v>4</v>
      </c>
    </row>
    <row r="2828" spans="1:12" x14ac:dyDescent="0.25">
      <c r="A2828" t="s">
        <v>6333</v>
      </c>
      <c r="B2828" t="s">
        <v>945</v>
      </c>
      <c r="C2828" t="s">
        <v>53</v>
      </c>
      <c r="D2828" t="s">
        <v>46</v>
      </c>
      <c r="E2828">
        <v>36</v>
      </c>
      <c r="F2828" t="s">
        <v>104</v>
      </c>
      <c r="G2828" t="s">
        <v>109</v>
      </c>
      <c r="H2828">
        <v>78102</v>
      </c>
      <c r="I2828" s="1" t="d">
        <v>2017-05-30</v>
      </c>
      <c r="J2828" t="s">
        <v>744</v>
      </c>
      <c r="K2828" s="17" t="s">
        <v>19</v>
      </c>
      <c r="L2828">
        <v>3</v>
      </c>
    </row>
    <row r="2829" spans="1:12" x14ac:dyDescent="0.25">
      <c r="A2829" t="s">
        <v>6334</v>
      </c>
      <c r="B2829" t="s">
        <v>315</v>
      </c>
      <c r="C2829" t="s">
        <v>710</v>
      </c>
      <c r="D2829" t="s">
        <v>9527</v>
      </c>
      <c r="E2829">
        <v>32</v>
      </c>
      <c r="F2829" t="s">
        <v>411</v>
      </c>
      <c r="G2829" t="s">
        <v>48</v>
      </c>
      <c r="H2829" s="2">
        <v>42240</v>
      </c>
      <c r="I2829" s="1" t="d">
        <v>2024-11-28</v>
      </c>
      <c r="J2829" t="s">
        <v>2862</v>
      </c>
      <c r="K2829" s="17" t="s">
        <v>100</v>
      </c>
      <c r="L2829">
        <v>5</v>
      </c>
    </row>
    <row r="2830" spans="1:12" x14ac:dyDescent="0.25">
      <c r="A2830" t="s">
        <v>6335</v>
      </c>
      <c r="B2830" t="s">
        <v>931</v>
      </c>
      <c r="C2830" t="s">
        <v>1442</v>
      </c>
      <c r="D2830" t="s">
        <v>9527</v>
      </c>
      <c r="E2830">
        <v>29</v>
      </c>
      <c r="F2830" t="s">
        <v>918</v>
      </c>
      <c r="G2830" t="s">
        <v>69</v>
      </c>
      <c r="H2830">
        <v>95122</v>
      </c>
      <c r="I2830" s="1" t="d">
        <v>2010-07-03</v>
      </c>
      <c r="J2830" t="s">
        <v>5360</v>
      </c>
      <c r="K2830" s="17" t="s">
        <v>42</v>
      </c>
      <c r="L2830">
        <v>3</v>
      </c>
    </row>
    <row r="2831" spans="1:12" x14ac:dyDescent="0.25">
      <c r="A2831" t="s">
        <v>6336</v>
      </c>
      <c r="B2831" t="s">
        <v>750</v>
      </c>
      <c r="C2831" t="s">
        <v>624</v>
      </c>
      <c r="D2831" t="s">
        <v>46</v>
      </c>
      <c r="E2831">
        <v>41</v>
      </c>
      <c r="G2831" t="s">
        <v>159</v>
      </c>
      <c r="H2831" s="2">
        <v>56994</v>
      </c>
      <c r="I2831" s="1" t="d">
        <v>2009-03-29</v>
      </c>
      <c r="J2831" t="s">
        <v>6337</v>
      </c>
      <c r="K2831" s="17" t="s">
        <v>58</v>
      </c>
      <c r="L2831">
        <v>4</v>
      </c>
    </row>
    <row r="2832" spans="1:12" x14ac:dyDescent="0.25">
      <c r="A2832" t="s">
        <v>6338</v>
      </c>
      <c r="B2832" t="s">
        <v>728</v>
      </c>
      <c r="C2832" t="s">
        <v>988</v>
      </c>
      <c r="D2832" t="s">
        <v>46</v>
      </c>
      <c r="E2832">
        <v>42</v>
      </c>
      <c r="F2832" t="s">
        <v>75</v>
      </c>
      <c r="G2832" t="s">
        <v>109</v>
      </c>
      <c r="H2832">
        <v>81281</v>
      </c>
      <c r="I2832" s="1" t="d">
        <v>2007-06-14</v>
      </c>
      <c r="J2832" t="s">
        <v>3989</v>
      </c>
      <c r="K2832" s="17" t="s">
        <v>100</v>
      </c>
      <c r="L2832">
        <v>2</v>
      </c>
    </row>
    <row r="2833" spans="1:12" x14ac:dyDescent="0.25">
      <c r="A2833" t="s">
        <v>6339</v>
      </c>
      <c r="B2833" t="s">
        <v>37</v>
      </c>
      <c r="C2833" t="s">
        <v>631</v>
      </c>
      <c r="D2833" t="s">
        <v>23</v>
      </c>
      <c r="E2833">
        <v>46</v>
      </c>
      <c r="F2833" t="s">
        <v>422</v>
      </c>
      <c r="G2833" t="s">
        <v>69</v>
      </c>
      <c r="H2833" t="s">
        <v>6340</v>
      </c>
      <c r="I2833" s="1" t="d">
        <v>2017-12-07</v>
      </c>
      <c r="J2833" t="s">
        <v>2995</v>
      </c>
      <c r="K2833" s="17" t="s">
        <v>118</v>
      </c>
      <c r="L2833">
        <v>4</v>
      </c>
    </row>
    <row r="2834" spans="1:12" x14ac:dyDescent="0.25">
      <c r="A2834" t="s">
        <v>6341</v>
      </c>
      <c r="B2834" t="s">
        <v>144</v>
      </c>
      <c r="C2834" t="s">
        <v>2428</v>
      </c>
      <c r="D2834" t="s">
        <v>23</v>
      </c>
      <c r="E2834">
        <v>29</v>
      </c>
      <c r="F2834" t="s">
        <v>253</v>
      </c>
      <c r="G2834" t="s">
        <v>177</v>
      </c>
      <c r="I2834" s="1" t="d">
        <v>2006-06-28</v>
      </c>
      <c r="J2834" t="s">
        <v>6342</v>
      </c>
      <c r="K2834" s="17" t="s">
        <v>207</v>
      </c>
      <c r="L2834">
        <v>3</v>
      </c>
    </row>
    <row r="2835" spans="1:12" x14ac:dyDescent="0.25">
      <c r="A2835" t="s">
        <v>6343</v>
      </c>
      <c r="B2835" t="s">
        <v>37</v>
      </c>
      <c r="C2835" t="s">
        <v>390</v>
      </c>
      <c r="D2835" t="s">
        <v>23</v>
      </c>
      <c r="E2835">
        <v>42</v>
      </c>
      <c r="F2835" t="s">
        <v>190</v>
      </c>
      <c r="G2835" t="s">
        <v>170</v>
      </c>
      <c r="H2835" t="s">
        <v>6344</v>
      </c>
      <c r="I2835" s="1" t="d">
        <v>2016-06-19</v>
      </c>
      <c r="J2835" t="s">
        <v>3482</v>
      </c>
      <c r="K2835" s="17" t="s">
        <v>118</v>
      </c>
      <c r="L2835">
        <v>4</v>
      </c>
    </row>
    <row r="2836" spans="1:12" x14ac:dyDescent="0.25">
      <c r="A2836" t="s">
        <v>6345</v>
      </c>
      <c r="B2836" t="s">
        <v>520</v>
      </c>
      <c r="C2836" t="s">
        <v>121</v>
      </c>
      <c r="D2836" t="s">
        <v>23</v>
      </c>
      <c r="E2836">
        <v>34</v>
      </c>
      <c r="F2836" t="s">
        <v>559</v>
      </c>
      <c r="G2836" t="s">
        <v>217</v>
      </c>
      <c r="H2836" t="s">
        <v>6346</v>
      </c>
      <c r="I2836" s="1" t="d">
        <v>2007-05-11</v>
      </c>
      <c r="J2836" t="s">
        <v>541</v>
      </c>
      <c r="K2836" s="17" t="s">
        <v>71</v>
      </c>
      <c r="L2836">
        <v>4</v>
      </c>
    </row>
    <row r="2837" spans="1:12" x14ac:dyDescent="0.25">
      <c r="A2837" t="s">
        <v>6347</v>
      </c>
      <c r="B2837" t="s">
        <v>404</v>
      </c>
      <c r="C2837" t="s">
        <v>516</v>
      </c>
      <c r="D2837" t="s">
        <v>23</v>
      </c>
      <c r="E2837">
        <v>38</v>
      </c>
      <c r="F2837" t="s">
        <v>62</v>
      </c>
      <c r="G2837" t="s">
        <v>159</v>
      </c>
      <c r="H2837" t="s">
        <v>6348</v>
      </c>
      <c r="I2837" s="1" t="d">
        <v>2019-07-19</v>
      </c>
      <c r="J2837" t="s">
        <v>408</v>
      </c>
      <c r="K2837" s="17" t="s">
        <v>370</v>
      </c>
      <c r="L2837">
        <v>2</v>
      </c>
    </row>
    <row r="2838" spans="1:12" x14ac:dyDescent="0.25">
      <c r="A2838" t="s">
        <v>6349</v>
      </c>
      <c r="B2838" t="s">
        <v>174</v>
      </c>
      <c r="C2838" t="s">
        <v>552</v>
      </c>
      <c r="D2838" t="s">
        <v>9527</v>
      </c>
      <c r="E2838">
        <v>23</v>
      </c>
      <c r="F2838" t="s">
        <v>75</v>
      </c>
      <c r="G2838" t="s">
        <v>191</v>
      </c>
      <c r="H2838" t="s">
        <v>6350</v>
      </c>
      <c r="I2838" s="1" t="d">
        <v>2009-06-24</v>
      </c>
      <c r="J2838" t="s">
        <v>5324</v>
      </c>
      <c r="K2838" s="17" t="s">
        <v>42</v>
      </c>
      <c r="L2838">
        <v>4</v>
      </c>
    </row>
    <row r="2839" spans="1:12" x14ac:dyDescent="0.25">
      <c r="A2839" t="s">
        <v>6351</v>
      </c>
      <c r="B2839" t="s">
        <v>404</v>
      </c>
      <c r="C2839" t="s">
        <v>552</v>
      </c>
      <c r="D2839" t="s">
        <v>46</v>
      </c>
      <c r="E2839">
        <v>41</v>
      </c>
      <c r="G2839" t="s">
        <v>39</v>
      </c>
      <c r="H2839">
        <v>90906</v>
      </c>
      <c r="I2839" s="1" t="d">
        <v>2006-07-13</v>
      </c>
      <c r="J2839" t="s">
        <v>2666</v>
      </c>
      <c r="K2839" s="17" t="s">
        <v>19</v>
      </c>
      <c r="L2839">
        <v>3</v>
      </c>
    </row>
    <row r="2840" spans="1:12" x14ac:dyDescent="0.25">
      <c r="A2840" t="s">
        <v>6352</v>
      </c>
      <c r="B2840" t="s">
        <v>773</v>
      </c>
      <c r="C2840" t="s">
        <v>790</v>
      </c>
      <c r="D2840" t="s">
        <v>23</v>
      </c>
      <c r="E2840">
        <v>52</v>
      </c>
      <c r="F2840" t="s">
        <v>245</v>
      </c>
      <c r="G2840" t="s">
        <v>48</v>
      </c>
      <c r="H2840">
        <v>55399</v>
      </c>
      <c r="J2840" t="s">
        <v>2325</v>
      </c>
      <c r="K2840" s="17" t="s">
        <v>71</v>
      </c>
      <c r="L2840">
        <v>4</v>
      </c>
    </row>
    <row r="2841" spans="1:12" x14ac:dyDescent="0.25">
      <c r="A2841" t="s">
        <v>6353</v>
      </c>
      <c r="B2841" t="s">
        <v>2041</v>
      </c>
      <c r="C2841" t="s">
        <v>851</v>
      </c>
      <c r="D2841" t="s">
        <v>9527</v>
      </c>
      <c r="E2841">
        <v>33</v>
      </c>
      <c r="F2841" t="s">
        <v>245</v>
      </c>
      <c r="G2841" t="s">
        <v>95</v>
      </c>
      <c r="H2841" t="s">
        <v>6354</v>
      </c>
      <c r="I2841" s="1" t="d">
        <v>2007-05-03</v>
      </c>
      <c r="J2841" t="s">
        <v>6355</v>
      </c>
      <c r="K2841" s="17" t="s">
        <v>42</v>
      </c>
      <c r="L2841">
        <v>3</v>
      </c>
    </row>
    <row r="2842" spans="1:12" x14ac:dyDescent="0.25">
      <c r="A2842" t="s">
        <v>6356</v>
      </c>
      <c r="B2842" t="s">
        <v>804</v>
      </c>
      <c r="C2842" t="s">
        <v>158</v>
      </c>
      <c r="D2842" t="s">
        <v>46</v>
      </c>
      <c r="E2842">
        <v>40</v>
      </c>
      <c r="G2842" t="s">
        <v>842</v>
      </c>
      <c r="H2842" t="s">
        <v>6357</v>
      </c>
      <c r="I2842" s="1" t="d">
        <v>2024-07-16</v>
      </c>
      <c r="J2842" t="s">
        <v>616</v>
      </c>
      <c r="K2842" s="17" t="s">
        <v>370</v>
      </c>
      <c r="L2842">
        <v>4</v>
      </c>
    </row>
    <row r="2843" spans="1:12" x14ac:dyDescent="0.25">
      <c r="A2843" t="s">
        <v>6358</v>
      </c>
      <c r="B2843" t="s">
        <v>394</v>
      </c>
      <c r="C2843" t="s">
        <v>36</v>
      </c>
      <c r="D2843" t="s">
        <v>46</v>
      </c>
      <c r="E2843">
        <v>33</v>
      </c>
      <c r="F2843" t="s">
        <v>307</v>
      </c>
      <c r="G2843" t="s">
        <v>1329</v>
      </c>
      <c r="H2843">
        <v>51894</v>
      </c>
      <c r="I2843" s="1" t="d">
        <v>2014-08-07</v>
      </c>
      <c r="J2843" t="s">
        <v>2033</v>
      </c>
      <c r="K2843" s="17" t="s">
        <v>184</v>
      </c>
      <c r="L2843">
        <v>4</v>
      </c>
    </row>
    <row r="2844" spans="1:12" x14ac:dyDescent="0.25">
      <c r="A2844" t="s">
        <v>6359</v>
      </c>
      <c r="B2844" t="s">
        <v>1824</v>
      </c>
      <c r="C2844" t="s">
        <v>291</v>
      </c>
      <c r="D2844" t="s">
        <v>9527</v>
      </c>
      <c r="E2844">
        <v>29</v>
      </c>
      <c r="F2844" t="s">
        <v>62</v>
      </c>
      <c r="G2844" t="s">
        <v>16</v>
      </c>
      <c r="H2844" t="s">
        <v>6360</v>
      </c>
      <c r="I2844" s="1" t="d">
        <v>2020-04-12</v>
      </c>
      <c r="J2844" t="s">
        <v>1208</v>
      </c>
      <c r="K2844" s="17" t="s">
        <v>90</v>
      </c>
      <c r="L2844">
        <v>3</v>
      </c>
    </row>
    <row r="2845" spans="1:12" x14ac:dyDescent="0.25">
      <c r="A2845" t="s">
        <v>6361</v>
      </c>
      <c r="B2845" t="s">
        <v>1096</v>
      </c>
      <c r="C2845" t="s">
        <v>107</v>
      </c>
      <c r="D2845" t="s">
        <v>46</v>
      </c>
      <c r="E2845">
        <v>40</v>
      </c>
      <c r="F2845" t="s">
        <v>68</v>
      </c>
      <c r="G2845" t="s">
        <v>141</v>
      </c>
      <c r="H2845">
        <v>103655</v>
      </c>
      <c r="I2845" s="1" t="d">
        <v>2014-03-05</v>
      </c>
      <c r="J2845" t="s">
        <v>3450</v>
      </c>
      <c r="K2845" s="17" t="s">
        <v>149</v>
      </c>
      <c r="L2845">
        <v>4</v>
      </c>
    </row>
    <row r="2846" spans="1:12" x14ac:dyDescent="0.25">
      <c r="A2846" t="s">
        <v>6362</v>
      </c>
      <c r="B2846" t="s">
        <v>630</v>
      </c>
      <c r="C2846" t="s">
        <v>175</v>
      </c>
      <c r="D2846" t="s">
        <v>23</v>
      </c>
      <c r="E2846">
        <v>43</v>
      </c>
      <c r="F2846" t="s">
        <v>589</v>
      </c>
      <c r="G2846" t="s">
        <v>182</v>
      </c>
      <c r="H2846" t="s">
        <v>6363</v>
      </c>
      <c r="I2846" s="1" t="d">
        <v>2005-07-26</v>
      </c>
      <c r="J2846" t="s">
        <v>1720</v>
      </c>
      <c r="K2846" s="17" t="s">
        <v>370</v>
      </c>
      <c r="L2846">
        <v>3</v>
      </c>
    </row>
    <row r="2847" spans="1:12" x14ac:dyDescent="0.25">
      <c r="A2847" t="s">
        <v>6364</v>
      </c>
      <c r="B2847" t="s">
        <v>993</v>
      </c>
      <c r="C2847" t="s">
        <v>1266</v>
      </c>
      <c r="D2847" t="s">
        <v>46</v>
      </c>
      <c r="E2847">
        <v>31</v>
      </c>
      <c r="F2847" t="s">
        <v>269</v>
      </c>
      <c r="G2847" t="s">
        <v>217</v>
      </c>
      <c r="H2847" t="s">
        <v>6365</v>
      </c>
      <c r="I2847" s="1" t="d">
        <v>2022-08-31</v>
      </c>
      <c r="J2847" t="s">
        <v>3305</v>
      </c>
      <c r="K2847" s="17" t="s">
        <v>42</v>
      </c>
      <c r="L2847">
        <v>5</v>
      </c>
    </row>
    <row r="2848" spans="1:12" x14ac:dyDescent="0.25">
      <c r="A2848" t="s">
        <v>6366</v>
      </c>
      <c r="B2848" t="s">
        <v>340</v>
      </c>
      <c r="C2848" t="s">
        <v>2242</v>
      </c>
      <c r="D2848" t="s">
        <v>23</v>
      </c>
      <c r="E2848">
        <v>67</v>
      </c>
      <c r="F2848" t="s">
        <v>417</v>
      </c>
      <c r="G2848" t="s">
        <v>69</v>
      </c>
      <c r="H2848" t="s">
        <v>6367</v>
      </c>
      <c r="I2848" s="1" t="d">
        <v>2010-08-29</v>
      </c>
      <c r="J2848" t="s">
        <v>597</v>
      </c>
      <c r="K2848" s="17" t="s">
        <v>58</v>
      </c>
      <c r="L2848">
        <v>1</v>
      </c>
    </row>
    <row r="2849" spans="1:12" x14ac:dyDescent="0.25">
      <c r="A2849" t="s">
        <v>6368</v>
      </c>
      <c r="B2849" t="s">
        <v>1784</v>
      </c>
      <c r="C2849" t="s">
        <v>988</v>
      </c>
      <c r="D2849" t="s">
        <v>23</v>
      </c>
      <c r="E2849">
        <v>29</v>
      </c>
      <c r="F2849" t="s">
        <v>108</v>
      </c>
      <c r="G2849" t="s">
        <v>177</v>
      </c>
      <c r="H2849" t="s">
        <v>6369</v>
      </c>
      <c r="I2849" s="1" t="d">
        <v>2009-05-15</v>
      </c>
      <c r="J2849" t="s">
        <v>5890</v>
      </c>
      <c r="K2849" s="17" t="s">
        <v>50</v>
      </c>
      <c r="L2849">
        <v>4</v>
      </c>
    </row>
    <row r="2850" spans="1:12" x14ac:dyDescent="0.25">
      <c r="A2850" t="s">
        <v>6370</v>
      </c>
      <c r="B2850" t="s">
        <v>248</v>
      </c>
      <c r="C2850" t="s">
        <v>395</v>
      </c>
      <c r="D2850" t="s">
        <v>23</v>
      </c>
      <c r="E2850">
        <v>35</v>
      </c>
      <c r="G2850" t="s">
        <v>283</v>
      </c>
      <c r="H2850" t="s">
        <v>6371</v>
      </c>
      <c r="I2850" s="1" t="d">
        <v>2023-09-21</v>
      </c>
      <c r="J2850" t="s">
        <v>2594</v>
      </c>
      <c r="K2850" s="17" t="s">
        <v>370</v>
      </c>
      <c r="L2850">
        <v>4</v>
      </c>
    </row>
    <row r="2851" spans="1:12" x14ac:dyDescent="0.25">
      <c r="A2851" t="s">
        <v>6372</v>
      </c>
      <c r="B2851" t="s">
        <v>162</v>
      </c>
      <c r="C2851" t="s">
        <v>631</v>
      </c>
      <c r="D2851" t="s">
        <v>23</v>
      </c>
      <c r="E2851">
        <v>42</v>
      </c>
      <c r="F2851" t="s">
        <v>319</v>
      </c>
      <c r="G2851" t="s">
        <v>217</v>
      </c>
      <c r="H2851">
        <v>61793</v>
      </c>
      <c r="I2851" s="1" t="d">
        <v>2014-04-09</v>
      </c>
      <c r="J2851" t="s">
        <v>3059</v>
      </c>
      <c r="K2851" s="17" t="s">
        <v>118</v>
      </c>
      <c r="L2851">
        <v>5</v>
      </c>
    </row>
    <row r="2852" spans="1:12" x14ac:dyDescent="0.25">
      <c r="A2852" t="s">
        <v>6373</v>
      </c>
      <c r="B2852" t="s">
        <v>1784</v>
      </c>
      <c r="C2852" t="s">
        <v>521</v>
      </c>
      <c r="D2852" t="s">
        <v>9527</v>
      </c>
      <c r="E2852">
        <v>31</v>
      </c>
      <c r="F2852" t="s">
        <v>122</v>
      </c>
      <c r="G2852" t="s">
        <v>32</v>
      </c>
      <c r="H2852" t="s">
        <v>6374</v>
      </c>
      <c r="I2852" s="1" t="d">
        <v>2009-12-22</v>
      </c>
      <c r="J2852" t="s">
        <v>362</v>
      </c>
      <c r="K2852" s="17" t="s">
        <v>100</v>
      </c>
      <c r="L2852">
        <v>2</v>
      </c>
    </row>
    <row r="2853" spans="1:12" x14ac:dyDescent="0.25">
      <c r="A2853" t="s">
        <v>6375</v>
      </c>
      <c r="B2853" t="s">
        <v>786</v>
      </c>
      <c r="C2853" t="s">
        <v>361</v>
      </c>
      <c r="D2853" t="s">
        <v>46</v>
      </c>
      <c r="E2853">
        <v>39</v>
      </c>
      <c r="F2853" t="s">
        <v>216</v>
      </c>
      <c r="G2853" t="s">
        <v>82</v>
      </c>
      <c r="H2853" s="2">
        <v>54100</v>
      </c>
      <c r="I2853" s="1" t="d">
        <v>2016-08-05</v>
      </c>
      <c r="J2853" t="s">
        <v>333</v>
      </c>
      <c r="K2853" s="17" t="s">
        <v>19</v>
      </c>
      <c r="L2853">
        <v>3</v>
      </c>
    </row>
    <row r="2854" spans="1:12" x14ac:dyDescent="0.25">
      <c r="A2854" t="s">
        <v>6376</v>
      </c>
      <c r="B2854" t="s">
        <v>404</v>
      </c>
      <c r="C2854" t="s">
        <v>6377</v>
      </c>
      <c r="D2854" t="s">
        <v>46</v>
      </c>
      <c r="E2854">
        <v>52</v>
      </c>
      <c r="F2854" t="s">
        <v>264</v>
      </c>
      <c r="G2854" t="s">
        <v>967</v>
      </c>
      <c r="H2854">
        <v>79308</v>
      </c>
      <c r="I2854" s="1" t="d">
        <v>2019-02-04</v>
      </c>
      <c r="J2854" t="s">
        <v>3637</v>
      </c>
      <c r="K2854" s="17" t="s">
        <v>50</v>
      </c>
      <c r="L2854">
        <v>4</v>
      </c>
    </row>
    <row r="2855" spans="1:12" x14ac:dyDescent="0.25">
      <c r="A2855" t="s">
        <v>6378</v>
      </c>
      <c r="B2855" t="s">
        <v>789</v>
      </c>
      <c r="C2855" t="s">
        <v>6379</v>
      </c>
      <c r="D2855" t="s">
        <v>23</v>
      </c>
      <c r="E2855">
        <v>45</v>
      </c>
      <c r="F2855" t="s">
        <v>104</v>
      </c>
      <c r="G2855" t="s">
        <v>115</v>
      </c>
      <c r="I2855" s="1" t="d">
        <v>2013-01-05</v>
      </c>
      <c r="J2855" t="s">
        <v>635</v>
      </c>
      <c r="K2855" s="17" t="s">
        <v>118</v>
      </c>
      <c r="L2855">
        <v>2</v>
      </c>
    </row>
    <row r="2856" spans="1:12" x14ac:dyDescent="0.25">
      <c r="A2856" t="s">
        <v>6380</v>
      </c>
      <c r="B2856" t="s">
        <v>199</v>
      </c>
      <c r="C2856" t="s">
        <v>36</v>
      </c>
      <c r="D2856" t="s">
        <v>9527</v>
      </c>
      <c r="E2856">
        <v>40</v>
      </c>
      <c r="F2856" t="s">
        <v>264</v>
      </c>
      <c r="G2856" t="s">
        <v>182</v>
      </c>
      <c r="H2856" t="s">
        <v>6381</v>
      </c>
      <c r="I2856" s="1" t="d">
        <v>2008-12-13</v>
      </c>
      <c r="J2856" t="s">
        <v>6382</v>
      </c>
      <c r="K2856" s="17" t="s">
        <v>207</v>
      </c>
      <c r="L2856">
        <v>3</v>
      </c>
    </row>
    <row r="2857" spans="1:12" x14ac:dyDescent="0.25">
      <c r="A2857" t="s">
        <v>6383</v>
      </c>
      <c r="B2857" t="s">
        <v>6384</v>
      </c>
      <c r="C2857" t="s">
        <v>1770</v>
      </c>
      <c r="D2857" t="s">
        <v>23</v>
      </c>
      <c r="E2857">
        <v>42</v>
      </c>
      <c r="F2857" t="s">
        <v>522</v>
      </c>
      <c r="G2857" t="s">
        <v>82</v>
      </c>
      <c r="I2857" s="1" t="d">
        <v>2005-07-22</v>
      </c>
      <c r="J2857" t="s">
        <v>5558</v>
      </c>
      <c r="K2857" s="17" t="s">
        <v>90</v>
      </c>
      <c r="L2857">
        <v>4</v>
      </c>
    </row>
    <row r="2858" spans="1:12" x14ac:dyDescent="0.25">
      <c r="A2858" t="s">
        <v>6385</v>
      </c>
      <c r="B2858" t="s">
        <v>144</v>
      </c>
      <c r="C2858" t="s">
        <v>168</v>
      </c>
      <c r="D2858" t="s">
        <v>23</v>
      </c>
      <c r="E2858">
        <v>37</v>
      </c>
      <c r="F2858" t="s">
        <v>365</v>
      </c>
      <c r="G2858" t="s">
        <v>82</v>
      </c>
      <c r="I2858" s="1" t="d">
        <v>2020-10-21</v>
      </c>
      <c r="J2858" t="s">
        <v>1022</v>
      </c>
      <c r="K2858" s="17" t="s">
        <v>90</v>
      </c>
      <c r="L2858">
        <v>5</v>
      </c>
    </row>
    <row r="2859" spans="1:12" x14ac:dyDescent="0.25">
      <c r="A2859" t="s">
        <v>6386</v>
      </c>
      <c r="B2859" t="s">
        <v>812</v>
      </c>
      <c r="C2859" t="s">
        <v>751</v>
      </c>
      <c r="D2859" t="s">
        <v>23</v>
      </c>
      <c r="E2859">
        <v>28</v>
      </c>
      <c r="F2859" t="s">
        <v>350</v>
      </c>
      <c r="G2859" t="s">
        <v>69</v>
      </c>
      <c r="H2859" t="s">
        <v>6387</v>
      </c>
      <c r="I2859" s="1" t="d">
        <v>2012-11-23</v>
      </c>
      <c r="J2859" t="s">
        <v>4951</v>
      </c>
      <c r="K2859" s="17" t="s">
        <v>184</v>
      </c>
      <c r="L2859">
        <v>3</v>
      </c>
    </row>
    <row r="2860" spans="1:12" x14ac:dyDescent="0.25">
      <c r="A2860" t="s">
        <v>6388</v>
      </c>
      <c r="B2860" t="s">
        <v>221</v>
      </c>
      <c r="C2860" t="s">
        <v>453</v>
      </c>
      <c r="D2860" t="s">
        <v>23</v>
      </c>
      <c r="E2860">
        <v>27</v>
      </c>
      <c r="G2860" t="s">
        <v>357</v>
      </c>
      <c r="H2860" t="s">
        <v>6389</v>
      </c>
      <c r="I2860" s="1" t="d">
        <v>2017-09-06</v>
      </c>
      <c r="J2860" t="s">
        <v>722</v>
      </c>
      <c r="K2860" s="17" t="s">
        <v>184</v>
      </c>
      <c r="L2860">
        <v>5</v>
      </c>
    </row>
    <row r="2861" spans="1:12" x14ac:dyDescent="0.25">
      <c r="A2861" t="s">
        <v>6390</v>
      </c>
      <c r="B2861" t="s">
        <v>130</v>
      </c>
      <c r="C2861" t="s">
        <v>6391</v>
      </c>
      <c r="D2861" t="s">
        <v>46</v>
      </c>
      <c r="E2861">
        <v>63</v>
      </c>
      <c r="F2861" t="s">
        <v>264</v>
      </c>
      <c r="G2861" t="s">
        <v>182</v>
      </c>
      <c r="H2861" t="s">
        <v>6392</v>
      </c>
      <c r="I2861" s="1" t="d">
        <v>2012-08-28</v>
      </c>
      <c r="J2861" t="s">
        <v>1676</v>
      </c>
      <c r="K2861" s="17" t="s">
        <v>58</v>
      </c>
      <c r="L2861">
        <v>3</v>
      </c>
    </row>
    <row r="2862" spans="1:12" x14ac:dyDescent="0.25">
      <c r="A2862" t="s">
        <v>6393</v>
      </c>
      <c r="B2862" t="s">
        <v>439</v>
      </c>
      <c r="C2862" t="s">
        <v>37</v>
      </c>
      <c r="D2862" t="s">
        <v>9527</v>
      </c>
      <c r="E2862">
        <v>26</v>
      </c>
      <c r="F2862" t="s">
        <v>211</v>
      </c>
      <c r="G2862" t="s">
        <v>115</v>
      </c>
      <c r="H2862" t="s">
        <v>6394</v>
      </c>
      <c r="I2862" s="1" t="d">
        <v>2022-11-03</v>
      </c>
      <c r="J2862" t="s">
        <v>4603</v>
      </c>
      <c r="K2862" s="17" t="s">
        <v>42</v>
      </c>
      <c r="L2862">
        <v>3</v>
      </c>
    </row>
    <row r="2863" spans="1:12" x14ac:dyDescent="0.25">
      <c r="A2863" t="s">
        <v>5795</v>
      </c>
      <c r="B2863" t="s">
        <v>630</v>
      </c>
      <c r="C2863" t="s">
        <v>1142</v>
      </c>
      <c r="D2863" t="s">
        <v>46</v>
      </c>
      <c r="E2863">
        <v>53</v>
      </c>
      <c r="F2863" t="s">
        <v>200</v>
      </c>
      <c r="G2863" t="s">
        <v>357</v>
      </c>
      <c r="H2863" t="s">
        <v>6395</v>
      </c>
      <c r="I2863" s="1" t="d">
        <v>2014-06-11</v>
      </c>
      <c r="J2863" t="s">
        <v>4418</v>
      </c>
      <c r="K2863" s="17" t="s">
        <v>90</v>
      </c>
      <c r="L2863">
        <v>3</v>
      </c>
    </row>
    <row r="2864" spans="1:12" x14ac:dyDescent="0.25">
      <c r="A2864" t="s">
        <v>6396</v>
      </c>
      <c r="B2864" t="s">
        <v>507</v>
      </c>
      <c r="C2864" t="s">
        <v>2242</v>
      </c>
      <c r="D2864" t="s">
        <v>46</v>
      </c>
      <c r="E2864">
        <v>42</v>
      </c>
      <c r="F2864" t="s">
        <v>576</v>
      </c>
      <c r="G2864" t="s">
        <v>170</v>
      </c>
      <c r="H2864" t="s">
        <v>6397</v>
      </c>
      <c r="I2864" s="1" t="d">
        <v>2008-07-13</v>
      </c>
      <c r="J2864" t="s">
        <v>6398</v>
      </c>
      <c r="K2864" s="17" t="s">
        <v>370</v>
      </c>
      <c r="L2864">
        <v>3</v>
      </c>
    </row>
    <row r="2865" spans="1:12" x14ac:dyDescent="0.25">
      <c r="A2865" t="s">
        <v>6399</v>
      </c>
      <c r="B2865" t="s">
        <v>6400</v>
      </c>
      <c r="C2865" t="s">
        <v>1991</v>
      </c>
      <c r="D2865" t="s">
        <v>46</v>
      </c>
      <c r="E2865">
        <v>35</v>
      </c>
      <c r="F2865" t="s">
        <v>186</v>
      </c>
      <c r="G2865" t="s">
        <v>1719</v>
      </c>
      <c r="H2865" t="s">
        <v>6401</v>
      </c>
      <c r="I2865" s="1" t="d">
        <v>2020-06-08</v>
      </c>
      <c r="J2865" t="s">
        <v>2597</v>
      </c>
      <c r="K2865" s="17" t="s">
        <v>71</v>
      </c>
      <c r="L2865">
        <v>3</v>
      </c>
    </row>
    <row r="2866" spans="1:12" x14ac:dyDescent="0.25">
      <c r="A2866" t="s">
        <v>6402</v>
      </c>
      <c r="B2866" t="s">
        <v>520</v>
      </c>
      <c r="C2866" t="s">
        <v>61</v>
      </c>
      <c r="D2866" t="s">
        <v>9527</v>
      </c>
      <c r="E2866">
        <v>32</v>
      </c>
      <c r="G2866" t="s">
        <v>82</v>
      </c>
      <c r="H2866" t="s">
        <v>6403</v>
      </c>
      <c r="I2866" s="1" t="d">
        <v>2017-10-14</v>
      </c>
      <c r="J2866" t="s">
        <v>4108</v>
      </c>
      <c r="K2866" s="17" t="s">
        <v>149</v>
      </c>
      <c r="L2866">
        <v>3</v>
      </c>
    </row>
    <row r="2867" spans="1:12" x14ac:dyDescent="0.25">
      <c r="A2867" t="s">
        <v>6404</v>
      </c>
      <c r="B2867" t="s">
        <v>1738</v>
      </c>
      <c r="C2867" t="s">
        <v>516</v>
      </c>
      <c r="D2867" t="s">
        <v>23</v>
      </c>
      <c r="E2867">
        <v>47</v>
      </c>
      <c r="F2867" t="s">
        <v>2065</v>
      </c>
      <c r="G2867" t="s">
        <v>39</v>
      </c>
      <c r="I2867" s="1" t="d">
        <v>2011-10-06</v>
      </c>
      <c r="J2867" t="s">
        <v>979</v>
      </c>
      <c r="K2867" s="17" t="s">
        <v>184</v>
      </c>
      <c r="L2867">
        <v>3</v>
      </c>
    </row>
    <row r="2868" spans="1:12" x14ac:dyDescent="0.25">
      <c r="A2868" t="s">
        <v>5931</v>
      </c>
      <c r="B2868" t="s">
        <v>221</v>
      </c>
      <c r="C2868" t="s">
        <v>4565</v>
      </c>
      <c r="D2868" t="s">
        <v>46</v>
      </c>
      <c r="E2868">
        <v>31</v>
      </c>
      <c r="F2868" t="s">
        <v>406</v>
      </c>
      <c r="G2868" t="s">
        <v>1446</v>
      </c>
      <c r="H2868" t="s">
        <v>5932</v>
      </c>
      <c r="I2868" s="1" t="d">
        <v>2012-12-12</v>
      </c>
      <c r="J2868" t="s">
        <v>578</v>
      </c>
      <c r="K2868" s="17" t="s">
        <v>207</v>
      </c>
      <c r="L2868">
        <v>2</v>
      </c>
    </row>
    <row r="2869" spans="1:12" x14ac:dyDescent="0.25">
      <c r="A2869" t="s">
        <v>6405</v>
      </c>
      <c r="B2869" t="s">
        <v>594</v>
      </c>
      <c r="C2869" t="s">
        <v>1668</v>
      </c>
      <c r="D2869" t="s">
        <v>46</v>
      </c>
      <c r="E2869">
        <v>27</v>
      </c>
      <c r="G2869" t="s">
        <v>39</v>
      </c>
      <c r="H2869">
        <v>80285</v>
      </c>
      <c r="I2869" s="1" t="d">
        <v>2012-04-27</v>
      </c>
      <c r="J2869" t="s">
        <v>4241</v>
      </c>
      <c r="K2869" s="17" t="s">
        <v>50</v>
      </c>
      <c r="L2869">
        <v>3</v>
      </c>
    </row>
    <row r="2870" spans="1:12" x14ac:dyDescent="0.25">
      <c r="A2870" t="s">
        <v>6406</v>
      </c>
      <c r="B2870" t="s">
        <v>267</v>
      </c>
      <c r="C2870" t="s">
        <v>599</v>
      </c>
      <c r="D2870" t="s">
        <v>46</v>
      </c>
      <c r="E2870">
        <v>41</v>
      </c>
      <c r="F2870" t="s">
        <v>589</v>
      </c>
      <c r="G2870" t="s">
        <v>1277</v>
      </c>
      <c r="H2870" s="2">
        <v>47327</v>
      </c>
      <c r="I2870" s="1" t="d">
        <v>2013-10-08</v>
      </c>
      <c r="J2870" t="s">
        <v>2675</v>
      </c>
      <c r="K2870" s="17" t="s">
        <v>184</v>
      </c>
      <c r="L2870">
        <v>3</v>
      </c>
    </row>
    <row r="2871" spans="1:12" x14ac:dyDescent="0.25">
      <c r="A2871" t="s">
        <v>6407</v>
      </c>
      <c r="B2871" t="s">
        <v>482</v>
      </c>
      <c r="C2871" t="s">
        <v>1007</v>
      </c>
      <c r="D2871" t="s">
        <v>23</v>
      </c>
      <c r="E2871">
        <v>30</v>
      </c>
      <c r="F2871" t="s">
        <v>522</v>
      </c>
      <c r="G2871" t="s">
        <v>115</v>
      </c>
      <c r="H2871" s="2">
        <v>96386</v>
      </c>
      <c r="I2871" s="1" t="d">
        <v>2007-12-20</v>
      </c>
      <c r="J2871" t="s">
        <v>2138</v>
      </c>
      <c r="K2871" s="17" t="s">
        <v>207</v>
      </c>
      <c r="L2871">
        <v>2</v>
      </c>
    </row>
    <row r="2872" spans="1:12" x14ac:dyDescent="0.25">
      <c r="A2872" t="s">
        <v>609</v>
      </c>
      <c r="B2872" t="s">
        <v>610</v>
      </c>
      <c r="C2872" t="s">
        <v>252</v>
      </c>
      <c r="D2872" t="s">
        <v>9527</v>
      </c>
      <c r="E2872">
        <v>21</v>
      </c>
      <c r="F2872" t="s">
        <v>350</v>
      </c>
      <c r="G2872" t="s">
        <v>48</v>
      </c>
      <c r="H2872" s="2">
        <v>55331</v>
      </c>
      <c r="I2872" s="1" t="d">
        <v>2016-10-18</v>
      </c>
      <c r="J2872" t="s">
        <v>611</v>
      </c>
      <c r="K2872" s="17" t="s">
        <v>100</v>
      </c>
      <c r="L2872">
        <v>4</v>
      </c>
    </row>
    <row r="2873" spans="1:12" x14ac:dyDescent="0.25">
      <c r="A2873" t="s">
        <v>6408</v>
      </c>
      <c r="B2873" t="s">
        <v>862</v>
      </c>
      <c r="C2873" t="s">
        <v>552</v>
      </c>
      <c r="D2873" t="s">
        <v>9527</v>
      </c>
      <c r="E2873">
        <v>41</v>
      </c>
      <c r="F2873" t="s">
        <v>319</v>
      </c>
      <c r="G2873" t="s">
        <v>1277</v>
      </c>
      <c r="H2873" s="2">
        <v>45065</v>
      </c>
      <c r="I2873" s="1" t="d">
        <v>2016-12-10</v>
      </c>
      <c r="J2873" t="s">
        <v>5707</v>
      </c>
      <c r="K2873" s="17" t="s">
        <v>149</v>
      </c>
      <c r="L2873">
        <v>3</v>
      </c>
    </row>
    <row r="2874" spans="1:12" x14ac:dyDescent="0.25">
      <c r="A2874" t="s">
        <v>6409</v>
      </c>
      <c r="B2874" t="s">
        <v>323</v>
      </c>
      <c r="C2874" t="s">
        <v>195</v>
      </c>
      <c r="D2874" t="s">
        <v>9527</v>
      </c>
      <c r="E2874">
        <v>28</v>
      </c>
      <c r="F2874" t="s">
        <v>918</v>
      </c>
      <c r="G2874" t="s">
        <v>6410</v>
      </c>
      <c r="H2874" t="s">
        <v>6411</v>
      </c>
      <c r="I2874" s="1" t="d">
        <v>2020-03-19</v>
      </c>
      <c r="J2874" t="s">
        <v>543</v>
      </c>
      <c r="K2874" s="17" t="s">
        <v>34</v>
      </c>
      <c r="L2874">
        <v>2</v>
      </c>
    </row>
    <row r="2875" spans="1:12" x14ac:dyDescent="0.25">
      <c r="A2875" t="s">
        <v>6412</v>
      </c>
      <c r="B2875" t="s">
        <v>2697</v>
      </c>
      <c r="C2875" t="s">
        <v>1069</v>
      </c>
      <c r="D2875" t="s">
        <v>46</v>
      </c>
      <c r="E2875">
        <v>41</v>
      </c>
      <c r="F2875" t="s">
        <v>62</v>
      </c>
      <c r="G2875" t="s">
        <v>82</v>
      </c>
      <c r="H2875" t="s">
        <v>6413</v>
      </c>
      <c r="I2875" s="1" t="d">
        <v>2005-05-09</v>
      </c>
      <c r="J2875" t="s">
        <v>657</v>
      </c>
      <c r="K2875" s="17" t="s">
        <v>184</v>
      </c>
      <c r="L2875">
        <v>4</v>
      </c>
    </row>
    <row r="2876" spans="1:12" x14ac:dyDescent="0.25">
      <c r="A2876" t="s">
        <v>6414</v>
      </c>
      <c r="B2876" t="s">
        <v>2697</v>
      </c>
      <c r="C2876" t="s">
        <v>453</v>
      </c>
      <c r="D2876" t="s">
        <v>46</v>
      </c>
      <c r="E2876">
        <v>27</v>
      </c>
      <c r="F2876" t="s">
        <v>319</v>
      </c>
      <c r="G2876" t="s">
        <v>55</v>
      </c>
      <c r="H2876">
        <v>48036</v>
      </c>
      <c r="I2876" s="1" t="d">
        <v>2017-03-13</v>
      </c>
      <c r="J2876" t="s">
        <v>2698</v>
      </c>
      <c r="K2876" s="17" t="s">
        <v>90</v>
      </c>
      <c r="L2876">
        <v>4</v>
      </c>
    </row>
    <row r="2877" spans="1:12" x14ac:dyDescent="0.25">
      <c r="A2877" t="s">
        <v>6415</v>
      </c>
      <c r="B2877" t="s">
        <v>583</v>
      </c>
      <c r="C2877" t="s">
        <v>869</v>
      </c>
      <c r="D2877" t="s">
        <v>9527</v>
      </c>
      <c r="E2877">
        <v>48</v>
      </c>
      <c r="F2877" t="s">
        <v>532</v>
      </c>
      <c r="G2877" t="s">
        <v>632</v>
      </c>
      <c r="H2877" t="s">
        <v>6416</v>
      </c>
      <c r="I2877" s="1" t="d">
        <v>2024-02-28</v>
      </c>
      <c r="J2877" t="s">
        <v>6417</v>
      </c>
      <c r="K2877" s="17" t="s">
        <v>118</v>
      </c>
      <c r="L2877">
        <v>3</v>
      </c>
    </row>
    <row r="2878" spans="1:12" x14ac:dyDescent="0.25">
      <c r="A2878" t="s">
        <v>6418</v>
      </c>
      <c r="B2878" t="s">
        <v>515</v>
      </c>
      <c r="C2878" t="s">
        <v>377</v>
      </c>
      <c r="D2878" t="s">
        <v>9527</v>
      </c>
      <c r="E2878">
        <v>45</v>
      </c>
      <c r="F2878" t="s">
        <v>365</v>
      </c>
      <c r="G2878" t="s">
        <v>212</v>
      </c>
      <c r="I2878" s="1" t="d">
        <v>2014-10-19</v>
      </c>
      <c r="J2878" t="s">
        <v>733</v>
      </c>
      <c r="K2878" s="17" t="s">
        <v>370</v>
      </c>
      <c r="L2878">
        <v>5</v>
      </c>
    </row>
    <row r="2879" spans="1:12" x14ac:dyDescent="0.25">
      <c r="A2879" t="s">
        <v>6419</v>
      </c>
      <c r="B2879" t="s">
        <v>2252</v>
      </c>
      <c r="C2879" t="s">
        <v>140</v>
      </c>
      <c r="D2879" t="s">
        <v>46</v>
      </c>
      <c r="E2879">
        <v>57</v>
      </c>
      <c r="F2879" t="s">
        <v>104</v>
      </c>
      <c r="G2879" t="s">
        <v>115</v>
      </c>
      <c r="H2879">
        <v>57885</v>
      </c>
      <c r="I2879" s="1" t="d">
        <v>2021-10-27</v>
      </c>
      <c r="J2879" t="s">
        <v>513</v>
      </c>
      <c r="K2879" s="17" t="s">
        <v>118</v>
      </c>
      <c r="L2879">
        <v>4</v>
      </c>
    </row>
    <row r="2880" spans="1:12" x14ac:dyDescent="0.25">
      <c r="A2880" t="s">
        <v>6420</v>
      </c>
      <c r="B2880" t="s">
        <v>833</v>
      </c>
      <c r="C2880" t="s">
        <v>552</v>
      </c>
      <c r="D2880" t="s">
        <v>23</v>
      </c>
      <c r="E2880">
        <v>53</v>
      </c>
      <c r="F2880" t="s">
        <v>645</v>
      </c>
      <c r="G2880" t="s">
        <v>48</v>
      </c>
      <c r="H2880">
        <v>44449</v>
      </c>
      <c r="I2880" s="1" t="d">
        <v>2009-04-05</v>
      </c>
      <c r="J2880" t="s">
        <v>5710</v>
      </c>
      <c r="K2880" s="17" t="s">
        <v>50</v>
      </c>
      <c r="L2880">
        <v>3</v>
      </c>
    </row>
    <row r="2881" spans="1:12" x14ac:dyDescent="0.25">
      <c r="A2881" t="s">
        <v>6421</v>
      </c>
      <c r="B2881" t="s">
        <v>2041</v>
      </c>
      <c r="C2881" t="s">
        <v>858</v>
      </c>
      <c r="D2881" t="s">
        <v>9527</v>
      </c>
      <c r="E2881">
        <v>31</v>
      </c>
      <c r="F2881" t="s">
        <v>2904</v>
      </c>
      <c r="G2881" t="s">
        <v>170</v>
      </c>
      <c r="H2881" t="s">
        <v>6422</v>
      </c>
      <c r="I2881" s="1" t="d">
        <v>2024-01-22</v>
      </c>
      <c r="J2881" t="s">
        <v>557</v>
      </c>
      <c r="K2881" s="17" t="s">
        <v>370</v>
      </c>
      <c r="L2881">
        <v>4</v>
      </c>
    </row>
    <row r="2882" spans="1:12" x14ac:dyDescent="0.25">
      <c r="A2882" t="s">
        <v>6423</v>
      </c>
      <c r="B2882" t="s">
        <v>130</v>
      </c>
      <c r="C2882" t="s">
        <v>181</v>
      </c>
      <c r="D2882" t="s">
        <v>46</v>
      </c>
      <c r="E2882">
        <v>40</v>
      </c>
      <c r="F2882" t="s">
        <v>68</v>
      </c>
      <c r="G2882" t="s">
        <v>69</v>
      </c>
      <c r="H2882" t="s">
        <v>962</v>
      </c>
      <c r="I2882" s="1" t="d">
        <v>2014-07-13</v>
      </c>
      <c r="J2882" t="s">
        <v>2375</v>
      </c>
      <c r="K2882" s="17" t="s">
        <v>34</v>
      </c>
      <c r="L2882">
        <v>4</v>
      </c>
    </row>
    <row r="2883" spans="1:12" x14ac:dyDescent="0.25">
      <c r="A2883" t="s">
        <v>6424</v>
      </c>
      <c r="B2883" t="s">
        <v>841</v>
      </c>
      <c r="C2883" t="s">
        <v>3170</v>
      </c>
      <c r="D2883" t="s">
        <v>9527</v>
      </c>
      <c r="E2883">
        <v>45</v>
      </c>
      <c r="F2883" t="s">
        <v>589</v>
      </c>
      <c r="G2883" t="s">
        <v>25</v>
      </c>
      <c r="I2883" s="1" t="d">
        <v>2024-05-01</v>
      </c>
      <c r="J2883" t="s">
        <v>5962</v>
      </c>
      <c r="K2883" s="17" t="s">
        <v>34</v>
      </c>
      <c r="L2883">
        <v>4</v>
      </c>
    </row>
    <row r="2884" spans="1:12" x14ac:dyDescent="0.25">
      <c r="A2884" t="s">
        <v>6425</v>
      </c>
      <c r="B2884" t="s">
        <v>6426</v>
      </c>
      <c r="C2884" t="s">
        <v>107</v>
      </c>
      <c r="D2884" t="s">
        <v>46</v>
      </c>
      <c r="E2884">
        <v>39</v>
      </c>
      <c r="F2884" t="s">
        <v>216</v>
      </c>
      <c r="G2884" t="s">
        <v>1164</v>
      </c>
      <c r="H2884" s="2">
        <v>85261</v>
      </c>
      <c r="I2884" s="1" t="d">
        <v>2010-07-11</v>
      </c>
      <c r="J2884" t="s">
        <v>3576</v>
      </c>
      <c r="K2884" s="17" t="s">
        <v>34</v>
      </c>
      <c r="L2884">
        <v>2</v>
      </c>
    </row>
    <row r="2885" spans="1:12" x14ac:dyDescent="0.25">
      <c r="A2885" t="s">
        <v>6427</v>
      </c>
      <c r="B2885" t="s">
        <v>404</v>
      </c>
      <c r="C2885" t="s">
        <v>189</v>
      </c>
      <c r="D2885" t="s">
        <v>46</v>
      </c>
      <c r="E2885">
        <v>21</v>
      </c>
      <c r="F2885" t="s">
        <v>114</v>
      </c>
      <c r="G2885" t="s">
        <v>82</v>
      </c>
      <c r="H2885" t="s">
        <v>6428</v>
      </c>
      <c r="I2885" s="1" t="d">
        <v>2021-03-22</v>
      </c>
      <c r="J2885" t="s">
        <v>4145</v>
      </c>
      <c r="K2885" s="17" t="s">
        <v>34</v>
      </c>
      <c r="L2885">
        <v>3</v>
      </c>
    </row>
    <row r="2886" spans="1:12" x14ac:dyDescent="0.25">
      <c r="A2886" t="s">
        <v>6429</v>
      </c>
      <c r="B2886" t="s">
        <v>5347</v>
      </c>
      <c r="C2886" t="s">
        <v>135</v>
      </c>
      <c r="D2886" t="s">
        <v>9527</v>
      </c>
      <c r="E2886">
        <v>27</v>
      </c>
      <c r="F2886" t="s">
        <v>3860</v>
      </c>
      <c r="G2886" t="s">
        <v>115</v>
      </c>
      <c r="H2886" t="s">
        <v>6430</v>
      </c>
      <c r="I2886" s="1" t="d">
        <v>2007-12-27</v>
      </c>
      <c r="J2886" t="s">
        <v>1000</v>
      </c>
      <c r="K2886" s="17" t="s">
        <v>58</v>
      </c>
      <c r="L2886">
        <v>4</v>
      </c>
    </row>
    <row r="2887" spans="1:12" x14ac:dyDescent="0.25">
      <c r="A2887" t="s">
        <v>6431</v>
      </c>
      <c r="B2887" t="s">
        <v>248</v>
      </c>
      <c r="C2887" t="s">
        <v>4128</v>
      </c>
      <c r="D2887" t="s">
        <v>9527</v>
      </c>
      <c r="E2887">
        <v>37</v>
      </c>
      <c r="F2887" t="s">
        <v>230</v>
      </c>
      <c r="G2887" t="s">
        <v>351</v>
      </c>
      <c r="H2887" t="s">
        <v>6432</v>
      </c>
      <c r="I2887" s="1" t="d">
        <v>2015-03-21</v>
      </c>
      <c r="J2887" t="s">
        <v>3220</v>
      </c>
      <c r="K2887" s="17" t="s">
        <v>100</v>
      </c>
      <c r="L2887">
        <v>3</v>
      </c>
    </row>
    <row r="2888" spans="1:12" x14ac:dyDescent="0.25">
      <c r="A2888" t="s">
        <v>6433</v>
      </c>
      <c r="B2888" t="s">
        <v>21</v>
      </c>
      <c r="C2888" t="s">
        <v>1052</v>
      </c>
      <c r="D2888" t="s">
        <v>9527</v>
      </c>
      <c r="E2888">
        <v>36</v>
      </c>
      <c r="G2888" t="s">
        <v>191</v>
      </c>
      <c r="I2888" s="1" t="d">
        <v>2024-03-30</v>
      </c>
      <c r="J2888" t="s">
        <v>4250</v>
      </c>
      <c r="K2888" s="17" t="s">
        <v>19</v>
      </c>
      <c r="L2888">
        <v>5</v>
      </c>
    </row>
    <row r="2889" spans="1:12" x14ac:dyDescent="0.25">
      <c r="A2889" t="s">
        <v>6434</v>
      </c>
      <c r="B2889" t="s">
        <v>1154</v>
      </c>
      <c r="C2889" t="s">
        <v>405</v>
      </c>
      <c r="D2889" t="s">
        <v>9527</v>
      </c>
      <c r="E2889">
        <v>36</v>
      </c>
      <c r="F2889" t="s">
        <v>2707</v>
      </c>
      <c r="G2889" t="s">
        <v>115</v>
      </c>
      <c r="H2889" s="2">
        <v>40236</v>
      </c>
      <c r="I2889" s="1" t="d">
        <v>2016-01-09</v>
      </c>
      <c r="J2889" t="s">
        <v>6435</v>
      </c>
      <c r="K2889" s="17" t="s">
        <v>58</v>
      </c>
      <c r="L2889">
        <v>3</v>
      </c>
    </row>
    <row r="2890" spans="1:12" x14ac:dyDescent="0.25">
      <c r="A2890" t="s">
        <v>6436</v>
      </c>
      <c r="B2890" t="s">
        <v>130</v>
      </c>
      <c r="C2890" t="s">
        <v>1030</v>
      </c>
      <c r="D2890" t="s">
        <v>9527</v>
      </c>
      <c r="E2890">
        <v>54</v>
      </c>
      <c r="F2890" t="s">
        <v>5132</v>
      </c>
      <c r="G2890" t="s">
        <v>109</v>
      </c>
      <c r="H2890" t="s">
        <v>6437</v>
      </c>
      <c r="I2890" s="1" t="d">
        <v>2014-02-02</v>
      </c>
      <c r="J2890" t="s">
        <v>2417</v>
      </c>
      <c r="K2890" s="17" t="s">
        <v>34</v>
      </c>
      <c r="L2890">
        <v>3</v>
      </c>
    </row>
    <row r="2891" spans="1:12" x14ac:dyDescent="0.25">
      <c r="A2891" t="s">
        <v>6438</v>
      </c>
      <c r="B2891" t="s">
        <v>901</v>
      </c>
      <c r="C2891" t="s">
        <v>5084</v>
      </c>
      <c r="D2891" t="s">
        <v>46</v>
      </c>
      <c r="E2891">
        <v>23</v>
      </c>
      <c r="F2891" t="s">
        <v>918</v>
      </c>
      <c r="G2891" t="s">
        <v>504</v>
      </c>
      <c r="H2891" t="s">
        <v>6439</v>
      </c>
      <c r="I2891" s="1" t="d">
        <v>2022-07-08</v>
      </c>
      <c r="J2891" t="s">
        <v>1227</v>
      </c>
      <c r="K2891" s="17" t="s">
        <v>90</v>
      </c>
      <c r="L2891">
        <v>4</v>
      </c>
    </row>
    <row r="2892" spans="1:12" x14ac:dyDescent="0.25">
      <c r="A2892" t="s">
        <v>6440</v>
      </c>
      <c r="B2892" t="s">
        <v>563</v>
      </c>
      <c r="C2892" t="s">
        <v>961</v>
      </c>
      <c r="D2892" t="s">
        <v>23</v>
      </c>
      <c r="E2892">
        <v>46</v>
      </c>
      <c r="F2892" t="s">
        <v>422</v>
      </c>
      <c r="G2892" t="s">
        <v>641</v>
      </c>
      <c r="H2892" s="2">
        <v>75339</v>
      </c>
      <c r="I2892" s="1" t="d">
        <v>2022-05-28</v>
      </c>
      <c r="J2892" t="s">
        <v>1562</v>
      </c>
      <c r="K2892" s="17" t="s">
        <v>58</v>
      </c>
      <c r="L2892">
        <v>4</v>
      </c>
    </row>
    <row r="2893" spans="1:12" x14ac:dyDescent="0.25">
      <c r="A2893" t="s">
        <v>6441</v>
      </c>
      <c r="B2893" t="s">
        <v>499</v>
      </c>
      <c r="C2893" t="s">
        <v>462</v>
      </c>
      <c r="D2893" t="s">
        <v>46</v>
      </c>
      <c r="E2893">
        <v>24</v>
      </c>
      <c r="F2893" t="s">
        <v>399</v>
      </c>
      <c r="G2893" t="s">
        <v>147</v>
      </c>
      <c r="H2893" t="s">
        <v>6442</v>
      </c>
      <c r="I2893" s="1" t="d">
        <v>2023-10-01</v>
      </c>
      <c r="J2893" t="s">
        <v>5318</v>
      </c>
      <c r="K2893" s="17" t="s">
        <v>19</v>
      </c>
      <c r="L2893">
        <v>4</v>
      </c>
    </row>
    <row r="2894" spans="1:12" x14ac:dyDescent="0.25">
      <c r="A2894" t="s">
        <v>6443</v>
      </c>
      <c r="B2894" t="s">
        <v>86</v>
      </c>
      <c r="C2894" t="s">
        <v>395</v>
      </c>
      <c r="D2894" t="s">
        <v>9527</v>
      </c>
      <c r="E2894">
        <v>57</v>
      </c>
      <c r="F2894" t="s">
        <v>859</v>
      </c>
      <c r="G2894" t="s">
        <v>283</v>
      </c>
      <c r="H2894" t="s">
        <v>6444</v>
      </c>
      <c r="I2894" s="1" t="d">
        <v>2014-05-08</v>
      </c>
      <c r="J2894" t="s">
        <v>4445</v>
      </c>
      <c r="K2894" s="17" t="s">
        <v>58</v>
      </c>
      <c r="L2894">
        <v>3</v>
      </c>
    </row>
    <row r="2895" spans="1:12" x14ac:dyDescent="0.25">
      <c r="A2895" t="s">
        <v>6445</v>
      </c>
      <c r="B2895" t="s">
        <v>3179</v>
      </c>
      <c r="C2895" t="s">
        <v>252</v>
      </c>
      <c r="D2895" t="s">
        <v>23</v>
      </c>
      <c r="E2895">
        <v>51</v>
      </c>
      <c r="F2895" t="s">
        <v>146</v>
      </c>
      <c r="G2895" t="s">
        <v>1719</v>
      </c>
      <c r="I2895" s="1" t="d">
        <v>2011-02-05</v>
      </c>
      <c r="J2895" t="s">
        <v>3199</v>
      </c>
      <c r="K2895" s="17" t="s">
        <v>19</v>
      </c>
      <c r="L2895">
        <v>3</v>
      </c>
    </row>
    <row r="2896" spans="1:12" x14ac:dyDescent="0.25">
      <c r="A2896" t="s">
        <v>6446</v>
      </c>
      <c r="B2896" t="s">
        <v>470</v>
      </c>
      <c r="C2896" t="s">
        <v>5654</v>
      </c>
      <c r="D2896" t="s">
        <v>23</v>
      </c>
      <c r="E2896">
        <v>23</v>
      </c>
      <c r="F2896" t="s">
        <v>2700</v>
      </c>
      <c r="G2896" t="s">
        <v>3277</v>
      </c>
      <c r="I2896" s="1" t="d">
        <v>2012-10-22</v>
      </c>
      <c r="J2896" t="s">
        <v>4278</v>
      </c>
      <c r="K2896" s="17" t="s">
        <v>100</v>
      </c>
      <c r="L2896">
        <v>2</v>
      </c>
    </row>
    <row r="2897" spans="1:12" x14ac:dyDescent="0.25">
      <c r="A2897" t="s">
        <v>6447</v>
      </c>
      <c r="B2897" t="s">
        <v>1512</v>
      </c>
      <c r="C2897" t="s">
        <v>961</v>
      </c>
      <c r="D2897" t="s">
        <v>46</v>
      </c>
      <c r="E2897">
        <v>50</v>
      </c>
      <c r="F2897" t="s">
        <v>1716</v>
      </c>
      <c r="G2897" t="s">
        <v>115</v>
      </c>
      <c r="H2897" t="s">
        <v>6448</v>
      </c>
      <c r="I2897" s="1" t="d">
        <v>2014-02-11</v>
      </c>
      <c r="J2897" t="s">
        <v>828</v>
      </c>
      <c r="K2897" s="17" t="s">
        <v>34</v>
      </c>
      <c r="L2897">
        <v>3</v>
      </c>
    </row>
    <row r="2898" spans="1:12" x14ac:dyDescent="0.25">
      <c r="A2898" t="s">
        <v>6449</v>
      </c>
      <c r="B2898" t="s">
        <v>874</v>
      </c>
      <c r="C2898" t="s">
        <v>631</v>
      </c>
      <c r="D2898" t="s">
        <v>46</v>
      </c>
      <c r="E2898">
        <v>35</v>
      </c>
      <c r="F2898" t="s">
        <v>417</v>
      </c>
      <c r="G2898" t="s">
        <v>82</v>
      </c>
      <c r="H2898" s="2">
        <v>56728</v>
      </c>
      <c r="I2898" s="1" t="d">
        <v>2014-01-03</v>
      </c>
      <c r="J2898" t="s">
        <v>6450</v>
      </c>
      <c r="K2898" s="17" t="s">
        <v>34</v>
      </c>
      <c r="L2898">
        <v>4</v>
      </c>
    </row>
    <row r="2899" spans="1:12" x14ac:dyDescent="0.25">
      <c r="A2899" t="s">
        <v>6451</v>
      </c>
      <c r="B2899" t="s">
        <v>323</v>
      </c>
      <c r="C2899" t="s">
        <v>2768</v>
      </c>
      <c r="D2899" t="s">
        <v>9527</v>
      </c>
      <c r="E2899">
        <v>42</v>
      </c>
      <c r="G2899" t="s">
        <v>212</v>
      </c>
      <c r="H2899" t="s">
        <v>6452</v>
      </c>
      <c r="I2899" s="1" t="d">
        <v>2010-01-14</v>
      </c>
      <c r="J2899" t="s">
        <v>446</v>
      </c>
      <c r="K2899" s="17" t="s">
        <v>58</v>
      </c>
      <c r="L2899">
        <v>3</v>
      </c>
    </row>
    <row r="2900" spans="1:12" x14ac:dyDescent="0.25">
      <c r="A2900" t="s">
        <v>6453</v>
      </c>
      <c r="B2900" t="s">
        <v>1769</v>
      </c>
      <c r="C2900" t="s">
        <v>696</v>
      </c>
      <c r="D2900" t="s">
        <v>9527</v>
      </c>
      <c r="E2900">
        <v>35</v>
      </c>
      <c r="F2900" t="s">
        <v>576</v>
      </c>
      <c r="G2900" t="s">
        <v>16</v>
      </c>
      <c r="H2900" t="s">
        <v>6454</v>
      </c>
      <c r="I2900" s="1" t="d">
        <v>2016-01-22</v>
      </c>
      <c r="J2900" t="s">
        <v>3071</v>
      </c>
      <c r="K2900" s="17" t="s">
        <v>90</v>
      </c>
      <c r="L2900">
        <v>5</v>
      </c>
    </row>
    <row r="2901" spans="1:12" x14ac:dyDescent="0.25">
      <c r="A2901" t="s">
        <v>6455</v>
      </c>
      <c r="B2901" t="s">
        <v>563</v>
      </c>
      <c r="C2901" t="s">
        <v>462</v>
      </c>
      <c r="D2901" t="s">
        <v>46</v>
      </c>
      <c r="E2901">
        <v>32</v>
      </c>
      <c r="F2901" t="s">
        <v>399</v>
      </c>
      <c r="G2901" t="s">
        <v>170</v>
      </c>
      <c r="H2901" t="s">
        <v>6456</v>
      </c>
      <c r="I2901" s="1" t="d">
        <v>2020-08-19</v>
      </c>
      <c r="J2901" t="s">
        <v>2110</v>
      </c>
      <c r="K2901" s="17" t="s">
        <v>207</v>
      </c>
      <c r="L2901">
        <v>4</v>
      </c>
    </row>
    <row r="2902" spans="1:12" x14ac:dyDescent="0.25">
      <c r="A2902" t="s">
        <v>6457</v>
      </c>
      <c r="B2902" t="s">
        <v>394</v>
      </c>
      <c r="C2902" t="s">
        <v>30</v>
      </c>
      <c r="D2902" t="s">
        <v>46</v>
      </c>
      <c r="E2902">
        <v>43</v>
      </c>
      <c r="F2902" t="s">
        <v>373</v>
      </c>
      <c r="G2902" t="s">
        <v>82</v>
      </c>
      <c r="H2902">
        <v>79380</v>
      </c>
      <c r="I2902" s="1" t="d">
        <v>2007-09-15</v>
      </c>
      <c r="J2902" t="s">
        <v>5033</v>
      </c>
      <c r="K2902" s="17" t="s">
        <v>118</v>
      </c>
      <c r="L2902">
        <v>4</v>
      </c>
    </row>
    <row r="2903" spans="1:12" x14ac:dyDescent="0.25">
      <c r="A2903" t="s">
        <v>6458</v>
      </c>
      <c r="B2903" t="s">
        <v>52</v>
      </c>
      <c r="C2903" t="s">
        <v>2064</v>
      </c>
      <c r="D2903" t="s">
        <v>9527</v>
      </c>
      <c r="E2903">
        <v>30</v>
      </c>
      <c r="F2903" t="s">
        <v>75</v>
      </c>
      <c r="G2903" t="s">
        <v>217</v>
      </c>
      <c r="H2903" t="s">
        <v>6459</v>
      </c>
      <c r="I2903" s="1" t="d">
        <v>2016-03-14</v>
      </c>
      <c r="J2903" t="s">
        <v>1633</v>
      </c>
      <c r="K2903" s="17" t="s">
        <v>34</v>
      </c>
      <c r="L2903">
        <v>4</v>
      </c>
    </row>
    <row r="2904" spans="1:12" x14ac:dyDescent="0.25">
      <c r="A2904" t="s">
        <v>6460</v>
      </c>
      <c r="B2904" t="s">
        <v>1738</v>
      </c>
      <c r="C2904" t="s">
        <v>660</v>
      </c>
      <c r="D2904" t="s">
        <v>46</v>
      </c>
      <c r="E2904">
        <v>21</v>
      </c>
      <c r="F2904" t="s">
        <v>68</v>
      </c>
      <c r="G2904" t="s">
        <v>191</v>
      </c>
      <c r="H2904" t="s">
        <v>6461</v>
      </c>
      <c r="I2904" s="1" t="d">
        <v>2013-06-22</v>
      </c>
      <c r="J2904" t="s">
        <v>5868</v>
      </c>
      <c r="K2904" s="17" t="s">
        <v>34</v>
      </c>
      <c r="L2904">
        <v>4</v>
      </c>
    </row>
    <row r="2905" spans="1:12" x14ac:dyDescent="0.25">
      <c r="A2905" t="s">
        <v>6462</v>
      </c>
      <c r="B2905" t="s">
        <v>664</v>
      </c>
      <c r="C2905" t="s">
        <v>3392</v>
      </c>
      <c r="D2905" t="s">
        <v>9527</v>
      </c>
      <c r="E2905">
        <v>23</v>
      </c>
      <c r="F2905" t="s">
        <v>411</v>
      </c>
      <c r="G2905" t="s">
        <v>600</v>
      </c>
      <c r="H2905">
        <v>119334</v>
      </c>
      <c r="I2905" s="1" t="d">
        <v>2020-12-26</v>
      </c>
      <c r="J2905" t="s">
        <v>853</v>
      </c>
      <c r="K2905" s="17" t="s">
        <v>50</v>
      </c>
      <c r="L2905">
        <v>2</v>
      </c>
    </row>
    <row r="2906" spans="1:12" x14ac:dyDescent="0.25">
      <c r="A2906" t="s">
        <v>6463</v>
      </c>
      <c r="B2906" t="s">
        <v>86</v>
      </c>
      <c r="C2906" t="s">
        <v>2380</v>
      </c>
      <c r="D2906" t="s">
        <v>9527</v>
      </c>
      <c r="E2906">
        <v>21</v>
      </c>
      <c r="F2906" t="s">
        <v>484</v>
      </c>
      <c r="G2906" t="s">
        <v>458</v>
      </c>
      <c r="I2906" s="1" t="d">
        <v>2019-05-04</v>
      </c>
      <c r="J2906" t="s">
        <v>2434</v>
      </c>
      <c r="K2906" s="17" t="s">
        <v>370</v>
      </c>
      <c r="L2906">
        <v>4</v>
      </c>
    </row>
    <row r="2907" spans="1:12" x14ac:dyDescent="0.25">
      <c r="A2907" t="s">
        <v>3021</v>
      </c>
      <c r="B2907" t="s">
        <v>571</v>
      </c>
      <c r="C2907" t="s">
        <v>851</v>
      </c>
      <c r="D2907" t="s">
        <v>9527</v>
      </c>
      <c r="E2907">
        <v>43</v>
      </c>
      <c r="F2907" t="s">
        <v>253</v>
      </c>
      <c r="G2907" t="s">
        <v>1133</v>
      </c>
      <c r="H2907">
        <v>117721</v>
      </c>
      <c r="I2907" s="1" t="d">
        <v>2022-06-02</v>
      </c>
      <c r="J2907" t="s">
        <v>3022</v>
      </c>
      <c r="K2907" s="17" t="s">
        <v>90</v>
      </c>
      <c r="L2907">
        <v>4</v>
      </c>
    </row>
    <row r="2908" spans="1:12" x14ac:dyDescent="0.25">
      <c r="A2908" t="s">
        <v>6464</v>
      </c>
      <c r="B2908" t="s">
        <v>120</v>
      </c>
      <c r="C2908" t="s">
        <v>739</v>
      </c>
      <c r="D2908" t="s">
        <v>46</v>
      </c>
      <c r="E2908">
        <v>24</v>
      </c>
      <c r="F2908" t="s">
        <v>365</v>
      </c>
      <c r="G2908" t="s">
        <v>407</v>
      </c>
      <c r="H2908">
        <v>147382</v>
      </c>
      <c r="I2908" s="1" t="d">
        <v>2016-07-30</v>
      </c>
      <c r="J2908" t="s">
        <v>6465</v>
      </c>
      <c r="K2908" s="17" t="s">
        <v>118</v>
      </c>
      <c r="L2908">
        <v>4</v>
      </c>
    </row>
    <row r="2909" spans="1:12" x14ac:dyDescent="0.25">
      <c r="A2909" t="s">
        <v>6466</v>
      </c>
      <c r="B2909" t="s">
        <v>6467</v>
      </c>
      <c r="C2909" t="s">
        <v>1622</v>
      </c>
      <c r="D2909" t="s">
        <v>9527</v>
      </c>
      <c r="E2909">
        <v>32</v>
      </c>
      <c r="F2909" t="s">
        <v>2065</v>
      </c>
      <c r="G2909" t="s">
        <v>191</v>
      </c>
      <c r="H2909" t="s">
        <v>6468</v>
      </c>
      <c r="I2909" s="1" t="d">
        <v>2020-08-24</v>
      </c>
      <c r="J2909" t="s">
        <v>2187</v>
      </c>
      <c r="K2909" s="17" t="s">
        <v>370</v>
      </c>
      <c r="L2909">
        <v>5</v>
      </c>
    </row>
    <row r="2910" spans="1:12" x14ac:dyDescent="0.25">
      <c r="A2910" t="s">
        <v>6469</v>
      </c>
      <c r="B2910" t="s">
        <v>1403</v>
      </c>
      <c r="C2910" t="s">
        <v>858</v>
      </c>
      <c r="D2910" t="s">
        <v>23</v>
      </c>
      <c r="E2910">
        <v>44</v>
      </c>
      <c r="F2910" t="s">
        <v>216</v>
      </c>
      <c r="G2910" t="s">
        <v>69</v>
      </c>
      <c r="H2910" t="s">
        <v>6470</v>
      </c>
      <c r="I2910" s="1" t="d">
        <v>2012-11-04</v>
      </c>
      <c r="J2910" t="s">
        <v>3565</v>
      </c>
      <c r="K2910" s="17" t="s">
        <v>118</v>
      </c>
      <c r="L2910">
        <v>2</v>
      </c>
    </row>
    <row r="2911" spans="1:12" x14ac:dyDescent="0.25">
      <c r="A2911" t="s">
        <v>6471</v>
      </c>
      <c r="B2911" t="s">
        <v>1316</v>
      </c>
      <c r="C2911" t="s">
        <v>660</v>
      </c>
      <c r="D2911" t="s">
        <v>9527</v>
      </c>
      <c r="E2911">
        <v>49</v>
      </c>
      <c r="F2911" t="s">
        <v>2065</v>
      </c>
      <c r="G2911" t="s">
        <v>212</v>
      </c>
      <c r="H2911" t="s">
        <v>6472</v>
      </c>
      <c r="I2911" s="1" t="d">
        <v>2016-08-06</v>
      </c>
      <c r="J2911" t="s">
        <v>6217</v>
      </c>
      <c r="K2911" s="17" t="s">
        <v>34</v>
      </c>
      <c r="L2911">
        <v>3</v>
      </c>
    </row>
    <row r="2912" spans="1:12" x14ac:dyDescent="0.25">
      <c r="A2912" t="s">
        <v>6473</v>
      </c>
      <c r="B2912" t="s">
        <v>889</v>
      </c>
      <c r="C2912" t="s">
        <v>1622</v>
      </c>
      <c r="D2912" t="s">
        <v>23</v>
      </c>
      <c r="E2912">
        <v>37</v>
      </c>
      <c r="F2912" t="s">
        <v>1107</v>
      </c>
      <c r="G2912" t="s">
        <v>55</v>
      </c>
      <c r="H2912" t="s">
        <v>6474</v>
      </c>
      <c r="I2912" s="1" t="d">
        <v>2011-09-10</v>
      </c>
      <c r="J2912" t="s">
        <v>4847</v>
      </c>
      <c r="K2912" s="17" t="s">
        <v>34</v>
      </c>
      <c r="L2912">
        <v>5</v>
      </c>
    </row>
    <row r="2913" spans="1:12" x14ac:dyDescent="0.25">
      <c r="A2913" t="s">
        <v>6475</v>
      </c>
      <c r="B2913" t="s">
        <v>1769</v>
      </c>
      <c r="C2913" t="s">
        <v>215</v>
      </c>
      <c r="D2913" t="s">
        <v>46</v>
      </c>
      <c r="E2913">
        <v>33</v>
      </c>
      <c r="F2913" t="s">
        <v>264</v>
      </c>
      <c r="G2913" t="s">
        <v>141</v>
      </c>
      <c r="H2913" s="2">
        <v>88455</v>
      </c>
      <c r="I2913" s="1" t="d">
        <v>2022-11-09</v>
      </c>
      <c r="J2913" t="s">
        <v>2173</v>
      </c>
      <c r="K2913" s="17" t="s">
        <v>149</v>
      </c>
      <c r="L2913">
        <v>2</v>
      </c>
    </row>
    <row r="2914" spans="1:12" x14ac:dyDescent="0.25">
      <c r="A2914" t="s">
        <v>6476</v>
      </c>
      <c r="B2914" t="s">
        <v>120</v>
      </c>
      <c r="C2914" t="s">
        <v>1320</v>
      </c>
      <c r="D2914" t="s">
        <v>46</v>
      </c>
      <c r="E2914">
        <v>35</v>
      </c>
      <c r="F2914" t="s">
        <v>269</v>
      </c>
      <c r="G2914" t="s">
        <v>423</v>
      </c>
      <c r="H2914" t="s">
        <v>6477</v>
      </c>
      <c r="I2914" s="1" t="d">
        <v>2021-06-29</v>
      </c>
      <c r="J2914" t="s">
        <v>241</v>
      </c>
      <c r="K2914" s="17" t="s">
        <v>118</v>
      </c>
      <c r="L2914">
        <v>2</v>
      </c>
    </row>
    <row r="2915" spans="1:12" x14ac:dyDescent="0.25">
      <c r="A2915" t="s">
        <v>6478</v>
      </c>
      <c r="B2915" t="s">
        <v>151</v>
      </c>
      <c r="C2915" t="s">
        <v>555</v>
      </c>
      <c r="D2915" t="s">
        <v>23</v>
      </c>
      <c r="E2915">
        <v>27</v>
      </c>
      <c r="F2915" t="s">
        <v>522</v>
      </c>
      <c r="G2915" t="s">
        <v>16</v>
      </c>
      <c r="H2915" t="s">
        <v>6479</v>
      </c>
      <c r="I2915" s="1" t="d">
        <v>2018-11-15</v>
      </c>
      <c r="J2915" t="s">
        <v>6480</v>
      </c>
      <c r="K2915" s="17" t="s">
        <v>90</v>
      </c>
      <c r="L2915">
        <v>3</v>
      </c>
    </row>
    <row r="2916" spans="1:12" x14ac:dyDescent="0.25">
      <c r="A2916" t="s">
        <v>6481</v>
      </c>
      <c r="B2916" t="s">
        <v>4553</v>
      </c>
      <c r="C2916" t="s">
        <v>474</v>
      </c>
      <c r="D2916" t="s">
        <v>9527</v>
      </c>
      <c r="E2916">
        <v>34</v>
      </c>
      <c r="F2916" t="s">
        <v>196</v>
      </c>
      <c r="G2916" t="s">
        <v>177</v>
      </c>
      <c r="H2916" t="s">
        <v>6482</v>
      </c>
      <c r="I2916" s="1" t="d">
        <v>2024-12-04</v>
      </c>
      <c r="J2916" t="s">
        <v>3472</v>
      </c>
      <c r="K2916" s="17" t="s">
        <v>50</v>
      </c>
      <c r="L2916">
        <v>4</v>
      </c>
    </row>
    <row r="2917" spans="1:12" x14ac:dyDescent="0.25">
      <c r="A2917" t="s">
        <v>6483</v>
      </c>
      <c r="B2917" t="s">
        <v>804</v>
      </c>
      <c r="C2917" t="s">
        <v>1622</v>
      </c>
      <c r="D2917" t="s">
        <v>23</v>
      </c>
      <c r="E2917">
        <v>36</v>
      </c>
      <c r="F2917" t="s">
        <v>589</v>
      </c>
      <c r="G2917" t="s">
        <v>48</v>
      </c>
      <c r="H2917" t="s">
        <v>6484</v>
      </c>
      <c r="I2917" s="1" t="d">
        <v>2015-06-29</v>
      </c>
      <c r="J2917" t="s">
        <v>3979</v>
      </c>
      <c r="K2917" s="17" t="s">
        <v>71</v>
      </c>
      <c r="L2917">
        <v>3</v>
      </c>
    </row>
    <row r="2918" spans="1:12" x14ac:dyDescent="0.25">
      <c r="A2918" t="s">
        <v>2236</v>
      </c>
      <c r="B2918" t="s">
        <v>66</v>
      </c>
      <c r="C2918" t="s">
        <v>103</v>
      </c>
      <c r="D2918" t="s">
        <v>46</v>
      </c>
      <c r="E2918">
        <v>27</v>
      </c>
      <c r="F2918" t="s">
        <v>238</v>
      </c>
      <c r="G2918" t="s">
        <v>351</v>
      </c>
      <c r="H2918">
        <v>52159</v>
      </c>
      <c r="I2918" s="1" t="d">
        <v>2009-05-30</v>
      </c>
      <c r="J2918" t="s">
        <v>57</v>
      </c>
      <c r="K2918" s="17" t="s">
        <v>207</v>
      </c>
      <c r="L2918">
        <v>5</v>
      </c>
    </row>
    <row r="2919" spans="1:12" x14ac:dyDescent="0.25">
      <c r="A2919" t="s">
        <v>6485</v>
      </c>
      <c r="B2919" t="s">
        <v>2877</v>
      </c>
      <c r="C2919" t="s">
        <v>135</v>
      </c>
      <c r="D2919" t="s">
        <v>46</v>
      </c>
      <c r="E2919">
        <v>43</v>
      </c>
      <c r="F2919" t="s">
        <v>4689</v>
      </c>
      <c r="G2919" t="s">
        <v>55</v>
      </c>
      <c r="H2919" s="2">
        <v>62140</v>
      </c>
      <c r="I2919" s="1" t="d">
        <v>2005-05-03</v>
      </c>
      <c r="J2919" t="s">
        <v>6486</v>
      </c>
      <c r="K2919" s="17" t="s">
        <v>149</v>
      </c>
      <c r="L2919">
        <v>3</v>
      </c>
    </row>
    <row r="2920" spans="1:12" x14ac:dyDescent="0.25">
      <c r="A2920" t="s">
        <v>6487</v>
      </c>
      <c r="B2920" t="s">
        <v>340</v>
      </c>
      <c r="C2920" t="s">
        <v>395</v>
      </c>
      <c r="D2920" t="s">
        <v>23</v>
      </c>
      <c r="E2920">
        <v>41</v>
      </c>
      <c r="F2920" t="s">
        <v>2065</v>
      </c>
      <c r="G2920" t="s">
        <v>205</v>
      </c>
      <c r="H2920" s="2">
        <v>99697</v>
      </c>
      <c r="I2920" s="1" t="d">
        <v>2013-11-11</v>
      </c>
      <c r="J2920" t="s">
        <v>1084</v>
      </c>
      <c r="K2920" s="17" t="s">
        <v>207</v>
      </c>
      <c r="L2920">
        <v>2</v>
      </c>
    </row>
    <row r="2921" spans="1:12" x14ac:dyDescent="0.25">
      <c r="A2921" t="s">
        <v>6488</v>
      </c>
      <c r="B2921" t="s">
        <v>199</v>
      </c>
      <c r="C2921" t="s">
        <v>204</v>
      </c>
      <c r="D2921" t="s">
        <v>9527</v>
      </c>
      <c r="E2921">
        <v>33</v>
      </c>
      <c r="F2921" t="s">
        <v>94</v>
      </c>
      <c r="G2921" t="s">
        <v>191</v>
      </c>
      <c r="H2921" s="2">
        <v>57634</v>
      </c>
      <c r="I2921" s="1" t="d">
        <v>2024-09-04</v>
      </c>
      <c r="J2921" t="s">
        <v>2550</v>
      </c>
      <c r="K2921" s="17" t="s">
        <v>370</v>
      </c>
      <c r="L2921">
        <v>2</v>
      </c>
    </row>
    <row r="2922" spans="1:12" x14ac:dyDescent="0.25">
      <c r="A2922" t="s">
        <v>6489</v>
      </c>
      <c r="B2922" t="s">
        <v>563</v>
      </c>
      <c r="C2922" t="s">
        <v>5084</v>
      </c>
      <c r="D2922" t="s">
        <v>9527</v>
      </c>
      <c r="E2922">
        <v>49</v>
      </c>
      <c r="F2922" t="s">
        <v>3280</v>
      </c>
      <c r="G2922" t="s">
        <v>82</v>
      </c>
      <c r="H2922" s="2">
        <v>91079</v>
      </c>
      <c r="I2922" s="1" t="d">
        <v>2018-05-13</v>
      </c>
      <c r="J2922" t="s">
        <v>1152</v>
      </c>
      <c r="K2922" s="17" t="s">
        <v>19</v>
      </c>
      <c r="L2922">
        <v>3</v>
      </c>
    </row>
    <row r="2923" spans="1:12" x14ac:dyDescent="0.25">
      <c r="A2923" t="s">
        <v>6490</v>
      </c>
      <c r="B2923" t="s">
        <v>2954</v>
      </c>
      <c r="C2923" t="s">
        <v>665</v>
      </c>
      <c r="D2923" t="s">
        <v>23</v>
      </c>
      <c r="E2923">
        <v>39</v>
      </c>
      <c r="F2923" t="s">
        <v>126</v>
      </c>
      <c r="G2923" t="s">
        <v>88</v>
      </c>
      <c r="H2923" s="2">
        <v>87029</v>
      </c>
      <c r="I2923" s="1" t="d">
        <v>2019-03-19</v>
      </c>
      <c r="J2923" t="s">
        <v>1144</v>
      </c>
      <c r="K2923" s="17" t="s">
        <v>118</v>
      </c>
      <c r="L2923">
        <v>5</v>
      </c>
    </row>
    <row r="2924" spans="1:12" x14ac:dyDescent="0.25">
      <c r="A2924" t="s">
        <v>6491</v>
      </c>
      <c r="B2924" t="s">
        <v>2697</v>
      </c>
      <c r="C2924" t="s">
        <v>584</v>
      </c>
      <c r="D2924" t="s">
        <v>23</v>
      </c>
      <c r="E2924">
        <v>35</v>
      </c>
      <c r="F2924" t="s">
        <v>153</v>
      </c>
      <c r="G2924" t="s">
        <v>1215</v>
      </c>
      <c r="H2924">
        <v>84072</v>
      </c>
      <c r="I2924" s="1" t="d">
        <v>2016-07-13</v>
      </c>
      <c r="J2924" t="s">
        <v>5971</v>
      </c>
      <c r="K2924" s="17" t="s">
        <v>27</v>
      </c>
      <c r="L2924">
        <v>3</v>
      </c>
    </row>
    <row r="2925" spans="1:12" x14ac:dyDescent="0.25">
      <c r="A2925" t="s">
        <v>6492</v>
      </c>
      <c r="B2925" t="s">
        <v>5282</v>
      </c>
      <c r="C2925" t="s">
        <v>739</v>
      </c>
      <c r="D2925" t="s">
        <v>9527</v>
      </c>
      <c r="E2925">
        <v>47</v>
      </c>
      <c r="F2925" t="s">
        <v>31</v>
      </c>
      <c r="G2925" t="s">
        <v>82</v>
      </c>
      <c r="I2925" s="1" t="d">
        <v>2024-04-19</v>
      </c>
      <c r="J2925" t="s">
        <v>3026</v>
      </c>
      <c r="K2925" s="17" t="s">
        <v>118</v>
      </c>
      <c r="L2925">
        <v>3</v>
      </c>
    </row>
    <row r="2926" spans="1:12" x14ac:dyDescent="0.25">
      <c r="A2926" t="s">
        <v>6493</v>
      </c>
      <c r="B2926" t="s">
        <v>728</v>
      </c>
      <c r="C2926" t="s">
        <v>6494</v>
      </c>
      <c r="D2926" t="s">
        <v>23</v>
      </c>
      <c r="E2926">
        <v>24</v>
      </c>
      <c r="F2926" t="s">
        <v>589</v>
      </c>
      <c r="G2926" t="s">
        <v>69</v>
      </c>
      <c r="H2926">
        <v>59297</v>
      </c>
      <c r="I2926" s="1" t="d">
        <v>2005-02-05</v>
      </c>
      <c r="J2926" t="s">
        <v>1585</v>
      </c>
      <c r="K2926" s="17" t="s">
        <v>149</v>
      </c>
      <c r="L2926">
        <v>5</v>
      </c>
    </row>
    <row r="2927" spans="1:12" x14ac:dyDescent="0.25">
      <c r="A2927" t="s">
        <v>6495</v>
      </c>
      <c r="B2927" t="s">
        <v>199</v>
      </c>
      <c r="C2927" t="s">
        <v>1205</v>
      </c>
      <c r="D2927" t="s">
        <v>9527</v>
      </c>
      <c r="E2927">
        <v>37</v>
      </c>
      <c r="F2927" t="s">
        <v>200</v>
      </c>
      <c r="G2927" t="s">
        <v>109</v>
      </c>
      <c r="H2927" s="2">
        <v>91323</v>
      </c>
      <c r="I2927" s="1" t="d">
        <v>2011-10-17</v>
      </c>
      <c r="J2927" t="s">
        <v>6496</v>
      </c>
      <c r="K2927" s="17" t="s">
        <v>207</v>
      </c>
      <c r="L2927">
        <v>2</v>
      </c>
    </row>
    <row r="2928" spans="1:12" x14ac:dyDescent="0.25">
      <c r="A2928" t="s">
        <v>6497</v>
      </c>
      <c r="B2928" t="s">
        <v>3087</v>
      </c>
      <c r="C2928" t="s">
        <v>699</v>
      </c>
      <c r="D2928" t="s">
        <v>23</v>
      </c>
      <c r="E2928">
        <v>37</v>
      </c>
      <c r="F2928" t="s">
        <v>153</v>
      </c>
      <c r="G2928" t="s">
        <v>115</v>
      </c>
      <c r="I2928" s="1" t="d">
        <v>2019-12-18</v>
      </c>
      <c r="J2928" t="s">
        <v>2229</v>
      </c>
      <c r="K2928" s="17" t="s">
        <v>370</v>
      </c>
      <c r="L2928">
        <v>3</v>
      </c>
    </row>
    <row r="2929" spans="1:12" x14ac:dyDescent="0.25">
      <c r="A2929" t="s">
        <v>6498</v>
      </c>
      <c r="B2929" t="s">
        <v>151</v>
      </c>
      <c r="C2929" t="s">
        <v>2313</v>
      </c>
      <c r="D2929" t="s">
        <v>9527</v>
      </c>
      <c r="E2929">
        <v>30</v>
      </c>
      <c r="G2929" t="s">
        <v>177</v>
      </c>
      <c r="H2929" s="2">
        <v>71764</v>
      </c>
      <c r="I2929" s="1" t="d">
        <v>2021-10-01</v>
      </c>
      <c r="J2929" t="s">
        <v>1897</v>
      </c>
      <c r="K2929" s="17" t="s">
        <v>27</v>
      </c>
      <c r="L2929">
        <v>3</v>
      </c>
    </row>
    <row r="2930" spans="1:12" x14ac:dyDescent="0.25">
      <c r="A2930" t="s">
        <v>4268</v>
      </c>
      <c r="B2930" t="s">
        <v>659</v>
      </c>
      <c r="C2930" t="s">
        <v>521</v>
      </c>
      <c r="D2930" t="s">
        <v>23</v>
      </c>
      <c r="E2930">
        <v>39</v>
      </c>
      <c r="F2930" t="s">
        <v>258</v>
      </c>
      <c r="G2930" t="s">
        <v>337</v>
      </c>
      <c r="H2930" t="s">
        <v>4269</v>
      </c>
      <c r="I2930" s="1" t="d">
        <v>2013-10-07</v>
      </c>
      <c r="J2930" t="s">
        <v>4270</v>
      </c>
      <c r="K2930" s="17" t="s">
        <v>27</v>
      </c>
      <c r="L2930">
        <v>4</v>
      </c>
    </row>
    <row r="2931" spans="1:12" x14ac:dyDescent="0.25">
      <c r="A2931" t="s">
        <v>6499</v>
      </c>
      <c r="B2931" t="s">
        <v>1689</v>
      </c>
      <c r="C2931" t="s">
        <v>440</v>
      </c>
      <c r="D2931" t="s">
        <v>23</v>
      </c>
      <c r="E2931">
        <v>40</v>
      </c>
      <c r="F2931" t="s">
        <v>356</v>
      </c>
      <c r="G2931" t="s">
        <v>297</v>
      </c>
      <c r="H2931" s="2">
        <v>161016</v>
      </c>
      <c r="I2931" s="1" t="d">
        <v>2023-05-27</v>
      </c>
      <c r="J2931" t="s">
        <v>4738</v>
      </c>
      <c r="K2931" s="17" t="s">
        <v>58</v>
      </c>
      <c r="L2931">
        <v>5</v>
      </c>
    </row>
    <row r="2932" spans="1:12" x14ac:dyDescent="0.25">
      <c r="A2932" t="s">
        <v>6500</v>
      </c>
      <c r="B2932" t="s">
        <v>73</v>
      </c>
      <c r="C2932" t="s">
        <v>1881</v>
      </c>
      <c r="D2932" t="s">
        <v>9527</v>
      </c>
      <c r="E2932">
        <v>35</v>
      </c>
      <c r="F2932" t="s">
        <v>296</v>
      </c>
      <c r="G2932" t="s">
        <v>115</v>
      </c>
      <c r="H2932" t="s">
        <v>962</v>
      </c>
      <c r="I2932" s="1" t="d">
        <v>2018-04-27</v>
      </c>
      <c r="J2932" t="s">
        <v>2649</v>
      </c>
      <c r="K2932" s="17" t="s">
        <v>19</v>
      </c>
      <c r="L2932">
        <v>4</v>
      </c>
    </row>
    <row r="2933" spans="1:12" x14ac:dyDescent="0.25">
      <c r="A2933" t="s">
        <v>6501</v>
      </c>
      <c r="B2933" t="s">
        <v>134</v>
      </c>
      <c r="C2933" t="s">
        <v>1734</v>
      </c>
      <c r="D2933" t="s">
        <v>23</v>
      </c>
      <c r="E2933">
        <v>32</v>
      </c>
      <c r="F2933" t="s">
        <v>399</v>
      </c>
      <c r="G2933" t="s">
        <v>69</v>
      </c>
      <c r="H2933" s="2">
        <v>60889</v>
      </c>
      <c r="I2933" s="1" t="d">
        <v>2012-10-30</v>
      </c>
      <c r="J2933" t="s">
        <v>4238</v>
      </c>
      <c r="K2933" s="17" t="s">
        <v>19</v>
      </c>
      <c r="L2933">
        <v>5</v>
      </c>
    </row>
    <row r="2934" spans="1:12" x14ac:dyDescent="0.25">
      <c r="A2934" t="s">
        <v>6502</v>
      </c>
      <c r="B2934" t="s">
        <v>444</v>
      </c>
      <c r="C2934" t="s">
        <v>1442</v>
      </c>
      <c r="D2934" t="s">
        <v>23</v>
      </c>
      <c r="E2934">
        <v>28</v>
      </c>
      <c r="F2934" t="s">
        <v>422</v>
      </c>
      <c r="G2934" t="s">
        <v>351</v>
      </c>
      <c r="H2934" t="s">
        <v>6503</v>
      </c>
      <c r="I2934" s="1" t="d">
        <v>2021-03-03</v>
      </c>
      <c r="J2934" t="s">
        <v>1416</v>
      </c>
      <c r="K2934" s="17" t="s">
        <v>58</v>
      </c>
      <c r="L2934">
        <v>4</v>
      </c>
    </row>
    <row r="2935" spans="1:12" x14ac:dyDescent="0.25">
      <c r="A2935" t="s">
        <v>6504</v>
      </c>
      <c r="B2935" t="s">
        <v>120</v>
      </c>
      <c r="C2935" t="s">
        <v>758</v>
      </c>
      <c r="D2935" t="s">
        <v>9527</v>
      </c>
      <c r="E2935">
        <v>51</v>
      </c>
      <c r="F2935" t="s">
        <v>666</v>
      </c>
      <c r="G2935" t="s">
        <v>55</v>
      </c>
      <c r="J2935" t="s">
        <v>6505</v>
      </c>
      <c r="K2935" s="17" t="s">
        <v>207</v>
      </c>
      <c r="L2935">
        <v>3</v>
      </c>
    </row>
    <row r="2936" spans="1:12" x14ac:dyDescent="0.25">
      <c r="A2936" t="s">
        <v>6506</v>
      </c>
      <c r="B2936" t="s">
        <v>1099</v>
      </c>
      <c r="C2936" t="s">
        <v>477</v>
      </c>
      <c r="D2936" t="s">
        <v>46</v>
      </c>
      <c r="E2936">
        <v>25</v>
      </c>
      <c r="F2936" t="s">
        <v>169</v>
      </c>
      <c r="G2936" t="s">
        <v>191</v>
      </c>
      <c r="H2936" t="s">
        <v>6507</v>
      </c>
      <c r="I2936" s="1" t="d">
        <v>2010-07-26</v>
      </c>
      <c r="J2936" t="s">
        <v>358</v>
      </c>
      <c r="K2936" s="17" t="s">
        <v>58</v>
      </c>
      <c r="L2936">
        <v>3</v>
      </c>
    </row>
    <row r="2937" spans="1:12" x14ac:dyDescent="0.25">
      <c r="A2937" t="s">
        <v>6508</v>
      </c>
      <c r="B2937" t="s">
        <v>695</v>
      </c>
      <c r="C2937" t="s">
        <v>204</v>
      </c>
      <c r="D2937" t="s">
        <v>46</v>
      </c>
      <c r="E2937">
        <v>48</v>
      </c>
      <c r="F2937" t="s">
        <v>422</v>
      </c>
      <c r="G2937" t="s">
        <v>88</v>
      </c>
      <c r="H2937" s="2">
        <v>82032</v>
      </c>
      <c r="I2937" s="1" t="d">
        <v>2009-10-05</v>
      </c>
      <c r="J2937" t="s">
        <v>1822</v>
      </c>
      <c r="K2937" s="17" t="s">
        <v>27</v>
      </c>
      <c r="L2937">
        <v>3</v>
      </c>
    </row>
    <row r="2938" spans="1:12" x14ac:dyDescent="0.25">
      <c r="A2938" t="s">
        <v>6509</v>
      </c>
      <c r="B2938" t="s">
        <v>92</v>
      </c>
      <c r="C2938" t="s">
        <v>552</v>
      </c>
      <c r="D2938" t="s">
        <v>46</v>
      </c>
      <c r="E2938">
        <v>32</v>
      </c>
      <c r="F2938" t="s">
        <v>81</v>
      </c>
      <c r="G2938" t="s">
        <v>283</v>
      </c>
      <c r="H2938">
        <v>100862</v>
      </c>
      <c r="I2938" s="1" t="d">
        <v>2020-02-02</v>
      </c>
      <c r="J2938" t="s">
        <v>4020</v>
      </c>
      <c r="K2938" s="17" t="s">
        <v>207</v>
      </c>
      <c r="L2938">
        <v>3</v>
      </c>
    </row>
    <row r="2939" spans="1:12" x14ac:dyDescent="0.25">
      <c r="A2939" t="s">
        <v>6510</v>
      </c>
      <c r="B2939" t="s">
        <v>499</v>
      </c>
      <c r="C2939" t="s">
        <v>457</v>
      </c>
      <c r="D2939" t="s">
        <v>9527</v>
      </c>
      <c r="E2939">
        <v>43</v>
      </c>
      <c r="F2939" t="s">
        <v>153</v>
      </c>
      <c r="G2939" t="s">
        <v>39</v>
      </c>
      <c r="H2939" t="s">
        <v>6511</v>
      </c>
      <c r="I2939" s="1" t="d">
        <v>2009-05-13</v>
      </c>
      <c r="J2939" t="s">
        <v>6512</v>
      </c>
      <c r="K2939" s="17" t="s">
        <v>71</v>
      </c>
      <c r="L2939">
        <v>5</v>
      </c>
    </row>
    <row r="2940" spans="1:12" x14ac:dyDescent="0.25">
      <c r="A2940" t="s">
        <v>6513</v>
      </c>
      <c r="B2940" t="s">
        <v>833</v>
      </c>
      <c r="C2940" t="s">
        <v>158</v>
      </c>
      <c r="D2940" t="s">
        <v>23</v>
      </c>
      <c r="E2940">
        <v>40</v>
      </c>
      <c r="F2940" t="s">
        <v>108</v>
      </c>
      <c r="G2940" t="s">
        <v>55</v>
      </c>
      <c r="H2940" s="2">
        <v>96751</v>
      </c>
      <c r="I2940" s="1" t="d">
        <v>2014-07-31</v>
      </c>
      <c r="J2940" t="s">
        <v>4393</v>
      </c>
      <c r="K2940" s="17" t="s">
        <v>100</v>
      </c>
      <c r="L2940">
        <v>4</v>
      </c>
    </row>
    <row r="2941" spans="1:12" x14ac:dyDescent="0.25">
      <c r="A2941" t="s">
        <v>6514</v>
      </c>
      <c r="B2941" t="s">
        <v>6515</v>
      </c>
      <c r="C2941" t="s">
        <v>381</v>
      </c>
      <c r="D2941" t="s">
        <v>23</v>
      </c>
      <c r="E2941">
        <v>49</v>
      </c>
      <c r="F2941" t="s">
        <v>169</v>
      </c>
      <c r="G2941" t="s">
        <v>82</v>
      </c>
      <c r="H2941">
        <v>53406</v>
      </c>
      <c r="I2941" s="1" t="d">
        <v>2005-05-14</v>
      </c>
      <c r="J2941" t="s">
        <v>6516</v>
      </c>
      <c r="K2941" s="17" t="s">
        <v>19</v>
      </c>
      <c r="L2941">
        <v>4</v>
      </c>
    </row>
    <row r="2942" spans="1:12" x14ac:dyDescent="0.25">
      <c r="A2942" t="s">
        <v>6517</v>
      </c>
      <c r="B2942" t="s">
        <v>4379</v>
      </c>
      <c r="C2942" t="s">
        <v>22</v>
      </c>
      <c r="D2942" t="s">
        <v>46</v>
      </c>
      <c r="E2942">
        <v>48</v>
      </c>
      <c r="F2942" t="s">
        <v>365</v>
      </c>
      <c r="G2942" t="s">
        <v>39</v>
      </c>
      <c r="I2942" s="1" t="d">
        <v>2009-07-15</v>
      </c>
      <c r="J2942" t="s">
        <v>4405</v>
      </c>
      <c r="K2942" s="17" t="s">
        <v>50</v>
      </c>
      <c r="L2942">
        <v>4</v>
      </c>
    </row>
    <row r="2943" spans="1:12" x14ac:dyDescent="0.25">
      <c r="A2943" t="s">
        <v>6518</v>
      </c>
      <c r="B2943" t="s">
        <v>421</v>
      </c>
      <c r="C2943" t="s">
        <v>778</v>
      </c>
      <c r="D2943" t="s">
        <v>46</v>
      </c>
      <c r="E2943">
        <v>34</v>
      </c>
      <c r="F2943" t="s">
        <v>287</v>
      </c>
      <c r="G2943" t="s">
        <v>328</v>
      </c>
      <c r="H2943" t="s">
        <v>6519</v>
      </c>
      <c r="I2943" s="1" t="d">
        <v>2022-09-01</v>
      </c>
      <c r="J2943" t="s">
        <v>6520</v>
      </c>
      <c r="K2943" s="17" t="s">
        <v>27</v>
      </c>
      <c r="L2943">
        <v>4</v>
      </c>
    </row>
    <row r="2944" spans="1:12" x14ac:dyDescent="0.25">
      <c r="A2944" t="s">
        <v>6521</v>
      </c>
      <c r="B2944" t="s">
        <v>786</v>
      </c>
      <c r="C2944" t="s">
        <v>181</v>
      </c>
      <c r="D2944" t="s">
        <v>9527</v>
      </c>
      <c r="E2944">
        <v>21</v>
      </c>
      <c r="F2944" t="s">
        <v>406</v>
      </c>
      <c r="G2944" t="s">
        <v>217</v>
      </c>
      <c r="H2944">
        <v>62825</v>
      </c>
      <c r="I2944" s="1" t="d">
        <v>2010-10-27</v>
      </c>
      <c r="J2944" t="s">
        <v>1606</v>
      </c>
      <c r="K2944" s="17" t="s">
        <v>34</v>
      </c>
      <c r="L2944">
        <v>4</v>
      </c>
    </row>
    <row r="2945" spans="1:12" x14ac:dyDescent="0.25">
      <c r="A2945" t="s">
        <v>6522</v>
      </c>
      <c r="B2945" t="s">
        <v>583</v>
      </c>
      <c r="C2945" t="s">
        <v>1622</v>
      </c>
      <c r="D2945" t="s">
        <v>46</v>
      </c>
      <c r="E2945">
        <v>37</v>
      </c>
      <c r="F2945" t="s">
        <v>122</v>
      </c>
      <c r="G2945" t="s">
        <v>205</v>
      </c>
      <c r="H2945" s="2">
        <v>61992</v>
      </c>
      <c r="I2945" s="1" t="d">
        <v>2005-04-27</v>
      </c>
      <c r="J2945" t="s">
        <v>3152</v>
      </c>
      <c r="K2945" s="17" t="s">
        <v>149</v>
      </c>
      <c r="L2945">
        <v>3</v>
      </c>
    </row>
    <row r="2946" spans="1:12" x14ac:dyDescent="0.25">
      <c r="A2946" t="s">
        <v>6523</v>
      </c>
      <c r="B2946" t="s">
        <v>789</v>
      </c>
      <c r="C2946" t="s">
        <v>6524</v>
      </c>
      <c r="D2946" t="s">
        <v>9527</v>
      </c>
      <c r="E2946">
        <v>33</v>
      </c>
      <c r="F2946" t="s">
        <v>196</v>
      </c>
      <c r="G2946" t="s">
        <v>177</v>
      </c>
      <c r="I2946" s="1" t="d">
        <v>2014-10-19</v>
      </c>
      <c r="J2946" t="s">
        <v>2303</v>
      </c>
      <c r="K2946" s="17" t="s">
        <v>71</v>
      </c>
      <c r="L2946">
        <v>3</v>
      </c>
    </row>
    <row r="2947" spans="1:12" x14ac:dyDescent="0.25">
      <c r="A2947" t="s">
        <v>6525</v>
      </c>
      <c r="B2947" t="s">
        <v>134</v>
      </c>
      <c r="C2947" t="s">
        <v>1248</v>
      </c>
      <c r="D2947" t="s">
        <v>46</v>
      </c>
      <c r="E2947">
        <v>42</v>
      </c>
      <c r="F2947" t="s">
        <v>319</v>
      </c>
      <c r="G2947" t="s">
        <v>3197</v>
      </c>
      <c r="H2947" s="2">
        <v>46178</v>
      </c>
      <c r="I2947" s="1" t="d">
        <v>2008-03-28</v>
      </c>
      <c r="J2947" t="s">
        <v>1289</v>
      </c>
      <c r="K2947" s="17" t="s">
        <v>19</v>
      </c>
      <c r="L2947">
        <v>4</v>
      </c>
    </row>
    <row r="2948" spans="1:12" x14ac:dyDescent="0.25">
      <c r="A2948" t="s">
        <v>6526</v>
      </c>
      <c r="B2948" t="s">
        <v>162</v>
      </c>
      <c r="C2948" t="s">
        <v>37</v>
      </c>
      <c r="D2948" t="s">
        <v>46</v>
      </c>
      <c r="E2948">
        <v>34</v>
      </c>
      <c r="F2948" t="s">
        <v>216</v>
      </c>
      <c r="G2948" t="s">
        <v>912</v>
      </c>
      <c r="H2948">
        <v>49925</v>
      </c>
      <c r="I2948" s="1" t="d">
        <v>2015-05-31</v>
      </c>
      <c r="J2948" t="s">
        <v>2091</v>
      </c>
      <c r="K2948" s="17" t="s">
        <v>71</v>
      </c>
      <c r="L2948">
        <v>4</v>
      </c>
    </row>
    <row r="2949" spans="1:12" x14ac:dyDescent="0.25">
      <c r="A2949" t="s">
        <v>6527</v>
      </c>
      <c r="B2949" t="s">
        <v>786</v>
      </c>
      <c r="C2949" t="s">
        <v>291</v>
      </c>
      <c r="D2949" t="s">
        <v>23</v>
      </c>
      <c r="E2949">
        <v>40</v>
      </c>
      <c r="F2949" t="s">
        <v>277</v>
      </c>
      <c r="G2949" t="s">
        <v>69</v>
      </c>
      <c r="H2949" t="s">
        <v>6528</v>
      </c>
      <c r="I2949" s="1" t="d">
        <v>2018-01-04</v>
      </c>
      <c r="J2949" t="s">
        <v>1704</v>
      </c>
      <c r="K2949" s="17" t="s">
        <v>118</v>
      </c>
      <c r="L2949">
        <v>3</v>
      </c>
    </row>
    <row r="2950" spans="1:12" x14ac:dyDescent="0.25">
      <c r="A2950" t="s">
        <v>6529</v>
      </c>
      <c r="B2950" t="s">
        <v>1086</v>
      </c>
      <c r="C2950" t="s">
        <v>457</v>
      </c>
      <c r="D2950" t="s">
        <v>9527</v>
      </c>
      <c r="E2950">
        <v>44</v>
      </c>
      <c r="F2950" t="s">
        <v>211</v>
      </c>
      <c r="G2950" t="s">
        <v>170</v>
      </c>
      <c r="H2950" t="s">
        <v>6530</v>
      </c>
      <c r="I2950" s="1" t="d">
        <v>2006-03-24</v>
      </c>
      <c r="J2950" t="s">
        <v>1318</v>
      </c>
      <c r="K2950" s="17" t="s">
        <v>149</v>
      </c>
      <c r="L2950">
        <v>1</v>
      </c>
    </row>
    <row r="2951" spans="1:12" x14ac:dyDescent="0.25">
      <c r="A2951" t="s">
        <v>6531</v>
      </c>
      <c r="B2951" t="s">
        <v>3201</v>
      </c>
      <c r="C2951" t="s">
        <v>163</v>
      </c>
      <c r="D2951" t="s">
        <v>23</v>
      </c>
      <c r="E2951">
        <v>42</v>
      </c>
      <c r="F2951" t="s">
        <v>146</v>
      </c>
      <c r="G2951" t="s">
        <v>82</v>
      </c>
      <c r="J2951" t="s">
        <v>2176</v>
      </c>
      <c r="K2951" s="17" t="s">
        <v>42</v>
      </c>
      <c r="L2951">
        <v>4</v>
      </c>
    </row>
    <row r="2952" spans="1:12" x14ac:dyDescent="0.25">
      <c r="A2952" t="s">
        <v>6532</v>
      </c>
      <c r="B2952" t="s">
        <v>2095</v>
      </c>
      <c r="C2952" t="s">
        <v>152</v>
      </c>
      <c r="D2952" t="s">
        <v>9527</v>
      </c>
      <c r="E2952">
        <v>37</v>
      </c>
      <c r="F2952" t="s">
        <v>576</v>
      </c>
      <c r="G2952" t="s">
        <v>39</v>
      </c>
      <c r="H2952" t="s">
        <v>6533</v>
      </c>
      <c r="I2952" s="1" t="d">
        <v>2012-02-15</v>
      </c>
      <c r="J2952" t="s">
        <v>2611</v>
      </c>
      <c r="K2952" s="17" t="s">
        <v>58</v>
      </c>
      <c r="L2952">
        <v>2</v>
      </c>
    </row>
    <row r="2953" spans="1:12" x14ac:dyDescent="0.25">
      <c r="A2953" t="s">
        <v>6534</v>
      </c>
      <c r="B2953" t="s">
        <v>630</v>
      </c>
      <c r="C2953" t="s">
        <v>851</v>
      </c>
      <c r="D2953" t="s">
        <v>23</v>
      </c>
      <c r="E2953">
        <v>30</v>
      </c>
      <c r="F2953" t="s">
        <v>269</v>
      </c>
      <c r="G2953" t="s">
        <v>32</v>
      </c>
      <c r="H2953">
        <v>39797</v>
      </c>
      <c r="I2953" s="1" t="d">
        <v>2008-09-09</v>
      </c>
      <c r="J2953" t="s">
        <v>2373</v>
      </c>
      <c r="K2953" s="17" t="s">
        <v>34</v>
      </c>
      <c r="L2953">
        <v>3</v>
      </c>
    </row>
    <row r="2954" spans="1:12" x14ac:dyDescent="0.25">
      <c r="A2954" t="s">
        <v>6535</v>
      </c>
      <c r="B2954" t="s">
        <v>841</v>
      </c>
      <c r="C2954" t="s">
        <v>555</v>
      </c>
      <c r="D2954" t="s">
        <v>46</v>
      </c>
      <c r="E2954">
        <v>28</v>
      </c>
      <c r="G2954" t="s">
        <v>115</v>
      </c>
      <c r="H2954">
        <v>50123</v>
      </c>
      <c r="I2954" s="1" t="d">
        <v>2015-07-26</v>
      </c>
      <c r="J2954" t="s">
        <v>3686</v>
      </c>
      <c r="K2954" s="17" t="s">
        <v>27</v>
      </c>
      <c r="L2954">
        <v>4</v>
      </c>
    </row>
    <row r="2955" spans="1:12" x14ac:dyDescent="0.25">
      <c r="A2955" t="s">
        <v>6536</v>
      </c>
      <c r="B2955" t="s">
        <v>901</v>
      </c>
      <c r="C2955" t="s">
        <v>715</v>
      </c>
      <c r="D2955" t="s">
        <v>23</v>
      </c>
      <c r="E2955">
        <v>49</v>
      </c>
      <c r="F2955" t="s">
        <v>230</v>
      </c>
      <c r="G2955" t="s">
        <v>177</v>
      </c>
      <c r="I2955" s="1" t="d">
        <v>2007-12-23</v>
      </c>
      <c r="J2955" t="s">
        <v>1003</v>
      </c>
      <c r="K2955" s="17" t="s">
        <v>50</v>
      </c>
      <c r="L2955">
        <v>3</v>
      </c>
    </row>
    <row r="2956" spans="1:12" x14ac:dyDescent="0.25">
      <c r="A2956" t="s">
        <v>6478</v>
      </c>
      <c r="B2956" t="s">
        <v>92</v>
      </c>
      <c r="C2956" t="s">
        <v>858</v>
      </c>
      <c r="D2956" t="s">
        <v>23</v>
      </c>
      <c r="E2956">
        <v>27</v>
      </c>
      <c r="F2956" t="s">
        <v>68</v>
      </c>
      <c r="G2956" t="s">
        <v>1199</v>
      </c>
      <c r="H2956" s="2">
        <v>138000</v>
      </c>
      <c r="I2956" s="1" t="d">
        <v>2018-11-15</v>
      </c>
      <c r="J2956" t="s">
        <v>6480</v>
      </c>
      <c r="K2956" s="17" t="s">
        <v>90</v>
      </c>
      <c r="L2956">
        <v>3</v>
      </c>
    </row>
    <row r="2957" spans="1:12" x14ac:dyDescent="0.25">
      <c r="A2957" t="s">
        <v>6537</v>
      </c>
      <c r="B2957" t="s">
        <v>2697</v>
      </c>
      <c r="C2957" t="s">
        <v>291</v>
      </c>
      <c r="D2957" t="s">
        <v>46</v>
      </c>
      <c r="E2957">
        <v>52</v>
      </c>
      <c r="F2957" t="s">
        <v>666</v>
      </c>
      <c r="G2957" t="s">
        <v>212</v>
      </c>
      <c r="I2957" s="1" t="d">
        <v>2018-01-24</v>
      </c>
      <c r="J2957" t="s">
        <v>1310</v>
      </c>
      <c r="K2957" s="17" t="s">
        <v>27</v>
      </c>
      <c r="L2957">
        <v>4</v>
      </c>
    </row>
    <row r="2958" spans="1:12" x14ac:dyDescent="0.25">
      <c r="A2958" t="s">
        <v>6538</v>
      </c>
      <c r="B2958" t="s">
        <v>102</v>
      </c>
      <c r="C2958" t="s">
        <v>416</v>
      </c>
      <c r="D2958" t="s">
        <v>9527</v>
      </c>
      <c r="E2958">
        <v>21</v>
      </c>
      <c r="F2958" t="s">
        <v>94</v>
      </c>
      <c r="G2958" t="s">
        <v>141</v>
      </c>
      <c r="H2958" t="s">
        <v>6539</v>
      </c>
      <c r="I2958" s="1" t="d">
        <v>2020-08-05</v>
      </c>
      <c r="J2958" t="s">
        <v>6540</v>
      </c>
      <c r="K2958" s="17" t="s">
        <v>58</v>
      </c>
      <c r="L2958">
        <v>3</v>
      </c>
    </row>
    <row r="2959" spans="1:12" x14ac:dyDescent="0.25">
      <c r="A2959" t="s">
        <v>6541</v>
      </c>
      <c r="B2959" t="s">
        <v>439</v>
      </c>
      <c r="C2959" t="s">
        <v>966</v>
      </c>
      <c r="D2959" t="s">
        <v>23</v>
      </c>
      <c r="E2959">
        <v>35</v>
      </c>
      <c r="F2959" t="s">
        <v>1116</v>
      </c>
      <c r="G2959" t="s">
        <v>25</v>
      </c>
      <c r="H2959" t="s">
        <v>6542</v>
      </c>
      <c r="I2959" s="1" t="d">
        <v>2007-03-02</v>
      </c>
      <c r="J2959" t="s">
        <v>3289</v>
      </c>
      <c r="K2959" s="17" t="s">
        <v>19</v>
      </c>
      <c r="L2959">
        <v>1</v>
      </c>
    </row>
    <row r="2960" spans="1:12" x14ac:dyDescent="0.25">
      <c r="A2960" t="s">
        <v>6543</v>
      </c>
      <c r="B2960" t="s">
        <v>945</v>
      </c>
      <c r="C2960" t="s">
        <v>474</v>
      </c>
      <c r="D2960" t="s">
        <v>46</v>
      </c>
      <c r="E2960">
        <v>48</v>
      </c>
      <c r="F2960" t="s">
        <v>1116</v>
      </c>
      <c r="G2960" t="s">
        <v>170</v>
      </c>
      <c r="H2960" t="s">
        <v>6544</v>
      </c>
      <c r="I2960" s="1" t="d">
        <v>2019-08-23</v>
      </c>
      <c r="J2960" t="s">
        <v>3472</v>
      </c>
      <c r="K2960" s="17" t="s">
        <v>370</v>
      </c>
      <c r="L2960">
        <v>3</v>
      </c>
    </row>
    <row r="2961" spans="1:12" x14ac:dyDescent="0.25">
      <c r="A2961" t="s">
        <v>6545</v>
      </c>
      <c r="B2961" t="s">
        <v>315</v>
      </c>
      <c r="C2961" t="s">
        <v>1244</v>
      </c>
      <c r="D2961" t="s">
        <v>46</v>
      </c>
      <c r="E2961">
        <v>25</v>
      </c>
      <c r="F2961" t="s">
        <v>186</v>
      </c>
      <c r="G2961" t="s">
        <v>1866</v>
      </c>
      <c r="H2961">
        <v>99389</v>
      </c>
      <c r="I2961" s="1" t="d">
        <v>2010-04-08</v>
      </c>
      <c r="J2961" t="s">
        <v>3787</v>
      </c>
      <c r="K2961" s="17" t="s">
        <v>19</v>
      </c>
      <c r="L2961">
        <v>4</v>
      </c>
    </row>
    <row r="2962" spans="1:12" x14ac:dyDescent="0.25">
      <c r="A2962" t="s">
        <v>6546</v>
      </c>
      <c r="B2962" t="s">
        <v>1561</v>
      </c>
      <c r="C2962" t="s">
        <v>386</v>
      </c>
      <c r="D2962" t="s">
        <v>23</v>
      </c>
      <c r="E2962">
        <v>40</v>
      </c>
      <c r="F2962" t="s">
        <v>319</v>
      </c>
      <c r="G2962" t="s">
        <v>16</v>
      </c>
      <c r="H2962" t="s">
        <v>6547</v>
      </c>
      <c r="I2962" s="1" t="d">
        <v>2010-04-27</v>
      </c>
      <c r="J2962" t="s">
        <v>1128</v>
      </c>
      <c r="K2962" s="17" t="s">
        <v>27</v>
      </c>
      <c r="L2962">
        <v>3</v>
      </c>
    </row>
    <row r="2963" spans="1:12" x14ac:dyDescent="0.25">
      <c r="A2963" t="s">
        <v>6548</v>
      </c>
      <c r="B2963" t="s">
        <v>833</v>
      </c>
      <c r="C2963" t="s">
        <v>395</v>
      </c>
      <c r="D2963" t="s">
        <v>23</v>
      </c>
      <c r="E2963">
        <v>41</v>
      </c>
      <c r="F2963" t="s">
        <v>2604</v>
      </c>
      <c r="G2963" t="s">
        <v>82</v>
      </c>
      <c r="H2963" t="s">
        <v>6549</v>
      </c>
      <c r="I2963" s="1" t="d">
        <v>2020-06-23</v>
      </c>
      <c r="J2963" t="s">
        <v>2145</v>
      </c>
      <c r="K2963" s="17" t="s">
        <v>90</v>
      </c>
      <c r="L2963">
        <v>3</v>
      </c>
    </row>
    <row r="2964" spans="1:12" x14ac:dyDescent="0.25">
      <c r="A2964" t="s">
        <v>6550</v>
      </c>
      <c r="B2964" t="s">
        <v>130</v>
      </c>
      <c r="C2964" t="s">
        <v>684</v>
      </c>
      <c r="D2964" t="s">
        <v>9527</v>
      </c>
      <c r="E2964">
        <v>45</v>
      </c>
      <c r="F2964" t="s">
        <v>68</v>
      </c>
      <c r="G2964" t="s">
        <v>191</v>
      </c>
      <c r="H2964" s="2">
        <v>83908</v>
      </c>
      <c r="I2964" s="1" t="d">
        <v>2010-06-18</v>
      </c>
      <c r="J2964" t="s">
        <v>1283</v>
      </c>
      <c r="K2964" s="17" t="s">
        <v>42</v>
      </c>
      <c r="L2964">
        <v>3</v>
      </c>
    </row>
    <row r="2965" spans="1:12" x14ac:dyDescent="0.25">
      <c r="A2965" t="s">
        <v>6551</v>
      </c>
      <c r="B2965" t="s">
        <v>139</v>
      </c>
      <c r="C2965" t="s">
        <v>395</v>
      </c>
      <c r="D2965" t="s">
        <v>9527</v>
      </c>
      <c r="E2965">
        <v>21</v>
      </c>
      <c r="F2965" t="s">
        <v>153</v>
      </c>
      <c r="G2965" t="s">
        <v>182</v>
      </c>
      <c r="H2965" t="s">
        <v>6552</v>
      </c>
      <c r="I2965" s="1" t="d">
        <v>2018-07-18</v>
      </c>
      <c r="J2965" t="s">
        <v>6553</v>
      </c>
      <c r="K2965" s="17" t="s">
        <v>149</v>
      </c>
      <c r="L2965">
        <v>3</v>
      </c>
    </row>
    <row r="2966" spans="1:12" x14ac:dyDescent="0.25">
      <c r="A2966" t="s">
        <v>6554</v>
      </c>
      <c r="B2966" t="s">
        <v>228</v>
      </c>
      <c r="C2966" t="s">
        <v>660</v>
      </c>
      <c r="D2966" t="s">
        <v>23</v>
      </c>
      <c r="E2966">
        <v>21</v>
      </c>
      <c r="F2966" t="s">
        <v>666</v>
      </c>
      <c r="G2966" t="s">
        <v>16</v>
      </c>
      <c r="I2966" s="1" t="d">
        <v>2014-02-11</v>
      </c>
      <c r="J2966" t="s">
        <v>3802</v>
      </c>
      <c r="K2966" s="17" t="s">
        <v>34</v>
      </c>
      <c r="L2966">
        <v>3</v>
      </c>
    </row>
    <row r="2967" spans="1:12" x14ac:dyDescent="0.25">
      <c r="A2967" t="s">
        <v>6555</v>
      </c>
      <c r="B2967" t="s">
        <v>895</v>
      </c>
      <c r="C2967" t="s">
        <v>1142</v>
      </c>
      <c r="D2967" t="s">
        <v>9527</v>
      </c>
      <c r="E2967">
        <v>30</v>
      </c>
      <c r="F2967" t="s">
        <v>24</v>
      </c>
      <c r="G2967" t="s">
        <v>212</v>
      </c>
      <c r="H2967" s="2">
        <v>93059</v>
      </c>
      <c r="I2967" s="1" t="d">
        <v>2023-08-20</v>
      </c>
      <c r="J2967" t="s">
        <v>2181</v>
      </c>
      <c r="K2967" s="17" t="s">
        <v>27</v>
      </c>
      <c r="L2967">
        <v>3</v>
      </c>
    </row>
    <row r="2968" spans="1:12" x14ac:dyDescent="0.25">
      <c r="A2968" t="s">
        <v>6556</v>
      </c>
      <c r="B2968" t="s">
        <v>1403</v>
      </c>
      <c r="C2968" t="s">
        <v>2895</v>
      </c>
      <c r="D2968" t="s">
        <v>9527</v>
      </c>
      <c r="E2968">
        <v>42</v>
      </c>
      <c r="G2968" t="s">
        <v>55</v>
      </c>
      <c r="H2968" s="2">
        <v>51867</v>
      </c>
      <c r="I2968" s="1" t="d">
        <v>2011-10-13</v>
      </c>
      <c r="J2968" t="s">
        <v>3875</v>
      </c>
      <c r="K2968" s="17" t="s">
        <v>34</v>
      </c>
      <c r="L2968">
        <v>2</v>
      </c>
    </row>
    <row r="2969" spans="1:12" x14ac:dyDescent="0.25">
      <c r="A2969" t="s">
        <v>6557</v>
      </c>
      <c r="B2969" t="s">
        <v>2252</v>
      </c>
      <c r="C2969" t="s">
        <v>1069</v>
      </c>
      <c r="D2969" t="s">
        <v>23</v>
      </c>
      <c r="E2969">
        <v>23</v>
      </c>
      <c r="F2969" t="s">
        <v>649</v>
      </c>
      <c r="G2969" t="s">
        <v>25</v>
      </c>
      <c r="H2969" s="2">
        <v>103945</v>
      </c>
      <c r="I2969" s="1" t="d">
        <v>2023-05-15</v>
      </c>
      <c r="J2969" t="s">
        <v>6558</v>
      </c>
      <c r="K2969" s="17" t="s">
        <v>27</v>
      </c>
      <c r="L2969">
        <v>5</v>
      </c>
    </row>
    <row r="2970" spans="1:12" x14ac:dyDescent="0.25">
      <c r="A2970" t="s">
        <v>6559</v>
      </c>
      <c r="B2970" t="s">
        <v>833</v>
      </c>
      <c r="C2970" t="s">
        <v>521</v>
      </c>
      <c r="D2970" t="s">
        <v>9527</v>
      </c>
      <c r="E2970">
        <v>53</v>
      </c>
      <c r="F2970" t="s">
        <v>522</v>
      </c>
      <c r="G2970" t="s">
        <v>16</v>
      </c>
      <c r="H2970" t="s">
        <v>6560</v>
      </c>
      <c r="I2970" s="1" t="d">
        <v>2007-03-23</v>
      </c>
      <c r="J2970" t="s">
        <v>834</v>
      </c>
      <c r="K2970" s="17" t="s">
        <v>58</v>
      </c>
      <c r="L2970">
        <v>3</v>
      </c>
    </row>
    <row r="2971" spans="1:12" x14ac:dyDescent="0.25">
      <c r="A2971" t="s">
        <v>6561</v>
      </c>
      <c r="B2971" t="s">
        <v>2409</v>
      </c>
      <c r="C2971" t="s">
        <v>158</v>
      </c>
      <c r="D2971" t="s">
        <v>46</v>
      </c>
      <c r="E2971">
        <v>39</v>
      </c>
      <c r="F2971" t="s">
        <v>54</v>
      </c>
      <c r="G2971" t="s">
        <v>16</v>
      </c>
      <c r="H2971" t="s">
        <v>6562</v>
      </c>
      <c r="I2971" s="1" t="d">
        <v>2007-09-02</v>
      </c>
      <c r="J2971" t="s">
        <v>2731</v>
      </c>
      <c r="K2971" s="17" t="s">
        <v>100</v>
      </c>
      <c r="L2971">
        <v>4</v>
      </c>
    </row>
    <row r="2972" spans="1:12" x14ac:dyDescent="0.25">
      <c r="A2972" t="s">
        <v>6563</v>
      </c>
      <c r="B2972" t="s">
        <v>1437</v>
      </c>
      <c r="C2972" t="s">
        <v>5632</v>
      </c>
      <c r="D2972" t="s">
        <v>9527</v>
      </c>
      <c r="E2972">
        <v>42</v>
      </c>
      <c r="F2972" t="s">
        <v>81</v>
      </c>
      <c r="G2972" t="s">
        <v>212</v>
      </c>
      <c r="H2972" t="s">
        <v>6564</v>
      </c>
      <c r="I2972" s="1" t="d">
        <v>2012-02-20</v>
      </c>
      <c r="J2972" t="s">
        <v>569</v>
      </c>
      <c r="K2972" s="17" t="s">
        <v>27</v>
      </c>
      <c r="L2972">
        <v>3</v>
      </c>
    </row>
    <row r="2973" spans="1:12" x14ac:dyDescent="0.25">
      <c r="A2973" t="s">
        <v>6565</v>
      </c>
      <c r="B2973" t="s">
        <v>376</v>
      </c>
      <c r="C2973" t="s">
        <v>152</v>
      </c>
      <c r="D2973" t="s">
        <v>46</v>
      </c>
      <c r="E2973">
        <v>36</v>
      </c>
      <c r="F2973" t="s">
        <v>589</v>
      </c>
      <c r="G2973" t="s">
        <v>115</v>
      </c>
      <c r="H2973" t="s">
        <v>6566</v>
      </c>
      <c r="I2973" s="1" t="d">
        <v>2018-12-14</v>
      </c>
      <c r="J2973" t="s">
        <v>4096</v>
      </c>
      <c r="K2973" s="17" t="s">
        <v>90</v>
      </c>
      <c r="L2973">
        <v>2</v>
      </c>
    </row>
    <row r="2974" spans="1:12" x14ac:dyDescent="0.25">
      <c r="A2974" t="s">
        <v>6567</v>
      </c>
      <c r="B2974" t="s">
        <v>37</v>
      </c>
      <c r="C2974" t="s">
        <v>318</v>
      </c>
      <c r="D2974" t="s">
        <v>23</v>
      </c>
      <c r="E2974">
        <v>21</v>
      </c>
      <c r="F2974" t="s">
        <v>24</v>
      </c>
      <c r="G2974" t="s">
        <v>82</v>
      </c>
      <c r="H2974" s="2">
        <v>68207</v>
      </c>
      <c r="I2974" s="1" t="d">
        <v>2007-02-23</v>
      </c>
      <c r="J2974" t="s">
        <v>4948</v>
      </c>
      <c r="K2974" s="17" t="s">
        <v>370</v>
      </c>
      <c r="L2974">
        <v>3</v>
      </c>
    </row>
    <row r="2975" spans="1:12" x14ac:dyDescent="0.25">
      <c r="A2975" t="s">
        <v>6568</v>
      </c>
      <c r="B2975" t="s">
        <v>826</v>
      </c>
      <c r="C2975" t="s">
        <v>790</v>
      </c>
      <c r="D2975" t="s">
        <v>9527</v>
      </c>
      <c r="E2975">
        <v>21</v>
      </c>
      <c r="G2975" t="s">
        <v>1866</v>
      </c>
      <c r="H2975" t="s">
        <v>6569</v>
      </c>
      <c r="I2975" s="1" t="d">
        <v>2024-08-23</v>
      </c>
      <c r="J2975" t="s">
        <v>887</v>
      </c>
      <c r="K2975" s="17" t="s">
        <v>27</v>
      </c>
      <c r="L2975">
        <v>3</v>
      </c>
    </row>
    <row r="2976" spans="1:12" x14ac:dyDescent="0.25">
      <c r="A2976" t="s">
        <v>6570</v>
      </c>
      <c r="B2976" t="s">
        <v>144</v>
      </c>
      <c r="C2976" t="s">
        <v>699</v>
      </c>
      <c r="D2976" t="s">
        <v>23</v>
      </c>
      <c r="E2976">
        <v>51</v>
      </c>
      <c r="F2976" t="s">
        <v>15</v>
      </c>
      <c r="G2976" t="s">
        <v>69</v>
      </c>
      <c r="H2976" s="2">
        <v>95357</v>
      </c>
      <c r="I2976" s="1" t="d">
        <v>2017-05-30</v>
      </c>
      <c r="J2976" t="s">
        <v>2381</v>
      </c>
      <c r="K2976" s="17" t="s">
        <v>207</v>
      </c>
      <c r="L2976">
        <v>5</v>
      </c>
    </row>
    <row r="2977" spans="1:12" x14ac:dyDescent="0.25">
      <c r="A2977" t="s">
        <v>6571</v>
      </c>
      <c r="B2977" t="s">
        <v>874</v>
      </c>
      <c r="C2977" t="s">
        <v>189</v>
      </c>
      <c r="D2977" t="s">
        <v>23</v>
      </c>
      <c r="E2977">
        <v>24</v>
      </c>
      <c r="F2977" t="s">
        <v>253</v>
      </c>
      <c r="G2977" t="s">
        <v>39</v>
      </c>
      <c r="H2977" t="s">
        <v>6572</v>
      </c>
      <c r="I2977" s="1" t="d">
        <v>2020-12-20</v>
      </c>
      <c r="J2977" t="s">
        <v>1569</v>
      </c>
      <c r="K2977" s="17" t="s">
        <v>50</v>
      </c>
      <c r="L2977">
        <v>2</v>
      </c>
    </row>
    <row r="2978" spans="1:12" x14ac:dyDescent="0.25">
      <c r="A2978" t="s">
        <v>6573</v>
      </c>
      <c r="B2978" t="s">
        <v>571</v>
      </c>
      <c r="C2978" t="s">
        <v>45</v>
      </c>
      <c r="D2978" t="s">
        <v>23</v>
      </c>
      <c r="E2978">
        <v>46</v>
      </c>
      <c r="F2978" t="s">
        <v>94</v>
      </c>
      <c r="G2978" t="s">
        <v>82</v>
      </c>
      <c r="H2978" t="s">
        <v>6574</v>
      </c>
      <c r="I2978" s="1" t="d">
        <v>2013-04-28</v>
      </c>
      <c r="J2978" t="s">
        <v>6575</v>
      </c>
      <c r="K2978" s="17" t="s">
        <v>207</v>
      </c>
      <c r="L2978">
        <v>3</v>
      </c>
    </row>
    <row r="2979" spans="1:12" x14ac:dyDescent="0.25">
      <c r="A2979" t="s">
        <v>6576</v>
      </c>
      <c r="B2979" t="s">
        <v>1181</v>
      </c>
      <c r="C2979" t="s">
        <v>6577</v>
      </c>
      <c r="D2979" t="s">
        <v>46</v>
      </c>
      <c r="E2979">
        <v>52</v>
      </c>
      <c r="G2979" t="s">
        <v>205</v>
      </c>
      <c r="H2979">
        <v>61603</v>
      </c>
      <c r="I2979" s="1" t="d">
        <v>2006-11-14</v>
      </c>
      <c r="J2979" t="s">
        <v>6578</v>
      </c>
      <c r="K2979" s="17" t="s">
        <v>50</v>
      </c>
      <c r="L2979">
        <v>4</v>
      </c>
    </row>
    <row r="2980" spans="1:12" x14ac:dyDescent="0.25">
      <c r="A2980" t="s">
        <v>6579</v>
      </c>
      <c r="B2980" t="s">
        <v>5193</v>
      </c>
      <c r="C2980" t="s">
        <v>607</v>
      </c>
      <c r="D2980" t="s">
        <v>9527</v>
      </c>
      <c r="E2980">
        <v>27</v>
      </c>
      <c r="F2980" t="s">
        <v>253</v>
      </c>
      <c r="G2980" t="s">
        <v>115</v>
      </c>
      <c r="H2980" s="2">
        <v>54931</v>
      </c>
      <c r="I2980" s="1" t="d">
        <v>2022-03-27</v>
      </c>
      <c r="J2980" t="s">
        <v>2731</v>
      </c>
      <c r="K2980" s="17" t="s">
        <v>19</v>
      </c>
      <c r="L2980">
        <v>3</v>
      </c>
    </row>
    <row r="2981" spans="1:12" x14ac:dyDescent="0.25">
      <c r="A2981" t="s">
        <v>2007</v>
      </c>
      <c r="B2981" t="s">
        <v>144</v>
      </c>
      <c r="C2981" t="s">
        <v>2008</v>
      </c>
      <c r="D2981" t="s">
        <v>9527</v>
      </c>
      <c r="E2981">
        <v>48</v>
      </c>
      <c r="G2981" t="s">
        <v>231</v>
      </c>
      <c r="H2981" s="2">
        <v>105105</v>
      </c>
      <c r="I2981" s="1" t="d">
        <v>2016-08-18</v>
      </c>
      <c r="J2981" t="s">
        <v>2009</v>
      </c>
      <c r="K2981" s="17" t="s">
        <v>100</v>
      </c>
      <c r="L2981">
        <v>4</v>
      </c>
    </row>
    <row r="2982" spans="1:12" x14ac:dyDescent="0.25">
      <c r="A2982" t="s">
        <v>6580</v>
      </c>
      <c r="B2982" t="s">
        <v>507</v>
      </c>
      <c r="C2982" t="s">
        <v>107</v>
      </c>
      <c r="D2982" t="s">
        <v>46</v>
      </c>
      <c r="E2982">
        <v>44</v>
      </c>
      <c r="F2982" t="s">
        <v>471</v>
      </c>
      <c r="G2982" t="s">
        <v>39</v>
      </c>
      <c r="H2982" t="s">
        <v>6581</v>
      </c>
      <c r="I2982" s="1" t="d">
        <v>2007-01-11</v>
      </c>
      <c r="J2982" t="s">
        <v>6582</v>
      </c>
      <c r="K2982" s="17" t="s">
        <v>42</v>
      </c>
      <c r="L2982">
        <v>3</v>
      </c>
    </row>
    <row r="2983" spans="1:12" x14ac:dyDescent="0.25">
      <c r="A2983" t="s">
        <v>6583</v>
      </c>
      <c r="B2983" t="s">
        <v>1471</v>
      </c>
      <c r="C2983" t="s">
        <v>584</v>
      </c>
      <c r="D2983" t="s">
        <v>9527</v>
      </c>
      <c r="E2983">
        <v>34</v>
      </c>
      <c r="F2983" t="s">
        <v>522</v>
      </c>
      <c r="G2983" t="s">
        <v>177</v>
      </c>
      <c r="H2983" s="2">
        <v>81529</v>
      </c>
      <c r="I2983" s="1" t="d">
        <v>2017-11-18</v>
      </c>
      <c r="J2983" t="s">
        <v>2544</v>
      </c>
      <c r="K2983" s="17" t="s">
        <v>149</v>
      </c>
      <c r="L2983">
        <v>3</v>
      </c>
    </row>
    <row r="2984" spans="1:12" x14ac:dyDescent="0.25">
      <c r="A2984" t="s">
        <v>6584</v>
      </c>
      <c r="B2984" t="s">
        <v>37</v>
      </c>
      <c r="C2984" t="s">
        <v>268</v>
      </c>
      <c r="D2984" t="s">
        <v>23</v>
      </c>
      <c r="E2984">
        <v>35</v>
      </c>
      <c r="G2984" t="s">
        <v>115</v>
      </c>
      <c r="H2984" t="s">
        <v>6585</v>
      </c>
      <c r="I2984" s="1" t="d">
        <v>2014-03-28</v>
      </c>
      <c r="J2984" t="s">
        <v>6586</v>
      </c>
      <c r="K2984" s="17" t="s">
        <v>19</v>
      </c>
      <c r="L2984">
        <v>3</v>
      </c>
    </row>
    <row r="2985" spans="1:12" x14ac:dyDescent="0.25">
      <c r="A2985" t="s">
        <v>6587</v>
      </c>
      <c r="B2985" t="s">
        <v>139</v>
      </c>
      <c r="C2985" t="s">
        <v>210</v>
      </c>
      <c r="D2985" t="s">
        <v>23</v>
      </c>
      <c r="E2985">
        <v>26</v>
      </c>
      <c r="F2985" t="s">
        <v>918</v>
      </c>
      <c r="G2985" t="s">
        <v>170</v>
      </c>
      <c r="H2985" t="s">
        <v>6588</v>
      </c>
      <c r="I2985" s="1" t="d">
        <v>2007-10-22</v>
      </c>
      <c r="J2985" t="s">
        <v>6589</v>
      </c>
      <c r="K2985" s="17" t="s">
        <v>58</v>
      </c>
      <c r="L2985">
        <v>4</v>
      </c>
    </row>
    <row r="2986" spans="1:12" x14ac:dyDescent="0.25">
      <c r="A2986" t="s">
        <v>6590</v>
      </c>
      <c r="B2986" t="s">
        <v>520</v>
      </c>
      <c r="C2986" t="s">
        <v>295</v>
      </c>
      <c r="D2986" t="s">
        <v>9527</v>
      </c>
      <c r="E2986">
        <v>32</v>
      </c>
      <c r="F2986" t="s">
        <v>406</v>
      </c>
      <c r="G2986" t="s">
        <v>212</v>
      </c>
      <c r="J2986" t="s">
        <v>6591</v>
      </c>
      <c r="K2986" s="17" t="s">
        <v>34</v>
      </c>
      <c r="L2986">
        <v>4</v>
      </c>
    </row>
    <row r="2987" spans="1:12" x14ac:dyDescent="0.25">
      <c r="A2987" t="s">
        <v>6592</v>
      </c>
      <c r="B2987" t="s">
        <v>281</v>
      </c>
      <c r="C2987" t="s">
        <v>189</v>
      </c>
      <c r="D2987" t="s">
        <v>9527</v>
      </c>
      <c r="E2987">
        <v>36</v>
      </c>
      <c r="F2987" t="s">
        <v>422</v>
      </c>
      <c r="G2987" t="s">
        <v>141</v>
      </c>
      <c r="H2987" t="s">
        <v>6593</v>
      </c>
      <c r="I2987" s="1" t="d">
        <v>2015-03-24</v>
      </c>
      <c r="J2987" t="s">
        <v>6594</v>
      </c>
      <c r="K2987" s="17" t="s">
        <v>58</v>
      </c>
      <c r="L2987">
        <v>4</v>
      </c>
    </row>
    <row r="2988" spans="1:12" x14ac:dyDescent="0.25">
      <c r="A2988" t="s">
        <v>6595</v>
      </c>
      <c r="B2988" t="s">
        <v>66</v>
      </c>
      <c r="C2988" t="s">
        <v>2300</v>
      </c>
      <c r="D2988" t="s">
        <v>46</v>
      </c>
      <c r="E2988">
        <v>36</v>
      </c>
      <c r="F2988" t="s">
        <v>94</v>
      </c>
      <c r="G2988" t="s">
        <v>191</v>
      </c>
      <c r="H2988" t="s">
        <v>6596</v>
      </c>
      <c r="I2988" s="1" t="d">
        <v>2016-05-31</v>
      </c>
      <c r="J2988" t="s">
        <v>192</v>
      </c>
      <c r="K2988" s="17" t="s">
        <v>58</v>
      </c>
      <c r="L2988">
        <v>3</v>
      </c>
    </row>
    <row r="2989" spans="1:12" x14ac:dyDescent="0.25">
      <c r="A2989" t="s">
        <v>6597</v>
      </c>
      <c r="B2989" t="s">
        <v>566</v>
      </c>
      <c r="C2989" t="s">
        <v>858</v>
      </c>
      <c r="D2989" t="s">
        <v>9527</v>
      </c>
      <c r="E2989">
        <v>25</v>
      </c>
      <c r="F2989" t="s">
        <v>62</v>
      </c>
      <c r="G2989" t="s">
        <v>423</v>
      </c>
      <c r="H2989" s="2">
        <v>80389</v>
      </c>
      <c r="I2989" s="1" t="d">
        <v>2012-08-27</v>
      </c>
      <c r="J2989" t="s">
        <v>4823</v>
      </c>
      <c r="K2989" s="17" t="s">
        <v>207</v>
      </c>
      <c r="L2989">
        <v>2</v>
      </c>
    </row>
    <row r="2990" spans="1:12" x14ac:dyDescent="0.25">
      <c r="A2990" t="s">
        <v>6598</v>
      </c>
      <c r="B2990" t="s">
        <v>267</v>
      </c>
      <c r="C2990" t="s">
        <v>516</v>
      </c>
      <c r="D2990" t="s">
        <v>23</v>
      </c>
      <c r="E2990">
        <v>29</v>
      </c>
      <c r="F2990" t="s">
        <v>559</v>
      </c>
      <c r="G2990" t="s">
        <v>357</v>
      </c>
      <c r="H2990" s="2">
        <v>150919</v>
      </c>
      <c r="I2990" s="1" t="d">
        <v>2010-07-06</v>
      </c>
      <c r="J2990" t="s">
        <v>6599</v>
      </c>
      <c r="K2990" s="17" t="s">
        <v>50</v>
      </c>
      <c r="L2990">
        <v>5</v>
      </c>
    </row>
    <row r="2991" spans="1:12" x14ac:dyDescent="0.25">
      <c r="A2991" t="s">
        <v>6600</v>
      </c>
      <c r="B2991" t="s">
        <v>5263</v>
      </c>
      <c r="C2991" t="s">
        <v>2926</v>
      </c>
      <c r="D2991" t="s">
        <v>23</v>
      </c>
      <c r="E2991">
        <v>53</v>
      </c>
      <c r="F2991" t="s">
        <v>365</v>
      </c>
      <c r="G2991" t="s">
        <v>16</v>
      </c>
      <c r="H2991" t="s">
        <v>6601</v>
      </c>
      <c r="I2991" s="1" t="d">
        <v>2005-04-24</v>
      </c>
      <c r="J2991" t="s">
        <v>4754</v>
      </c>
      <c r="K2991" s="17" t="s">
        <v>42</v>
      </c>
      <c r="L2991">
        <v>2</v>
      </c>
    </row>
    <row r="2992" spans="1:12" x14ac:dyDescent="0.25">
      <c r="A2992" t="s">
        <v>6602</v>
      </c>
      <c r="B2992" t="s">
        <v>410</v>
      </c>
      <c r="C2992" t="s">
        <v>1881</v>
      </c>
      <c r="D2992" t="s">
        <v>23</v>
      </c>
      <c r="E2992">
        <v>46</v>
      </c>
      <c r="G2992" t="s">
        <v>1277</v>
      </c>
      <c r="H2992">
        <v>36379</v>
      </c>
      <c r="I2992" s="1" t="d">
        <v>2009-11-22</v>
      </c>
      <c r="J2992" t="s">
        <v>6603</v>
      </c>
      <c r="K2992" s="17" t="s">
        <v>118</v>
      </c>
      <c r="L2992">
        <v>4</v>
      </c>
    </row>
    <row r="2993" spans="1:12" x14ac:dyDescent="0.25">
      <c r="A2993" t="s">
        <v>6604</v>
      </c>
      <c r="B2993" t="s">
        <v>1877</v>
      </c>
      <c r="C2993" t="s">
        <v>140</v>
      </c>
      <c r="D2993" t="s">
        <v>23</v>
      </c>
      <c r="E2993">
        <v>36</v>
      </c>
      <c r="F2993" t="s">
        <v>350</v>
      </c>
      <c r="G2993" t="s">
        <v>351</v>
      </c>
      <c r="H2993" t="s">
        <v>6605</v>
      </c>
      <c r="I2993" s="1" t="d">
        <v>2017-05-21</v>
      </c>
      <c r="J2993" t="s">
        <v>1559</v>
      </c>
      <c r="K2993" s="17" t="s">
        <v>149</v>
      </c>
      <c r="L2993">
        <v>3</v>
      </c>
    </row>
    <row r="2994" spans="1:12" x14ac:dyDescent="0.25">
      <c r="A2994" t="s">
        <v>6606</v>
      </c>
      <c r="B2994" t="s">
        <v>448</v>
      </c>
      <c r="C2994" t="s">
        <v>204</v>
      </c>
      <c r="D2994" t="s">
        <v>9527</v>
      </c>
      <c r="E2994">
        <v>41</v>
      </c>
      <c r="G2994" t="s">
        <v>170</v>
      </c>
      <c r="H2994" s="2">
        <v>57705</v>
      </c>
      <c r="I2994" s="1" t="d">
        <v>2020-06-19</v>
      </c>
      <c r="J2994" t="s">
        <v>6607</v>
      </c>
      <c r="K2994" s="17" t="s">
        <v>42</v>
      </c>
      <c r="L2994">
        <v>2</v>
      </c>
    </row>
    <row r="2995" spans="1:12" x14ac:dyDescent="0.25">
      <c r="A2995" t="s">
        <v>6608</v>
      </c>
      <c r="B2995" t="s">
        <v>86</v>
      </c>
      <c r="C2995" t="s">
        <v>386</v>
      </c>
      <c r="D2995" t="s">
        <v>9527</v>
      </c>
      <c r="E2995">
        <v>45</v>
      </c>
      <c r="F2995" t="s">
        <v>422</v>
      </c>
      <c r="G2995" t="s">
        <v>182</v>
      </c>
      <c r="H2995" t="s">
        <v>6609</v>
      </c>
      <c r="I2995" s="1" t="d">
        <v>2010-10-12</v>
      </c>
      <c r="J2995" t="s">
        <v>6512</v>
      </c>
      <c r="K2995" s="17" t="s">
        <v>100</v>
      </c>
      <c r="L2995">
        <v>3</v>
      </c>
    </row>
    <row r="2996" spans="1:12" x14ac:dyDescent="0.25">
      <c r="A2996" t="s">
        <v>6610</v>
      </c>
      <c r="B2996" t="s">
        <v>467</v>
      </c>
      <c r="C2996" t="s">
        <v>324</v>
      </c>
      <c r="D2996" t="s">
        <v>23</v>
      </c>
      <c r="E2996">
        <v>39</v>
      </c>
      <c r="F2996" t="s">
        <v>146</v>
      </c>
      <c r="G2996" t="s">
        <v>6611</v>
      </c>
      <c r="H2996" t="s">
        <v>6612</v>
      </c>
      <c r="I2996" s="1" t="d">
        <v>2023-08-27</v>
      </c>
      <c r="J2996" t="s">
        <v>952</v>
      </c>
      <c r="K2996" s="17" t="s">
        <v>118</v>
      </c>
      <c r="L2996">
        <v>3</v>
      </c>
    </row>
    <row r="2997" spans="1:12" x14ac:dyDescent="0.25">
      <c r="A2997" t="s">
        <v>6613</v>
      </c>
      <c r="B2997" t="s">
        <v>833</v>
      </c>
      <c r="C2997" t="s">
        <v>1039</v>
      </c>
      <c r="D2997" t="s">
        <v>9527</v>
      </c>
      <c r="E2997">
        <v>39</v>
      </c>
      <c r="F2997" t="s">
        <v>269</v>
      </c>
      <c r="G2997" t="s">
        <v>191</v>
      </c>
      <c r="H2997" t="s">
        <v>6614</v>
      </c>
      <c r="I2997" s="1" t="d">
        <v>2013-09-21</v>
      </c>
      <c r="J2997" t="s">
        <v>986</v>
      </c>
      <c r="K2997" s="17" t="s">
        <v>50</v>
      </c>
      <c r="L2997">
        <v>3</v>
      </c>
    </row>
    <row r="2998" spans="1:12" x14ac:dyDescent="0.25">
      <c r="A2998" t="s">
        <v>6615</v>
      </c>
      <c r="B2998" t="s">
        <v>914</v>
      </c>
      <c r="C2998" t="s">
        <v>332</v>
      </c>
      <c r="D2998" t="s">
        <v>9527</v>
      </c>
      <c r="E2998">
        <v>27</v>
      </c>
      <c r="F2998" t="s">
        <v>238</v>
      </c>
      <c r="G2998" t="s">
        <v>638</v>
      </c>
      <c r="H2998" s="2">
        <v>72854</v>
      </c>
      <c r="I2998" s="1" t="d">
        <v>2022-10-28</v>
      </c>
      <c r="J2998" t="s">
        <v>916</v>
      </c>
      <c r="K2998" s="17" t="s">
        <v>19</v>
      </c>
      <c r="L2998">
        <v>3</v>
      </c>
    </row>
    <row r="2999" spans="1:12" x14ac:dyDescent="0.25">
      <c r="A2999" t="s">
        <v>6616</v>
      </c>
      <c r="B2999" t="s">
        <v>86</v>
      </c>
      <c r="C2999" t="s">
        <v>6617</v>
      </c>
      <c r="D2999" t="s">
        <v>46</v>
      </c>
      <c r="E2999">
        <v>42</v>
      </c>
      <c r="F2999" t="s">
        <v>230</v>
      </c>
      <c r="G2999" t="s">
        <v>109</v>
      </c>
      <c r="H2999">
        <v>72132</v>
      </c>
      <c r="I2999" s="1" t="d">
        <v>2005-05-21</v>
      </c>
      <c r="J2999" t="s">
        <v>4445</v>
      </c>
      <c r="K2999" s="17" t="s">
        <v>184</v>
      </c>
      <c r="L2999">
        <v>4</v>
      </c>
    </row>
    <row r="3000" spans="1:12" x14ac:dyDescent="0.25">
      <c r="A3000" t="s">
        <v>6618</v>
      </c>
      <c r="B3000" t="s">
        <v>3939</v>
      </c>
      <c r="C3000" t="s">
        <v>1052</v>
      </c>
      <c r="D3000" t="s">
        <v>9527</v>
      </c>
      <c r="E3000">
        <v>22</v>
      </c>
      <c r="F3000" t="s">
        <v>15</v>
      </c>
      <c r="G3000" t="s">
        <v>191</v>
      </c>
      <c r="H3000" s="2">
        <v>87745</v>
      </c>
      <c r="I3000" s="1" t="d">
        <v>2013-11-02</v>
      </c>
      <c r="J3000" t="s">
        <v>776</v>
      </c>
      <c r="K3000" s="17" t="s">
        <v>58</v>
      </c>
      <c r="L3000">
        <v>5</v>
      </c>
    </row>
    <row r="3001" spans="1:12" x14ac:dyDescent="0.25">
      <c r="A3001" t="s">
        <v>6619</v>
      </c>
      <c r="B3001" t="s">
        <v>1605</v>
      </c>
      <c r="C3001" t="s">
        <v>898</v>
      </c>
      <c r="D3001" t="s">
        <v>9527</v>
      </c>
      <c r="E3001">
        <v>39</v>
      </c>
      <c r="F3001" t="s">
        <v>522</v>
      </c>
      <c r="G3001" t="s">
        <v>638</v>
      </c>
      <c r="H3001" t="s">
        <v>6620</v>
      </c>
      <c r="I3001" s="1" t="d">
        <v>2009-04-19</v>
      </c>
      <c r="J3001" t="s">
        <v>1606</v>
      </c>
      <c r="K3001" s="17" t="s">
        <v>50</v>
      </c>
      <c r="L3001">
        <v>3</v>
      </c>
    </row>
    <row r="3002" spans="1:12" x14ac:dyDescent="0.25">
      <c r="A3002" t="s">
        <v>6621</v>
      </c>
      <c r="B3002" t="s">
        <v>86</v>
      </c>
      <c r="C3002" t="s">
        <v>2118</v>
      </c>
      <c r="D3002" t="s">
        <v>46</v>
      </c>
      <c r="E3002">
        <v>32</v>
      </c>
      <c r="F3002" t="s">
        <v>258</v>
      </c>
      <c r="G3002" t="s">
        <v>407</v>
      </c>
      <c r="H3002" t="s">
        <v>6622</v>
      </c>
      <c r="I3002" s="1" t="d">
        <v>2022-05-10</v>
      </c>
      <c r="J3002" t="s">
        <v>2025</v>
      </c>
      <c r="K3002" s="17" t="s">
        <v>58</v>
      </c>
      <c r="L3002">
        <v>2</v>
      </c>
    </row>
    <row r="3003" spans="1:12" x14ac:dyDescent="0.25">
      <c r="A3003" t="s">
        <v>6623</v>
      </c>
      <c r="B3003" t="s">
        <v>102</v>
      </c>
      <c r="C3003" t="s">
        <v>286</v>
      </c>
      <c r="D3003" t="s">
        <v>9527</v>
      </c>
      <c r="E3003">
        <v>27</v>
      </c>
      <c r="F3003" t="s">
        <v>245</v>
      </c>
      <c r="G3003" t="s">
        <v>182</v>
      </c>
      <c r="H3003">
        <v>104198</v>
      </c>
      <c r="I3003" s="1" t="d">
        <v>2020-09-30</v>
      </c>
      <c r="J3003" t="s">
        <v>2615</v>
      </c>
      <c r="K3003" s="17" t="s">
        <v>19</v>
      </c>
      <c r="L3003">
        <v>2</v>
      </c>
    </row>
    <row r="3004" spans="1:12" x14ac:dyDescent="0.25">
      <c r="A3004" t="s">
        <v>6624</v>
      </c>
      <c r="B3004" t="s">
        <v>394</v>
      </c>
      <c r="C3004" t="s">
        <v>488</v>
      </c>
      <c r="D3004" t="s">
        <v>9527</v>
      </c>
      <c r="E3004">
        <v>37</v>
      </c>
      <c r="F3004" t="s">
        <v>350</v>
      </c>
      <c r="G3004" t="s">
        <v>351</v>
      </c>
      <c r="H3004" t="s">
        <v>6625</v>
      </c>
      <c r="I3004" s="1" t="d">
        <v>2019-04-01</v>
      </c>
      <c r="J3004" t="s">
        <v>2869</v>
      </c>
      <c r="K3004" s="17" t="s">
        <v>149</v>
      </c>
      <c r="L3004">
        <v>4</v>
      </c>
    </row>
    <row r="3005" spans="1:12" x14ac:dyDescent="0.25">
      <c r="A3005" t="s">
        <v>6626</v>
      </c>
      <c r="B3005" t="s">
        <v>2436</v>
      </c>
      <c r="C3005" t="s">
        <v>1494</v>
      </c>
      <c r="D3005" t="s">
        <v>9527</v>
      </c>
      <c r="E3005">
        <v>43</v>
      </c>
      <c r="F3005" t="s">
        <v>406</v>
      </c>
      <c r="G3005" t="s">
        <v>82</v>
      </c>
      <c r="H3005" t="s">
        <v>6627</v>
      </c>
      <c r="I3005" s="1" t="d">
        <v>2021-05-14</v>
      </c>
      <c r="J3005" t="s">
        <v>2786</v>
      </c>
      <c r="K3005" s="17" t="s">
        <v>90</v>
      </c>
      <c r="L3005">
        <v>4</v>
      </c>
    </row>
    <row r="3006" spans="1:12" x14ac:dyDescent="0.25">
      <c r="A3006" t="s">
        <v>6628</v>
      </c>
      <c r="B3006" t="s">
        <v>773</v>
      </c>
      <c r="C3006" t="s">
        <v>512</v>
      </c>
      <c r="D3006" t="s">
        <v>9527</v>
      </c>
      <c r="E3006">
        <v>57</v>
      </c>
      <c r="F3006" t="s">
        <v>666</v>
      </c>
      <c r="G3006" t="s">
        <v>82</v>
      </c>
      <c r="I3006" s="1" t="d">
        <v>2023-08-01</v>
      </c>
      <c r="J3006" t="s">
        <v>3941</v>
      </c>
      <c r="K3006" s="17" t="s">
        <v>90</v>
      </c>
      <c r="L3006">
        <v>2</v>
      </c>
    </row>
    <row r="3007" spans="1:12" x14ac:dyDescent="0.25">
      <c r="A3007" t="s">
        <v>6629</v>
      </c>
      <c r="B3007" t="s">
        <v>499</v>
      </c>
      <c r="C3007" t="s">
        <v>715</v>
      </c>
      <c r="D3007" t="s">
        <v>9527</v>
      </c>
      <c r="E3007">
        <v>50</v>
      </c>
      <c r="F3007" t="s">
        <v>5599</v>
      </c>
      <c r="G3007" t="s">
        <v>212</v>
      </c>
      <c r="H3007" t="s">
        <v>6630</v>
      </c>
      <c r="I3007" s="1" t="d">
        <v>2019-03-07</v>
      </c>
      <c r="J3007" t="s">
        <v>6631</v>
      </c>
      <c r="K3007" s="17" t="s">
        <v>34</v>
      </c>
      <c r="L3007">
        <v>3</v>
      </c>
    </row>
    <row r="3008" spans="1:12" x14ac:dyDescent="0.25">
      <c r="A3008" t="s">
        <v>6632</v>
      </c>
      <c r="B3008" t="s">
        <v>3914</v>
      </c>
      <c r="C3008" t="s">
        <v>624</v>
      </c>
      <c r="D3008" t="s">
        <v>46</v>
      </c>
      <c r="E3008">
        <v>42</v>
      </c>
      <c r="F3008" t="s">
        <v>422</v>
      </c>
      <c r="G3008" t="s">
        <v>170</v>
      </c>
      <c r="H3008">
        <v>69566</v>
      </c>
      <c r="I3008" s="1" t="d">
        <v>2017-11-08</v>
      </c>
      <c r="J3008" t="s">
        <v>6633</v>
      </c>
      <c r="K3008" s="17" t="s">
        <v>50</v>
      </c>
      <c r="L3008">
        <v>4</v>
      </c>
    </row>
    <row r="3009" spans="1:12" x14ac:dyDescent="0.25">
      <c r="A3009" t="s">
        <v>6634</v>
      </c>
      <c r="B3009" t="s">
        <v>931</v>
      </c>
      <c r="C3009" t="s">
        <v>74</v>
      </c>
      <c r="D3009" t="s">
        <v>9527</v>
      </c>
      <c r="E3009">
        <v>49</v>
      </c>
      <c r="F3009" t="s">
        <v>287</v>
      </c>
      <c r="G3009" t="s">
        <v>82</v>
      </c>
      <c r="H3009" t="s">
        <v>6635</v>
      </c>
      <c r="I3009" s="1" t="d">
        <v>2008-05-11</v>
      </c>
      <c r="J3009" t="s">
        <v>557</v>
      </c>
      <c r="K3009" s="17" t="s">
        <v>370</v>
      </c>
      <c r="L3009">
        <v>3</v>
      </c>
    </row>
    <row r="3010" spans="1:12" x14ac:dyDescent="0.25">
      <c r="A3010" t="s">
        <v>6636</v>
      </c>
      <c r="B3010" t="s">
        <v>1888</v>
      </c>
      <c r="C3010" t="s">
        <v>327</v>
      </c>
      <c r="D3010" t="s">
        <v>9527</v>
      </c>
      <c r="E3010">
        <v>27</v>
      </c>
      <c r="F3010" t="s">
        <v>196</v>
      </c>
      <c r="G3010" t="s">
        <v>1285</v>
      </c>
      <c r="H3010" s="2">
        <v>44460</v>
      </c>
      <c r="I3010" s="1" t="d">
        <v>2012-07-12</v>
      </c>
      <c r="J3010" t="s">
        <v>3045</v>
      </c>
      <c r="K3010" s="17" t="s">
        <v>90</v>
      </c>
      <c r="L3010">
        <v>3</v>
      </c>
    </row>
    <row r="3011" spans="1:12" x14ac:dyDescent="0.25">
      <c r="A3011" t="s">
        <v>6637</v>
      </c>
      <c r="B3011" t="s">
        <v>1301</v>
      </c>
      <c r="C3011" t="s">
        <v>1320</v>
      </c>
      <c r="D3011" t="s">
        <v>23</v>
      </c>
      <c r="E3011">
        <v>29</v>
      </c>
      <c r="F3011" t="s">
        <v>122</v>
      </c>
      <c r="G3011" t="s">
        <v>328</v>
      </c>
      <c r="H3011">
        <v>48300</v>
      </c>
      <c r="I3011" s="1" t="d">
        <v>2018-12-08</v>
      </c>
      <c r="J3011" t="s">
        <v>1897</v>
      </c>
      <c r="K3011" s="17" t="s">
        <v>34</v>
      </c>
      <c r="L3011">
        <v>3</v>
      </c>
    </row>
    <row r="3012" spans="1:12" x14ac:dyDescent="0.25">
      <c r="A3012" t="s">
        <v>6638</v>
      </c>
      <c r="B3012" t="s">
        <v>769</v>
      </c>
      <c r="C3012" t="s">
        <v>61</v>
      </c>
      <c r="D3012" t="s">
        <v>9527</v>
      </c>
      <c r="E3012">
        <v>39</v>
      </c>
      <c r="F3012" t="s">
        <v>62</v>
      </c>
      <c r="G3012" t="s">
        <v>82</v>
      </c>
      <c r="I3012" s="1" t="d">
        <v>2012-05-18</v>
      </c>
      <c r="J3012" t="s">
        <v>3838</v>
      </c>
      <c r="K3012" s="17" t="s">
        <v>42</v>
      </c>
      <c r="L3012">
        <v>3</v>
      </c>
    </row>
    <row r="3013" spans="1:12" x14ac:dyDescent="0.25">
      <c r="A3013" t="s">
        <v>6639</v>
      </c>
      <c r="B3013" t="s">
        <v>4631</v>
      </c>
      <c r="C3013" t="s">
        <v>1384</v>
      </c>
      <c r="D3013" t="s">
        <v>23</v>
      </c>
      <c r="E3013">
        <v>44</v>
      </c>
      <c r="F3013" t="s">
        <v>532</v>
      </c>
      <c r="G3013" t="s">
        <v>351</v>
      </c>
      <c r="H3013" t="s">
        <v>6640</v>
      </c>
      <c r="I3013" s="1" t="d">
        <v>2013-02-09</v>
      </c>
      <c r="J3013" t="s">
        <v>5024</v>
      </c>
      <c r="K3013" s="17" t="s">
        <v>58</v>
      </c>
      <c r="L3013">
        <v>3</v>
      </c>
    </row>
    <row r="3014" spans="1:12" x14ac:dyDescent="0.25">
      <c r="A3014" t="s">
        <v>6641</v>
      </c>
      <c r="B3014" t="s">
        <v>102</v>
      </c>
      <c r="C3014" t="s">
        <v>135</v>
      </c>
      <c r="D3014" t="s">
        <v>9527</v>
      </c>
      <c r="E3014">
        <v>31</v>
      </c>
      <c r="F3014" t="s">
        <v>350</v>
      </c>
      <c r="G3014" t="s">
        <v>82</v>
      </c>
      <c r="H3014" s="2">
        <v>52831</v>
      </c>
      <c r="I3014" s="1" t="d">
        <v>2021-07-17</v>
      </c>
      <c r="J3014" t="s">
        <v>2632</v>
      </c>
      <c r="K3014" s="17" t="s">
        <v>58</v>
      </c>
      <c r="L3014">
        <v>3</v>
      </c>
    </row>
    <row r="3015" spans="1:12" x14ac:dyDescent="0.25">
      <c r="A3015" t="s">
        <v>6642</v>
      </c>
      <c r="B3015" t="s">
        <v>1124</v>
      </c>
      <c r="C3015" t="s">
        <v>61</v>
      </c>
      <c r="D3015" t="s">
        <v>46</v>
      </c>
      <c r="E3015">
        <v>34</v>
      </c>
      <c r="F3015" t="s">
        <v>238</v>
      </c>
      <c r="G3015" t="s">
        <v>458</v>
      </c>
      <c r="H3015" t="s">
        <v>6643</v>
      </c>
      <c r="I3015" s="1" t="d">
        <v>2010-02-10</v>
      </c>
      <c r="J3015" t="s">
        <v>6644</v>
      </c>
      <c r="K3015" s="17" t="s">
        <v>27</v>
      </c>
      <c r="L3015">
        <v>4</v>
      </c>
    </row>
    <row r="3016" spans="1:12" x14ac:dyDescent="0.25">
      <c r="A3016" t="s">
        <v>6645</v>
      </c>
      <c r="B3016" t="s">
        <v>66</v>
      </c>
      <c r="C3016" t="s">
        <v>1266</v>
      </c>
      <c r="D3016" t="s">
        <v>23</v>
      </c>
      <c r="E3016">
        <v>42</v>
      </c>
      <c r="F3016" t="s">
        <v>634</v>
      </c>
      <c r="G3016" t="s">
        <v>182</v>
      </c>
      <c r="H3016" t="s">
        <v>6646</v>
      </c>
      <c r="I3016" s="1" t="d">
        <v>2006-11-28</v>
      </c>
      <c r="J3016" t="s">
        <v>5140</v>
      </c>
      <c r="K3016" s="17" t="s">
        <v>90</v>
      </c>
      <c r="L3016">
        <v>2</v>
      </c>
    </row>
    <row r="3017" spans="1:12" x14ac:dyDescent="0.25">
      <c r="A3017" t="s">
        <v>6647</v>
      </c>
      <c r="B3017" t="s">
        <v>841</v>
      </c>
      <c r="C3017" t="s">
        <v>4785</v>
      </c>
      <c r="D3017" t="s">
        <v>46</v>
      </c>
      <c r="E3017">
        <v>33</v>
      </c>
      <c r="F3017" t="s">
        <v>2004</v>
      </c>
      <c r="G3017" t="s">
        <v>191</v>
      </c>
      <c r="H3017" t="s">
        <v>6648</v>
      </c>
      <c r="I3017" s="1" t="d">
        <v>2016-04-11</v>
      </c>
      <c r="J3017" t="s">
        <v>6649</v>
      </c>
      <c r="K3017" s="17" t="s">
        <v>118</v>
      </c>
      <c r="L3017">
        <v>4</v>
      </c>
    </row>
    <row r="3018" spans="1:12" x14ac:dyDescent="0.25">
      <c r="A3018" t="s">
        <v>6650</v>
      </c>
      <c r="B3018" t="s">
        <v>3754</v>
      </c>
      <c r="C3018" t="s">
        <v>970</v>
      </c>
      <c r="D3018" t="s">
        <v>23</v>
      </c>
      <c r="E3018">
        <v>30</v>
      </c>
      <c r="F3018" t="s">
        <v>277</v>
      </c>
      <c r="G3018" t="s">
        <v>39</v>
      </c>
      <c r="H3018" t="s">
        <v>6651</v>
      </c>
      <c r="I3018" s="1" t="d">
        <v>2015-03-31</v>
      </c>
      <c r="J3018" t="s">
        <v>5212</v>
      </c>
      <c r="K3018" s="17" t="s">
        <v>184</v>
      </c>
      <c r="L3018">
        <v>3</v>
      </c>
    </row>
    <row r="3019" spans="1:12" x14ac:dyDescent="0.25">
      <c r="A3019" t="s">
        <v>6652</v>
      </c>
      <c r="B3019" t="s">
        <v>1706</v>
      </c>
      <c r="C3019" t="s">
        <v>268</v>
      </c>
      <c r="D3019" t="s">
        <v>23</v>
      </c>
      <c r="E3019">
        <v>33</v>
      </c>
      <c r="F3019" t="s">
        <v>859</v>
      </c>
      <c r="G3019" t="s">
        <v>177</v>
      </c>
      <c r="H3019" t="s">
        <v>6653</v>
      </c>
      <c r="I3019" s="1" t="d">
        <v>2021-07-29</v>
      </c>
      <c r="J3019" t="s">
        <v>3435</v>
      </c>
      <c r="K3019" s="17" t="s">
        <v>100</v>
      </c>
      <c r="L3019">
        <v>5</v>
      </c>
    </row>
    <row r="3020" spans="1:12" x14ac:dyDescent="0.25">
      <c r="A3020" t="s">
        <v>6654</v>
      </c>
      <c r="B3020" t="s">
        <v>1241</v>
      </c>
      <c r="C3020" t="s">
        <v>195</v>
      </c>
      <c r="D3020" t="s">
        <v>9527</v>
      </c>
      <c r="E3020">
        <v>38</v>
      </c>
      <c r="F3020" t="s">
        <v>62</v>
      </c>
      <c r="G3020" t="s">
        <v>82</v>
      </c>
      <c r="H3020" t="s">
        <v>6655</v>
      </c>
      <c r="I3020" s="1" t="d">
        <v>2013-04-27</v>
      </c>
      <c r="J3020" t="s">
        <v>876</v>
      </c>
      <c r="K3020" s="17" t="s">
        <v>34</v>
      </c>
      <c r="L3020">
        <v>3</v>
      </c>
    </row>
    <row r="3021" spans="1:12" x14ac:dyDescent="0.25">
      <c r="A3021" t="s">
        <v>6656</v>
      </c>
      <c r="B3021" t="s">
        <v>664</v>
      </c>
      <c r="C3021" t="s">
        <v>22</v>
      </c>
      <c r="D3021" t="s">
        <v>46</v>
      </c>
      <c r="E3021">
        <v>57</v>
      </c>
      <c r="F3021" t="s">
        <v>356</v>
      </c>
      <c r="G3021" t="s">
        <v>82</v>
      </c>
      <c r="H3021">
        <v>103784</v>
      </c>
      <c r="I3021" s="1" t="d">
        <v>2007-12-30</v>
      </c>
      <c r="J3021" t="s">
        <v>414</v>
      </c>
      <c r="K3021" s="17" t="s">
        <v>184</v>
      </c>
      <c r="L3021">
        <v>4</v>
      </c>
    </row>
    <row r="3022" spans="1:12" x14ac:dyDescent="0.25">
      <c r="A3022" t="s">
        <v>6657</v>
      </c>
      <c r="B3022" t="s">
        <v>157</v>
      </c>
      <c r="C3022" t="s">
        <v>67</v>
      </c>
      <c r="D3022" t="s">
        <v>46</v>
      </c>
      <c r="E3022">
        <v>45</v>
      </c>
      <c r="F3022" t="s">
        <v>216</v>
      </c>
      <c r="G3022" t="s">
        <v>39</v>
      </c>
      <c r="H3022" t="s">
        <v>6658</v>
      </c>
      <c r="I3022" s="1" t="d">
        <v>2022-01-21</v>
      </c>
      <c r="J3022" t="s">
        <v>1529</v>
      </c>
      <c r="K3022" s="17" t="s">
        <v>118</v>
      </c>
      <c r="L3022">
        <v>3</v>
      </c>
    </row>
    <row r="3023" spans="1:12" x14ac:dyDescent="0.25">
      <c r="A3023" t="s">
        <v>6659</v>
      </c>
      <c r="B3023" t="s">
        <v>901</v>
      </c>
      <c r="C3023" t="s">
        <v>729</v>
      </c>
      <c r="D3023" t="s">
        <v>9527</v>
      </c>
      <c r="E3023">
        <v>21</v>
      </c>
      <c r="F3023" t="s">
        <v>190</v>
      </c>
      <c r="G3023" t="s">
        <v>32</v>
      </c>
      <c r="H3023" t="s">
        <v>6660</v>
      </c>
      <c r="I3023" s="1" t="d">
        <v>2022-11-04</v>
      </c>
      <c r="J3023" t="s">
        <v>2605</v>
      </c>
      <c r="K3023" s="17" t="s">
        <v>42</v>
      </c>
      <c r="L3023">
        <v>4</v>
      </c>
    </row>
    <row r="3024" spans="1:12" x14ac:dyDescent="0.25">
      <c r="A3024" t="s">
        <v>6661</v>
      </c>
      <c r="B3024" t="s">
        <v>5443</v>
      </c>
      <c r="C3024" t="s">
        <v>1943</v>
      </c>
      <c r="D3024" t="s">
        <v>46</v>
      </c>
      <c r="E3024">
        <v>22</v>
      </c>
      <c r="F3024" t="s">
        <v>47</v>
      </c>
      <c r="G3024" t="s">
        <v>55</v>
      </c>
      <c r="H3024">
        <v>54659</v>
      </c>
      <c r="I3024" s="1" t="d">
        <v>2007-01-11</v>
      </c>
      <c r="J3024" t="s">
        <v>5336</v>
      </c>
      <c r="K3024" s="17" t="s">
        <v>34</v>
      </c>
      <c r="L3024">
        <v>3</v>
      </c>
    </row>
    <row r="3025" spans="1:12" x14ac:dyDescent="0.25">
      <c r="A3025" t="s">
        <v>6662</v>
      </c>
      <c r="B3025" t="s">
        <v>21</v>
      </c>
      <c r="C3025" t="s">
        <v>1055</v>
      </c>
      <c r="D3025" t="s">
        <v>9527</v>
      </c>
      <c r="E3025">
        <v>39</v>
      </c>
      <c r="F3025" t="s">
        <v>3150</v>
      </c>
      <c r="G3025" t="s">
        <v>1719</v>
      </c>
      <c r="I3025" s="1" t="d">
        <v>2024-10-08</v>
      </c>
      <c r="J3025" t="s">
        <v>1057</v>
      </c>
      <c r="K3025" s="17" t="s">
        <v>149</v>
      </c>
      <c r="L3025">
        <v>3</v>
      </c>
    </row>
    <row r="3026" spans="1:12" x14ac:dyDescent="0.25">
      <c r="A3026" t="s">
        <v>6663</v>
      </c>
      <c r="B3026" t="s">
        <v>139</v>
      </c>
      <c r="C3026" t="s">
        <v>152</v>
      </c>
      <c r="D3026" t="s">
        <v>46</v>
      </c>
      <c r="E3026">
        <v>39</v>
      </c>
      <c r="F3026" t="s">
        <v>258</v>
      </c>
      <c r="G3026" t="s">
        <v>63</v>
      </c>
      <c r="H3026" t="s">
        <v>6664</v>
      </c>
      <c r="I3026" s="1" t="d">
        <v>2021-09-10</v>
      </c>
      <c r="J3026" t="s">
        <v>6665</v>
      </c>
      <c r="K3026" s="17" t="s">
        <v>90</v>
      </c>
      <c r="L3026">
        <v>3</v>
      </c>
    </row>
    <row r="3027" spans="1:12" x14ac:dyDescent="0.25">
      <c r="A3027" t="s">
        <v>6006</v>
      </c>
      <c r="B3027" t="s">
        <v>931</v>
      </c>
      <c r="C3027" t="s">
        <v>386</v>
      </c>
      <c r="D3027" t="s">
        <v>46</v>
      </c>
      <c r="E3027">
        <v>40</v>
      </c>
      <c r="F3027" t="s">
        <v>153</v>
      </c>
      <c r="G3027" t="s">
        <v>239</v>
      </c>
      <c r="H3027" t="s">
        <v>6007</v>
      </c>
      <c r="I3027" s="1" t="d">
        <v>2022-08-21</v>
      </c>
      <c r="J3027" t="s">
        <v>6008</v>
      </c>
      <c r="K3027" s="17" t="s">
        <v>207</v>
      </c>
      <c r="L3027">
        <v>3</v>
      </c>
    </row>
    <row r="3028" spans="1:12" x14ac:dyDescent="0.25">
      <c r="A3028" t="s">
        <v>6666</v>
      </c>
      <c r="B3028" t="s">
        <v>2697</v>
      </c>
      <c r="C3028" t="s">
        <v>2613</v>
      </c>
      <c r="D3028" t="s">
        <v>23</v>
      </c>
      <c r="E3028">
        <v>24</v>
      </c>
      <c r="F3028" t="s">
        <v>649</v>
      </c>
      <c r="G3028" t="s">
        <v>16</v>
      </c>
      <c r="I3028" s="1" t="d">
        <v>2023-04-09</v>
      </c>
      <c r="J3028" t="s">
        <v>6667</v>
      </c>
      <c r="K3028" s="17" t="s">
        <v>34</v>
      </c>
      <c r="L3028">
        <v>3</v>
      </c>
    </row>
    <row r="3029" spans="1:12" x14ac:dyDescent="0.25">
      <c r="A3029" t="s">
        <v>6668</v>
      </c>
      <c r="B3029" t="s">
        <v>773</v>
      </c>
      <c r="C3029" t="s">
        <v>729</v>
      </c>
      <c r="D3029" t="s">
        <v>23</v>
      </c>
      <c r="E3029">
        <v>45</v>
      </c>
      <c r="F3029" t="s">
        <v>196</v>
      </c>
      <c r="G3029" t="s">
        <v>55</v>
      </c>
      <c r="I3029" s="1" t="d">
        <v>2019-01-17</v>
      </c>
      <c r="J3029" t="s">
        <v>3322</v>
      </c>
      <c r="K3029" s="17" t="s">
        <v>100</v>
      </c>
      <c r="L3029">
        <v>2</v>
      </c>
    </row>
    <row r="3030" spans="1:12" x14ac:dyDescent="0.25">
      <c r="A3030" t="s">
        <v>6669</v>
      </c>
      <c r="B3030" t="s">
        <v>2041</v>
      </c>
      <c r="C3030" t="s">
        <v>488</v>
      </c>
      <c r="D3030" t="s">
        <v>23</v>
      </c>
      <c r="E3030">
        <v>48</v>
      </c>
      <c r="F3030" t="s">
        <v>373</v>
      </c>
      <c r="G3030" t="s">
        <v>69</v>
      </c>
      <c r="H3030" t="s">
        <v>6670</v>
      </c>
      <c r="I3030" s="1" t="d">
        <v>2007-05-24</v>
      </c>
      <c r="J3030" t="s">
        <v>1938</v>
      </c>
      <c r="K3030" s="17" t="s">
        <v>207</v>
      </c>
      <c r="L3030">
        <v>1</v>
      </c>
    </row>
    <row r="3031" spans="1:12" x14ac:dyDescent="0.25">
      <c r="A3031" t="s">
        <v>6671</v>
      </c>
      <c r="B3031" t="s">
        <v>1241</v>
      </c>
      <c r="C3031" t="s">
        <v>699</v>
      </c>
      <c r="D3031" t="s">
        <v>23</v>
      </c>
      <c r="E3031">
        <v>55</v>
      </c>
      <c r="F3031" t="s">
        <v>918</v>
      </c>
      <c r="G3031" t="s">
        <v>6672</v>
      </c>
      <c r="H3031">
        <v>113002</v>
      </c>
      <c r="I3031" s="1" t="d">
        <v>2010-07-30</v>
      </c>
      <c r="J3031" t="s">
        <v>2259</v>
      </c>
      <c r="K3031" s="17" t="s">
        <v>149</v>
      </c>
      <c r="L3031">
        <v>3</v>
      </c>
    </row>
    <row r="3032" spans="1:12" x14ac:dyDescent="0.25">
      <c r="A3032" t="s">
        <v>3890</v>
      </c>
      <c r="B3032" t="s">
        <v>130</v>
      </c>
      <c r="C3032" t="s">
        <v>30</v>
      </c>
      <c r="D3032" t="s">
        <v>46</v>
      </c>
      <c r="E3032">
        <v>42</v>
      </c>
      <c r="F3032" t="s">
        <v>373</v>
      </c>
      <c r="G3032" t="s">
        <v>423</v>
      </c>
      <c r="H3032" t="s">
        <v>3891</v>
      </c>
      <c r="I3032" s="1" t="d">
        <v>2021-10-26</v>
      </c>
      <c r="J3032" t="s">
        <v>3505</v>
      </c>
      <c r="K3032" s="17" t="s">
        <v>58</v>
      </c>
      <c r="L3032">
        <v>4</v>
      </c>
    </row>
    <row r="3033" spans="1:12" x14ac:dyDescent="0.25">
      <c r="A3033" t="s">
        <v>6673</v>
      </c>
      <c r="B3033" t="s">
        <v>664</v>
      </c>
      <c r="C3033" t="s">
        <v>6674</v>
      </c>
      <c r="D3033" t="s">
        <v>46</v>
      </c>
      <c r="E3033">
        <v>61</v>
      </c>
      <c r="F3033" t="s">
        <v>54</v>
      </c>
      <c r="G3033" t="s">
        <v>191</v>
      </c>
      <c r="H3033" t="s">
        <v>6675</v>
      </c>
      <c r="I3033" s="1" t="d">
        <v>2015-06-20</v>
      </c>
      <c r="J3033" t="s">
        <v>18</v>
      </c>
      <c r="K3033" s="17" t="s">
        <v>118</v>
      </c>
      <c r="L3033">
        <v>4</v>
      </c>
    </row>
    <row r="3034" spans="1:12" x14ac:dyDescent="0.25">
      <c r="A3034" t="s">
        <v>6676</v>
      </c>
      <c r="B3034" t="s">
        <v>2899</v>
      </c>
      <c r="C3034" t="s">
        <v>4084</v>
      </c>
      <c r="D3034" t="s">
        <v>46</v>
      </c>
      <c r="E3034">
        <v>52</v>
      </c>
      <c r="F3034" t="s">
        <v>422</v>
      </c>
      <c r="G3034" t="s">
        <v>967</v>
      </c>
      <c r="H3034">
        <v>69400</v>
      </c>
      <c r="I3034" s="1" t="d">
        <v>2014-03-14</v>
      </c>
      <c r="J3034" t="s">
        <v>117</v>
      </c>
      <c r="K3034" s="17" t="s">
        <v>71</v>
      </c>
      <c r="L3034">
        <v>3</v>
      </c>
    </row>
    <row r="3035" spans="1:12" x14ac:dyDescent="0.25">
      <c r="A3035" t="s">
        <v>6677</v>
      </c>
      <c r="B3035" t="s">
        <v>901</v>
      </c>
      <c r="C3035" t="s">
        <v>395</v>
      </c>
      <c r="D3035" t="s">
        <v>46</v>
      </c>
      <c r="E3035">
        <v>41</v>
      </c>
      <c r="F3035" t="s">
        <v>373</v>
      </c>
      <c r="G3035" t="s">
        <v>16</v>
      </c>
      <c r="H3035" t="s">
        <v>6678</v>
      </c>
      <c r="I3035" s="1" t="d">
        <v>2020-07-29</v>
      </c>
      <c r="J3035" t="s">
        <v>178</v>
      </c>
      <c r="K3035" s="17" t="s">
        <v>370</v>
      </c>
      <c r="L3035">
        <v>3</v>
      </c>
    </row>
    <row r="3036" spans="1:12" x14ac:dyDescent="0.25">
      <c r="A3036" t="s">
        <v>6679</v>
      </c>
      <c r="B3036" t="s">
        <v>44</v>
      </c>
      <c r="C3036" t="s">
        <v>665</v>
      </c>
      <c r="D3036" t="s">
        <v>23</v>
      </c>
      <c r="E3036">
        <v>45</v>
      </c>
      <c r="F3036" t="s">
        <v>68</v>
      </c>
      <c r="G3036" t="s">
        <v>16</v>
      </c>
      <c r="H3036" t="s">
        <v>6680</v>
      </c>
      <c r="I3036" s="1" t="d">
        <v>2014-03-20</v>
      </c>
      <c r="J3036" t="s">
        <v>3028</v>
      </c>
      <c r="K3036" s="17" t="s">
        <v>370</v>
      </c>
      <c r="L3036">
        <v>4</v>
      </c>
    </row>
    <row r="3037" spans="1:12" x14ac:dyDescent="0.25">
      <c r="A3037" t="s">
        <v>6681</v>
      </c>
      <c r="B3037" t="s">
        <v>507</v>
      </c>
      <c r="C3037" t="s">
        <v>295</v>
      </c>
      <c r="D3037" t="s">
        <v>9527</v>
      </c>
      <c r="E3037">
        <v>43</v>
      </c>
      <c r="G3037" t="s">
        <v>16</v>
      </c>
      <c r="H3037">
        <v>99243</v>
      </c>
      <c r="I3037" s="1" t="d">
        <v>2011-12-29</v>
      </c>
      <c r="J3037" t="s">
        <v>5543</v>
      </c>
      <c r="K3037" s="17" t="s">
        <v>50</v>
      </c>
      <c r="L3037">
        <v>3</v>
      </c>
    </row>
    <row r="3038" spans="1:12" x14ac:dyDescent="0.25">
      <c r="A3038" t="s">
        <v>6682</v>
      </c>
      <c r="B3038" t="s">
        <v>267</v>
      </c>
      <c r="C3038" t="s">
        <v>684</v>
      </c>
      <c r="D3038" t="s">
        <v>46</v>
      </c>
      <c r="E3038">
        <v>30</v>
      </c>
      <c r="F3038" t="s">
        <v>211</v>
      </c>
      <c r="G3038" t="s">
        <v>903</v>
      </c>
      <c r="H3038" s="2">
        <v>59152</v>
      </c>
      <c r="I3038" s="1" t="d">
        <v>2020-03-24</v>
      </c>
      <c r="J3038" t="s">
        <v>2559</v>
      </c>
      <c r="K3038" s="17" t="s">
        <v>90</v>
      </c>
      <c r="L3038">
        <v>2</v>
      </c>
    </row>
    <row r="3039" spans="1:12" x14ac:dyDescent="0.25">
      <c r="A3039" t="s">
        <v>6683</v>
      </c>
      <c r="B3039" t="s">
        <v>404</v>
      </c>
      <c r="C3039" t="s">
        <v>521</v>
      </c>
      <c r="D3039" t="s">
        <v>23</v>
      </c>
      <c r="E3039">
        <v>44</v>
      </c>
      <c r="F3039" t="s">
        <v>114</v>
      </c>
      <c r="G3039" t="s">
        <v>351</v>
      </c>
      <c r="H3039" s="2">
        <v>75005</v>
      </c>
      <c r="J3039" t="s">
        <v>824</v>
      </c>
      <c r="K3039" s="17" t="s">
        <v>34</v>
      </c>
      <c r="L3039">
        <v>3</v>
      </c>
    </row>
    <row r="3040" spans="1:12" x14ac:dyDescent="0.25">
      <c r="A3040" t="s">
        <v>6684</v>
      </c>
      <c r="B3040" t="s">
        <v>571</v>
      </c>
      <c r="C3040" t="s">
        <v>135</v>
      </c>
      <c r="D3040" t="s">
        <v>46</v>
      </c>
      <c r="E3040">
        <v>46</v>
      </c>
      <c r="F3040" t="s">
        <v>153</v>
      </c>
      <c r="G3040" t="s">
        <v>48</v>
      </c>
      <c r="J3040" t="s">
        <v>2369</v>
      </c>
      <c r="K3040" s="17" t="s">
        <v>149</v>
      </c>
      <c r="L3040">
        <v>2</v>
      </c>
    </row>
    <row r="3041" spans="1:12" x14ac:dyDescent="0.25">
      <c r="A3041" t="s">
        <v>6685</v>
      </c>
      <c r="B3041" t="s">
        <v>3988</v>
      </c>
      <c r="C3041" t="s">
        <v>140</v>
      </c>
      <c r="D3041" t="s">
        <v>46</v>
      </c>
      <c r="E3041">
        <v>42</v>
      </c>
      <c r="F3041" t="s">
        <v>1120</v>
      </c>
      <c r="G3041" t="s">
        <v>48</v>
      </c>
      <c r="H3041" t="s">
        <v>6686</v>
      </c>
      <c r="I3041" s="1" t="d">
        <v>2020-10-17</v>
      </c>
      <c r="J3041" t="s">
        <v>4241</v>
      </c>
      <c r="K3041" s="17" t="s">
        <v>42</v>
      </c>
      <c r="L3041">
        <v>4</v>
      </c>
    </row>
    <row r="3042" spans="1:12" x14ac:dyDescent="0.25">
      <c r="A3042" t="s">
        <v>6687</v>
      </c>
      <c r="B3042" t="s">
        <v>112</v>
      </c>
      <c r="C3042" t="s">
        <v>168</v>
      </c>
      <c r="D3042" t="s">
        <v>46</v>
      </c>
      <c r="E3042">
        <v>36</v>
      </c>
      <c r="F3042" t="s">
        <v>169</v>
      </c>
      <c r="G3042" t="s">
        <v>170</v>
      </c>
      <c r="I3042" s="1" t="d">
        <v>2022-10-30</v>
      </c>
      <c r="J3042" t="s">
        <v>3325</v>
      </c>
      <c r="K3042" s="17" t="s">
        <v>370</v>
      </c>
      <c r="L3042">
        <v>4</v>
      </c>
    </row>
    <row r="3043" spans="1:12" x14ac:dyDescent="0.25">
      <c r="A3043" t="s">
        <v>6688</v>
      </c>
      <c r="B3043" t="s">
        <v>267</v>
      </c>
      <c r="C3043" t="s">
        <v>729</v>
      </c>
      <c r="D3043" t="s">
        <v>23</v>
      </c>
      <c r="E3043">
        <v>45</v>
      </c>
      <c r="G3043" t="s">
        <v>39</v>
      </c>
      <c r="I3043" s="1" t="d">
        <v>2007-02-25</v>
      </c>
      <c r="J3043" t="s">
        <v>1424</v>
      </c>
      <c r="K3043" s="17" t="s">
        <v>58</v>
      </c>
      <c r="L3043">
        <v>3</v>
      </c>
    </row>
    <row r="3044" spans="1:12" x14ac:dyDescent="0.25">
      <c r="A3044" t="s">
        <v>6689</v>
      </c>
      <c r="B3044" t="s">
        <v>945</v>
      </c>
      <c r="C3044" t="s">
        <v>2572</v>
      </c>
      <c r="D3044" t="s">
        <v>9527</v>
      </c>
      <c r="E3044">
        <v>50</v>
      </c>
      <c r="F3044" t="s">
        <v>211</v>
      </c>
      <c r="G3044" t="s">
        <v>39</v>
      </c>
      <c r="H3044" s="2">
        <v>60110</v>
      </c>
      <c r="I3044" s="1" t="d">
        <v>2010-12-07</v>
      </c>
      <c r="J3044" t="s">
        <v>246</v>
      </c>
      <c r="K3044" s="17" t="s">
        <v>50</v>
      </c>
      <c r="L3044">
        <v>5</v>
      </c>
    </row>
    <row r="3045" spans="1:12" x14ac:dyDescent="0.25">
      <c r="A3045" t="s">
        <v>6690</v>
      </c>
      <c r="B3045" t="s">
        <v>2856</v>
      </c>
      <c r="C3045" t="s">
        <v>252</v>
      </c>
      <c r="D3045" t="s">
        <v>9527</v>
      </c>
      <c r="E3045">
        <v>42</v>
      </c>
      <c r="F3045" t="s">
        <v>422</v>
      </c>
      <c r="G3045" t="s">
        <v>39</v>
      </c>
      <c r="H3045" t="s">
        <v>6691</v>
      </c>
      <c r="I3045" s="1" t="d">
        <v>2021-11-18</v>
      </c>
      <c r="J3045" t="s">
        <v>798</v>
      </c>
      <c r="K3045" s="17" t="s">
        <v>207</v>
      </c>
      <c r="L3045">
        <v>4</v>
      </c>
    </row>
    <row r="3046" spans="1:12" x14ac:dyDescent="0.25">
      <c r="A3046" t="s">
        <v>6692</v>
      </c>
      <c r="B3046" t="s">
        <v>180</v>
      </c>
      <c r="C3046" t="s">
        <v>4565</v>
      </c>
      <c r="D3046" t="s">
        <v>23</v>
      </c>
      <c r="E3046">
        <v>38</v>
      </c>
      <c r="F3046" t="s">
        <v>122</v>
      </c>
      <c r="G3046" t="s">
        <v>337</v>
      </c>
      <c r="H3046" s="2">
        <v>47429</v>
      </c>
      <c r="I3046" s="1" t="d">
        <v>2020-08-06</v>
      </c>
      <c r="J3046" t="s">
        <v>4334</v>
      </c>
      <c r="K3046" s="17" t="s">
        <v>71</v>
      </c>
      <c r="L3046">
        <v>3</v>
      </c>
    </row>
    <row r="3047" spans="1:12" x14ac:dyDescent="0.25">
      <c r="A3047" t="s">
        <v>6693</v>
      </c>
      <c r="B3047" t="s">
        <v>1252</v>
      </c>
      <c r="C3047" t="s">
        <v>766</v>
      </c>
      <c r="D3047" t="s">
        <v>23</v>
      </c>
      <c r="E3047">
        <v>21</v>
      </c>
      <c r="F3047" t="s">
        <v>974</v>
      </c>
      <c r="G3047" t="s">
        <v>16</v>
      </c>
      <c r="H3047" s="2">
        <v>108162</v>
      </c>
      <c r="I3047" s="1" t="d">
        <v>2005-08-19</v>
      </c>
      <c r="J3047" t="s">
        <v>767</v>
      </c>
      <c r="K3047" s="17" t="s">
        <v>90</v>
      </c>
      <c r="L3047">
        <v>2</v>
      </c>
    </row>
    <row r="3048" spans="1:12" x14ac:dyDescent="0.25">
      <c r="A3048" t="s">
        <v>6694</v>
      </c>
      <c r="B3048" t="s">
        <v>162</v>
      </c>
      <c r="C3048" t="s">
        <v>1205</v>
      </c>
      <c r="D3048" t="s">
        <v>46</v>
      </c>
      <c r="E3048">
        <v>39</v>
      </c>
      <c r="F3048" t="s">
        <v>589</v>
      </c>
      <c r="G3048" t="s">
        <v>177</v>
      </c>
      <c r="H3048">
        <v>46465</v>
      </c>
      <c r="I3048" s="1" t="d">
        <v>2012-08-15</v>
      </c>
      <c r="J3048" t="s">
        <v>2476</v>
      </c>
      <c r="K3048" s="17" t="s">
        <v>27</v>
      </c>
      <c r="L3048">
        <v>4</v>
      </c>
    </row>
    <row r="3049" spans="1:12" x14ac:dyDescent="0.25">
      <c r="A3049" t="s">
        <v>6695</v>
      </c>
      <c r="B3049" t="s">
        <v>456</v>
      </c>
      <c r="C3049" t="s">
        <v>665</v>
      </c>
      <c r="D3049" t="s">
        <v>23</v>
      </c>
      <c r="E3049">
        <v>33</v>
      </c>
      <c r="F3049" t="s">
        <v>253</v>
      </c>
      <c r="G3049" t="s">
        <v>1329</v>
      </c>
      <c r="H3049">
        <v>49271</v>
      </c>
      <c r="I3049" s="1" t="d">
        <v>2023-10-20</v>
      </c>
      <c r="J3049" t="s">
        <v>4063</v>
      </c>
      <c r="K3049" s="17" t="s">
        <v>19</v>
      </c>
      <c r="L3049">
        <v>5</v>
      </c>
    </row>
    <row r="3050" spans="1:12" x14ac:dyDescent="0.25">
      <c r="A3050" t="s">
        <v>6696</v>
      </c>
      <c r="B3050" t="s">
        <v>630</v>
      </c>
      <c r="C3050" t="s">
        <v>1055</v>
      </c>
      <c r="D3050" t="s">
        <v>9527</v>
      </c>
      <c r="E3050">
        <v>55</v>
      </c>
      <c r="F3050" t="s">
        <v>24</v>
      </c>
      <c r="G3050" t="s">
        <v>1285</v>
      </c>
      <c r="H3050">
        <v>105566</v>
      </c>
      <c r="I3050" s="1" t="d">
        <v>2005-01-29</v>
      </c>
      <c r="J3050" t="s">
        <v>6697</v>
      </c>
      <c r="K3050" s="17" t="s">
        <v>71</v>
      </c>
      <c r="L3050">
        <v>3</v>
      </c>
    </row>
    <row r="3051" spans="1:12" x14ac:dyDescent="0.25">
      <c r="A3051" t="s">
        <v>6698</v>
      </c>
      <c r="B3051" t="s">
        <v>79</v>
      </c>
      <c r="C3051" t="s">
        <v>516</v>
      </c>
      <c r="D3051" t="s">
        <v>23</v>
      </c>
      <c r="E3051">
        <v>35</v>
      </c>
      <c r="F3051" t="s">
        <v>4075</v>
      </c>
      <c r="G3051" t="s">
        <v>131</v>
      </c>
      <c r="H3051">
        <v>68867</v>
      </c>
      <c r="I3051" s="1" t="d">
        <v>2010-12-14</v>
      </c>
      <c r="J3051" t="s">
        <v>979</v>
      </c>
      <c r="K3051" s="17" t="s">
        <v>118</v>
      </c>
      <c r="L3051">
        <v>4</v>
      </c>
    </row>
    <row r="3052" spans="1:12" x14ac:dyDescent="0.25">
      <c r="A3052" t="s">
        <v>6699</v>
      </c>
      <c r="B3052" t="s">
        <v>394</v>
      </c>
      <c r="C3052" t="s">
        <v>966</v>
      </c>
      <c r="D3052" t="s">
        <v>46</v>
      </c>
      <c r="E3052">
        <v>36</v>
      </c>
      <c r="F3052" t="s">
        <v>319</v>
      </c>
      <c r="G3052" t="s">
        <v>3800</v>
      </c>
      <c r="I3052" s="1" t="d">
        <v>2020-12-22</v>
      </c>
      <c r="J3052" t="s">
        <v>2935</v>
      </c>
      <c r="K3052" s="17" t="s">
        <v>118</v>
      </c>
      <c r="L3052">
        <v>4</v>
      </c>
    </row>
    <row r="3053" spans="1:12" x14ac:dyDescent="0.25">
      <c r="A3053" t="s">
        <v>6700</v>
      </c>
      <c r="B3053" t="s">
        <v>139</v>
      </c>
      <c r="C3053" t="s">
        <v>4284</v>
      </c>
      <c r="D3053" t="s">
        <v>9527</v>
      </c>
      <c r="E3053">
        <v>28</v>
      </c>
      <c r="F3053" t="s">
        <v>918</v>
      </c>
      <c r="G3053" t="s">
        <v>6141</v>
      </c>
      <c r="H3053">
        <v>125168</v>
      </c>
      <c r="I3053" s="1" t="d">
        <v>2020-01-18</v>
      </c>
      <c r="J3053" t="s">
        <v>4286</v>
      </c>
      <c r="K3053" s="17" t="s">
        <v>118</v>
      </c>
      <c r="L3053">
        <v>4</v>
      </c>
    </row>
    <row r="3054" spans="1:12" x14ac:dyDescent="0.25">
      <c r="A3054" t="s">
        <v>6701</v>
      </c>
      <c r="B3054" t="s">
        <v>2681</v>
      </c>
      <c r="C3054" t="s">
        <v>624</v>
      </c>
      <c r="D3054" t="s">
        <v>23</v>
      </c>
      <c r="E3054">
        <v>39</v>
      </c>
      <c r="F3054" t="s">
        <v>169</v>
      </c>
      <c r="G3054" t="s">
        <v>141</v>
      </c>
      <c r="H3054">
        <v>69031</v>
      </c>
      <c r="J3054" t="s">
        <v>1501</v>
      </c>
      <c r="K3054" s="17" t="s">
        <v>19</v>
      </c>
      <c r="L3054">
        <v>4</v>
      </c>
    </row>
    <row r="3055" spans="1:12" x14ac:dyDescent="0.25">
      <c r="A3055" t="s">
        <v>6702</v>
      </c>
      <c r="B3055" t="s">
        <v>79</v>
      </c>
      <c r="C3055" t="s">
        <v>145</v>
      </c>
      <c r="D3055" t="s">
        <v>23</v>
      </c>
      <c r="E3055">
        <v>43</v>
      </c>
      <c r="F3055" t="s">
        <v>190</v>
      </c>
      <c r="G3055" t="s">
        <v>191</v>
      </c>
      <c r="H3055" t="s">
        <v>6703</v>
      </c>
      <c r="I3055" s="1" t="d">
        <v>2015-03-22</v>
      </c>
      <c r="J3055" t="s">
        <v>330</v>
      </c>
      <c r="K3055" s="17" t="s">
        <v>19</v>
      </c>
      <c r="L3055">
        <v>3</v>
      </c>
    </row>
    <row r="3056" spans="1:12" x14ac:dyDescent="0.25">
      <c r="A3056" t="s">
        <v>6704</v>
      </c>
      <c r="B3056" t="s">
        <v>684</v>
      </c>
      <c r="C3056" t="s">
        <v>6705</v>
      </c>
      <c r="D3056" t="s">
        <v>9527</v>
      </c>
      <c r="E3056">
        <v>34</v>
      </c>
      <c r="F3056" t="s">
        <v>38</v>
      </c>
      <c r="G3056" t="s">
        <v>205</v>
      </c>
      <c r="I3056" s="1" t="d">
        <v>2010-02-08</v>
      </c>
      <c r="J3056" t="s">
        <v>2694</v>
      </c>
      <c r="K3056" s="17" t="s">
        <v>27</v>
      </c>
      <c r="L3056">
        <v>2</v>
      </c>
    </row>
    <row r="3057" spans="1:12" x14ac:dyDescent="0.25">
      <c r="A3057" t="s">
        <v>6706</v>
      </c>
      <c r="B3057" t="s">
        <v>2147</v>
      </c>
      <c r="C3057" t="s">
        <v>386</v>
      </c>
      <c r="D3057" t="s">
        <v>23</v>
      </c>
      <c r="E3057">
        <v>36</v>
      </c>
      <c r="F3057" t="s">
        <v>75</v>
      </c>
      <c r="G3057" t="s">
        <v>115</v>
      </c>
      <c r="H3057" t="s">
        <v>6707</v>
      </c>
      <c r="I3057" s="1" t="d">
        <v>2011-09-25</v>
      </c>
      <c r="J3057" t="s">
        <v>1903</v>
      </c>
      <c r="K3057" s="17" t="s">
        <v>19</v>
      </c>
      <c r="L3057">
        <v>3</v>
      </c>
    </row>
    <row r="3058" spans="1:12" x14ac:dyDescent="0.25">
      <c r="A3058" t="s">
        <v>6708</v>
      </c>
      <c r="B3058" t="s">
        <v>993</v>
      </c>
      <c r="C3058" t="s">
        <v>618</v>
      </c>
      <c r="D3058" t="s">
        <v>46</v>
      </c>
      <c r="E3058">
        <v>41</v>
      </c>
      <c r="F3058" t="s">
        <v>146</v>
      </c>
      <c r="G3058" t="s">
        <v>170</v>
      </c>
      <c r="H3058" s="2">
        <v>90659</v>
      </c>
      <c r="I3058" s="1" t="d">
        <v>2022-04-20</v>
      </c>
      <c r="J3058" t="s">
        <v>2902</v>
      </c>
      <c r="K3058" s="17" t="s">
        <v>370</v>
      </c>
      <c r="L3058">
        <v>4</v>
      </c>
    </row>
    <row r="3059" spans="1:12" x14ac:dyDescent="0.25">
      <c r="A3059" t="s">
        <v>5353</v>
      </c>
      <c r="B3059" t="s">
        <v>621</v>
      </c>
      <c r="C3059" t="s">
        <v>521</v>
      </c>
      <c r="D3059" t="s">
        <v>23</v>
      </c>
      <c r="E3059">
        <v>21</v>
      </c>
      <c r="G3059" t="s">
        <v>191</v>
      </c>
      <c r="H3059">
        <v>73550</v>
      </c>
      <c r="I3059" s="1" t="d">
        <v>2005-09-16</v>
      </c>
      <c r="J3059" t="s">
        <v>1609</v>
      </c>
      <c r="K3059" s="17" t="s">
        <v>370</v>
      </c>
      <c r="L3059">
        <v>3</v>
      </c>
    </row>
    <row r="3060" spans="1:12" x14ac:dyDescent="0.25">
      <c r="A3060" t="s">
        <v>6709</v>
      </c>
      <c r="B3060" t="s">
        <v>664</v>
      </c>
      <c r="C3060" t="s">
        <v>751</v>
      </c>
      <c r="D3060" t="s">
        <v>9527</v>
      </c>
      <c r="E3060">
        <v>42</v>
      </c>
      <c r="F3060" t="s">
        <v>196</v>
      </c>
      <c r="G3060" t="s">
        <v>870</v>
      </c>
      <c r="I3060" s="1" t="d">
        <v>2021-10-06</v>
      </c>
      <c r="J3060" t="s">
        <v>6710</v>
      </c>
      <c r="K3060" s="17" t="s">
        <v>90</v>
      </c>
      <c r="L3060">
        <v>1</v>
      </c>
    </row>
    <row r="3061" spans="1:12" x14ac:dyDescent="0.25">
      <c r="A3061" t="s">
        <v>6711</v>
      </c>
      <c r="B3061" t="s">
        <v>221</v>
      </c>
      <c r="C3061" t="s">
        <v>45</v>
      </c>
      <c r="D3061" t="s">
        <v>9527</v>
      </c>
      <c r="E3061">
        <v>41</v>
      </c>
      <c r="F3061" t="s">
        <v>38</v>
      </c>
      <c r="G3061" t="s">
        <v>526</v>
      </c>
      <c r="I3061" s="1" t="d">
        <v>2021-11-21</v>
      </c>
      <c r="J3061" t="s">
        <v>2256</v>
      </c>
      <c r="K3061" s="17" t="s">
        <v>27</v>
      </c>
      <c r="L3061">
        <v>4</v>
      </c>
    </row>
    <row r="3062" spans="1:12" x14ac:dyDescent="0.25">
      <c r="A3062" t="s">
        <v>6712</v>
      </c>
      <c r="B3062" t="s">
        <v>709</v>
      </c>
      <c r="C3062" t="s">
        <v>3982</v>
      </c>
      <c r="D3062" t="s">
        <v>46</v>
      </c>
      <c r="E3062">
        <v>33</v>
      </c>
      <c r="F3062" t="s">
        <v>2372</v>
      </c>
      <c r="G3062" t="s">
        <v>115</v>
      </c>
      <c r="H3062">
        <v>104472</v>
      </c>
      <c r="I3062" s="1" t="d">
        <v>2015-10-25</v>
      </c>
      <c r="J3062" t="s">
        <v>650</v>
      </c>
      <c r="K3062" s="17" t="s">
        <v>34</v>
      </c>
      <c r="L3062">
        <v>2</v>
      </c>
    </row>
    <row r="3063" spans="1:12" x14ac:dyDescent="0.25">
      <c r="A3063" t="s">
        <v>6713</v>
      </c>
      <c r="B3063" t="s">
        <v>221</v>
      </c>
      <c r="C3063" t="s">
        <v>988</v>
      </c>
      <c r="D3063" t="s">
        <v>23</v>
      </c>
      <c r="E3063">
        <v>35</v>
      </c>
      <c r="F3063" t="s">
        <v>258</v>
      </c>
      <c r="G3063" t="s">
        <v>205</v>
      </c>
      <c r="H3063" s="2">
        <v>-55943</v>
      </c>
      <c r="I3063" s="1" t="d">
        <v>2015-05-26</v>
      </c>
      <c r="J3063" t="s">
        <v>5853</v>
      </c>
      <c r="K3063" s="17" t="s">
        <v>42</v>
      </c>
      <c r="L3063">
        <v>1</v>
      </c>
    </row>
    <row r="3064" spans="1:12" x14ac:dyDescent="0.25">
      <c r="A3064" t="s">
        <v>6714</v>
      </c>
      <c r="B3064" t="s">
        <v>648</v>
      </c>
      <c r="C3064" t="s">
        <v>763</v>
      </c>
      <c r="D3064" t="s">
        <v>23</v>
      </c>
      <c r="E3064">
        <v>30</v>
      </c>
      <c r="F3064" t="s">
        <v>38</v>
      </c>
      <c r="G3064" t="s">
        <v>69</v>
      </c>
      <c r="H3064" s="2">
        <v>55770</v>
      </c>
      <c r="I3064" s="1" t="d">
        <v>2010-06-02</v>
      </c>
      <c r="J3064" t="s">
        <v>6715</v>
      </c>
      <c r="K3064" s="17" t="s">
        <v>19</v>
      </c>
      <c r="L3064">
        <v>4</v>
      </c>
    </row>
    <row r="3065" spans="1:12" x14ac:dyDescent="0.25">
      <c r="A3065" t="s">
        <v>6716</v>
      </c>
      <c r="B3065" t="s">
        <v>563</v>
      </c>
      <c r="C3065" t="s">
        <v>37</v>
      </c>
      <c r="D3065" t="s">
        <v>23</v>
      </c>
      <c r="E3065">
        <v>54</v>
      </c>
      <c r="F3065" t="s">
        <v>365</v>
      </c>
      <c r="G3065" t="s">
        <v>82</v>
      </c>
      <c r="H3065" t="s">
        <v>6717</v>
      </c>
      <c r="I3065" s="1" t="d">
        <v>2020-12-22</v>
      </c>
      <c r="J3065" t="s">
        <v>1152</v>
      </c>
      <c r="K3065" s="17" t="s">
        <v>27</v>
      </c>
      <c r="L3065">
        <v>4</v>
      </c>
    </row>
    <row r="3066" spans="1:12" x14ac:dyDescent="0.25">
      <c r="A3066" t="s">
        <v>6718</v>
      </c>
      <c r="B3066" t="s">
        <v>29</v>
      </c>
      <c r="C3066" t="s">
        <v>4693</v>
      </c>
      <c r="D3066" t="s">
        <v>23</v>
      </c>
      <c r="E3066">
        <v>42</v>
      </c>
      <c r="F3066" t="s">
        <v>522</v>
      </c>
      <c r="G3066" t="s">
        <v>297</v>
      </c>
      <c r="H3066">
        <v>144203</v>
      </c>
      <c r="I3066" s="1" t="d">
        <v>2012-05-15</v>
      </c>
      <c r="J3066" t="s">
        <v>6719</v>
      </c>
      <c r="K3066" s="17" t="s">
        <v>58</v>
      </c>
      <c r="L3066">
        <v>3</v>
      </c>
    </row>
    <row r="3067" spans="1:12" x14ac:dyDescent="0.25">
      <c r="A3067" t="s">
        <v>6720</v>
      </c>
      <c r="B3067" t="s">
        <v>102</v>
      </c>
      <c r="C3067" t="s">
        <v>512</v>
      </c>
      <c r="D3067" t="s">
        <v>46</v>
      </c>
      <c r="E3067">
        <v>32</v>
      </c>
      <c r="F3067" t="s">
        <v>2723</v>
      </c>
      <c r="G3067" t="s">
        <v>115</v>
      </c>
      <c r="H3067" t="s">
        <v>6721</v>
      </c>
      <c r="I3067" s="1" t="d">
        <v>2010-10-09</v>
      </c>
      <c r="J3067" t="s">
        <v>6722</v>
      </c>
      <c r="K3067" s="17" t="s">
        <v>184</v>
      </c>
      <c r="L3067">
        <v>5</v>
      </c>
    </row>
    <row r="3068" spans="1:12" x14ac:dyDescent="0.25">
      <c r="A3068" t="s">
        <v>6723</v>
      </c>
      <c r="B3068" t="s">
        <v>789</v>
      </c>
      <c r="C3068" t="s">
        <v>521</v>
      </c>
      <c r="D3068" t="s">
        <v>9527</v>
      </c>
      <c r="E3068">
        <v>31</v>
      </c>
      <c r="F3068" t="s">
        <v>509</v>
      </c>
      <c r="G3068" t="s">
        <v>170</v>
      </c>
      <c r="H3068" t="s">
        <v>6724</v>
      </c>
      <c r="I3068" s="1" t="d">
        <v>2007-06-04</v>
      </c>
      <c r="J3068" t="s">
        <v>6725</v>
      </c>
      <c r="K3068" s="17" t="s">
        <v>207</v>
      </c>
      <c r="L3068">
        <v>3</v>
      </c>
    </row>
    <row r="3069" spans="1:12" x14ac:dyDescent="0.25">
      <c r="A3069" t="s">
        <v>6726</v>
      </c>
      <c r="B3069" t="s">
        <v>728</v>
      </c>
      <c r="C3069" t="s">
        <v>618</v>
      </c>
      <c r="D3069" t="s">
        <v>46</v>
      </c>
      <c r="E3069">
        <v>31</v>
      </c>
      <c r="F3069" t="s">
        <v>68</v>
      </c>
      <c r="G3069" t="s">
        <v>337</v>
      </c>
      <c r="H3069" t="s">
        <v>6727</v>
      </c>
      <c r="I3069" s="1" t="d">
        <v>2024-03-09</v>
      </c>
      <c r="J3069" t="s">
        <v>4608</v>
      </c>
      <c r="K3069" s="17" t="s">
        <v>58</v>
      </c>
      <c r="L3069">
        <v>3</v>
      </c>
    </row>
    <row r="3070" spans="1:12" x14ac:dyDescent="0.25">
      <c r="A3070" t="s">
        <v>6728</v>
      </c>
      <c r="B3070" t="s">
        <v>139</v>
      </c>
      <c r="C3070" t="s">
        <v>158</v>
      </c>
      <c r="D3070" t="s">
        <v>23</v>
      </c>
      <c r="E3070">
        <v>34</v>
      </c>
      <c r="F3070" t="s">
        <v>15</v>
      </c>
      <c r="G3070" t="s">
        <v>16</v>
      </c>
      <c r="H3070">
        <v>136289</v>
      </c>
      <c r="I3070" s="1" t="d">
        <v>2017-01-16</v>
      </c>
      <c r="J3070" t="s">
        <v>550</v>
      </c>
      <c r="K3070" s="17" t="s">
        <v>118</v>
      </c>
      <c r="L3070">
        <v>2</v>
      </c>
    </row>
    <row r="3071" spans="1:12" x14ac:dyDescent="0.25">
      <c r="A3071" t="s">
        <v>6729</v>
      </c>
      <c r="B3071" t="s">
        <v>1689</v>
      </c>
      <c r="C3071" t="s">
        <v>595</v>
      </c>
      <c r="D3071" t="s">
        <v>9527</v>
      </c>
      <c r="E3071">
        <v>41</v>
      </c>
      <c r="F3071" t="s">
        <v>253</v>
      </c>
      <c r="G3071" t="s">
        <v>170</v>
      </c>
      <c r="H3071" s="2">
        <v>56421</v>
      </c>
      <c r="I3071" s="1" t="d">
        <v>2015-04-29</v>
      </c>
      <c r="J3071" t="s">
        <v>6730</v>
      </c>
      <c r="K3071" s="17" t="s">
        <v>149</v>
      </c>
      <c r="L3071">
        <v>2</v>
      </c>
    </row>
    <row r="3072" spans="1:12" x14ac:dyDescent="0.25">
      <c r="A3072" t="s">
        <v>6731</v>
      </c>
      <c r="B3072" t="s">
        <v>914</v>
      </c>
      <c r="C3072" t="s">
        <v>4216</v>
      </c>
      <c r="D3072" t="s">
        <v>9527</v>
      </c>
      <c r="E3072">
        <v>42</v>
      </c>
      <c r="F3072" t="s">
        <v>522</v>
      </c>
      <c r="G3072" t="s">
        <v>337</v>
      </c>
      <c r="H3072">
        <v>70987</v>
      </c>
      <c r="I3072" s="1" t="d">
        <v>2005-09-25</v>
      </c>
      <c r="J3072" t="s">
        <v>3010</v>
      </c>
      <c r="K3072" s="17" t="s">
        <v>100</v>
      </c>
      <c r="L3072">
        <v>4</v>
      </c>
    </row>
    <row r="3073" spans="1:12" x14ac:dyDescent="0.25">
      <c r="A3073" t="s">
        <v>6732</v>
      </c>
      <c r="B3073" t="s">
        <v>6733</v>
      </c>
      <c r="C3073" t="s">
        <v>2300</v>
      </c>
      <c r="D3073" t="s">
        <v>23</v>
      </c>
      <c r="E3073">
        <v>36</v>
      </c>
      <c r="F3073" t="s">
        <v>216</v>
      </c>
      <c r="G3073" t="s">
        <v>55</v>
      </c>
      <c r="H3073" t="s">
        <v>6734</v>
      </c>
      <c r="I3073" s="1" t="d">
        <v>2023-07-29</v>
      </c>
      <c r="J3073" t="s">
        <v>5007</v>
      </c>
      <c r="K3073" s="17" t="s">
        <v>34</v>
      </c>
      <c r="L3073">
        <v>2</v>
      </c>
    </row>
    <row r="3074" spans="1:12" x14ac:dyDescent="0.25">
      <c r="A3074" t="s">
        <v>6735</v>
      </c>
      <c r="B3074" t="s">
        <v>862</v>
      </c>
      <c r="C3074" t="s">
        <v>988</v>
      </c>
      <c r="D3074" t="s">
        <v>46</v>
      </c>
      <c r="E3074">
        <v>26</v>
      </c>
      <c r="F3074" t="s">
        <v>238</v>
      </c>
      <c r="G3074" t="s">
        <v>131</v>
      </c>
      <c r="H3074" t="s">
        <v>6736</v>
      </c>
      <c r="I3074" s="1" t="d">
        <v>2019-07-10</v>
      </c>
      <c r="J3074" t="s">
        <v>1275</v>
      </c>
      <c r="K3074" s="17" t="s">
        <v>184</v>
      </c>
      <c r="L3074">
        <v>3</v>
      </c>
    </row>
    <row r="3075" spans="1:12" x14ac:dyDescent="0.25">
      <c r="A3075" t="s">
        <v>6737</v>
      </c>
      <c r="B3075" t="s">
        <v>281</v>
      </c>
      <c r="C3075" t="s">
        <v>2295</v>
      </c>
      <c r="D3075" t="s">
        <v>23</v>
      </c>
      <c r="E3075">
        <v>45</v>
      </c>
      <c r="F3075" t="s">
        <v>287</v>
      </c>
      <c r="G3075" t="s">
        <v>351</v>
      </c>
      <c r="H3075" s="2">
        <v>69114</v>
      </c>
      <c r="I3075" s="1" t="d">
        <v>2010-07-09</v>
      </c>
      <c r="J3075" t="s">
        <v>3379</v>
      </c>
      <c r="K3075" s="17" t="s">
        <v>42</v>
      </c>
      <c r="L3075">
        <v>4</v>
      </c>
    </row>
    <row r="3076" spans="1:12" x14ac:dyDescent="0.25">
      <c r="A3076" t="s">
        <v>4309</v>
      </c>
      <c r="B3076" t="s">
        <v>6738</v>
      </c>
      <c r="C3076" t="s">
        <v>858</v>
      </c>
      <c r="D3076" t="s">
        <v>9527</v>
      </c>
      <c r="E3076">
        <v>40</v>
      </c>
      <c r="F3076" t="s">
        <v>38</v>
      </c>
      <c r="G3076" t="s">
        <v>39</v>
      </c>
      <c r="H3076">
        <v>65141</v>
      </c>
      <c r="I3076" s="1" t="d">
        <v>2009-02-24</v>
      </c>
      <c r="J3076" t="s">
        <v>4311</v>
      </c>
      <c r="K3076" s="17" t="s">
        <v>184</v>
      </c>
      <c r="L3076">
        <v>2</v>
      </c>
    </row>
    <row r="3077" spans="1:12" x14ac:dyDescent="0.25">
      <c r="A3077" t="s">
        <v>6739</v>
      </c>
      <c r="B3077" t="s">
        <v>3201</v>
      </c>
      <c r="C3077" t="s">
        <v>30</v>
      </c>
      <c r="D3077" t="s">
        <v>46</v>
      </c>
      <c r="E3077">
        <v>29</v>
      </c>
      <c r="F3077" t="s">
        <v>146</v>
      </c>
      <c r="G3077" t="s">
        <v>205</v>
      </c>
      <c r="H3077" s="2">
        <v>113480</v>
      </c>
      <c r="I3077" s="1" t="d">
        <v>2009-05-03</v>
      </c>
      <c r="J3077" t="s">
        <v>3505</v>
      </c>
      <c r="K3077" s="17" t="s">
        <v>149</v>
      </c>
      <c r="L3077">
        <v>3</v>
      </c>
    </row>
    <row r="3078" spans="1:12" x14ac:dyDescent="0.25">
      <c r="A3078" t="s">
        <v>6740</v>
      </c>
      <c r="B3078" t="s">
        <v>804</v>
      </c>
      <c r="C3078" t="s">
        <v>405</v>
      </c>
      <c r="D3078" t="s">
        <v>23</v>
      </c>
      <c r="E3078">
        <v>44</v>
      </c>
      <c r="F3078" t="s">
        <v>200</v>
      </c>
      <c r="G3078" t="s">
        <v>16</v>
      </c>
      <c r="H3078" s="2">
        <v>133503</v>
      </c>
      <c r="I3078" s="1" t="d">
        <v>2016-03-03</v>
      </c>
      <c r="J3078" t="s">
        <v>4244</v>
      </c>
      <c r="K3078" s="17" t="s">
        <v>118</v>
      </c>
      <c r="L3078">
        <v>2</v>
      </c>
    </row>
    <row r="3079" spans="1:12" x14ac:dyDescent="0.25">
      <c r="A3079" t="s">
        <v>6741</v>
      </c>
      <c r="B3079" t="s">
        <v>120</v>
      </c>
      <c r="C3079" t="s">
        <v>1039</v>
      </c>
      <c r="D3079" t="s">
        <v>46</v>
      </c>
      <c r="E3079">
        <v>31</v>
      </c>
      <c r="F3079" t="s">
        <v>666</v>
      </c>
      <c r="G3079" t="s">
        <v>82</v>
      </c>
      <c r="H3079" t="s">
        <v>6742</v>
      </c>
      <c r="I3079" s="1" t="d">
        <v>2007-06-15</v>
      </c>
      <c r="J3079" t="s">
        <v>6743</v>
      </c>
      <c r="K3079" s="17" t="s">
        <v>19</v>
      </c>
      <c r="L3079">
        <v>3</v>
      </c>
    </row>
    <row r="3080" spans="1:12" x14ac:dyDescent="0.25">
      <c r="A3080" t="s">
        <v>6744</v>
      </c>
      <c r="B3080" t="s">
        <v>841</v>
      </c>
      <c r="C3080" t="s">
        <v>790</v>
      </c>
      <c r="D3080" t="s">
        <v>46</v>
      </c>
      <c r="E3080">
        <v>29</v>
      </c>
      <c r="F3080" t="s">
        <v>126</v>
      </c>
      <c r="G3080" t="s">
        <v>82</v>
      </c>
      <c r="H3080" s="2">
        <v>61634</v>
      </c>
      <c r="I3080" s="1" t="d">
        <v>2013-05-21</v>
      </c>
      <c r="J3080" t="s">
        <v>6745</v>
      </c>
      <c r="K3080" s="17" t="s">
        <v>50</v>
      </c>
      <c r="L3080">
        <v>5</v>
      </c>
    </row>
    <row r="3081" spans="1:12" x14ac:dyDescent="0.25">
      <c r="A3081" t="s">
        <v>6746</v>
      </c>
      <c r="B3081" t="s">
        <v>2061</v>
      </c>
      <c r="C3081" t="s">
        <v>158</v>
      </c>
      <c r="D3081" t="s">
        <v>9527</v>
      </c>
      <c r="E3081">
        <v>21</v>
      </c>
      <c r="G3081" t="s">
        <v>170</v>
      </c>
      <c r="H3081" t="s">
        <v>6747</v>
      </c>
      <c r="I3081" s="1" t="d">
        <v>2018-03-21</v>
      </c>
      <c r="J3081" t="s">
        <v>2293</v>
      </c>
      <c r="K3081" s="17" t="s">
        <v>184</v>
      </c>
      <c r="L3081">
        <v>3</v>
      </c>
    </row>
    <row r="3082" spans="1:12" x14ac:dyDescent="0.25">
      <c r="A3082" t="s">
        <v>6748</v>
      </c>
      <c r="B3082" t="s">
        <v>808</v>
      </c>
      <c r="C3082" t="s">
        <v>22</v>
      </c>
      <c r="D3082" t="s">
        <v>46</v>
      </c>
      <c r="E3082">
        <v>35</v>
      </c>
      <c r="F3082" t="s">
        <v>94</v>
      </c>
      <c r="G3082" t="s">
        <v>205</v>
      </c>
      <c r="H3082" t="s">
        <v>6749</v>
      </c>
      <c r="I3082" s="1" t="d">
        <v>2005-04-15</v>
      </c>
      <c r="J3082" t="s">
        <v>1344</v>
      </c>
      <c r="K3082" s="17" t="s">
        <v>207</v>
      </c>
      <c r="L3082">
        <v>4</v>
      </c>
    </row>
    <row r="3083" spans="1:12" x14ac:dyDescent="0.25">
      <c r="A3083" t="s">
        <v>6750</v>
      </c>
      <c r="B3083" t="s">
        <v>267</v>
      </c>
      <c r="C3083" t="s">
        <v>624</v>
      </c>
      <c r="D3083" t="s">
        <v>9527</v>
      </c>
      <c r="E3083">
        <v>31</v>
      </c>
      <c r="F3083" t="s">
        <v>417</v>
      </c>
      <c r="G3083" t="s">
        <v>82</v>
      </c>
      <c r="H3083" t="s">
        <v>6751</v>
      </c>
      <c r="I3083" s="1" t="d">
        <v>2007-02-26</v>
      </c>
      <c r="J3083" t="s">
        <v>4472</v>
      </c>
      <c r="K3083" s="17" t="s">
        <v>149</v>
      </c>
      <c r="L3083">
        <v>2</v>
      </c>
    </row>
    <row r="3084" spans="1:12" x14ac:dyDescent="0.25">
      <c r="A3084" t="s">
        <v>6752</v>
      </c>
      <c r="B3084" t="s">
        <v>3785</v>
      </c>
      <c r="C3084" t="s">
        <v>1442</v>
      </c>
      <c r="D3084" t="s">
        <v>46</v>
      </c>
      <c r="E3084">
        <v>34</v>
      </c>
      <c r="F3084" t="s">
        <v>169</v>
      </c>
      <c r="G3084" t="s">
        <v>504</v>
      </c>
      <c r="H3084" s="2">
        <v>45245</v>
      </c>
      <c r="I3084" s="1" t="d">
        <v>2005-04-08</v>
      </c>
      <c r="J3084" t="s">
        <v>4289</v>
      </c>
      <c r="K3084" s="17" t="s">
        <v>42</v>
      </c>
      <c r="L3084">
        <v>4</v>
      </c>
    </row>
    <row r="3085" spans="1:12" x14ac:dyDescent="0.25">
      <c r="A3085" t="s">
        <v>6753</v>
      </c>
      <c r="B3085" t="s">
        <v>571</v>
      </c>
      <c r="C3085" t="s">
        <v>318</v>
      </c>
      <c r="D3085" t="s">
        <v>23</v>
      </c>
      <c r="E3085">
        <v>29</v>
      </c>
      <c r="F3085" t="s">
        <v>238</v>
      </c>
      <c r="G3085" t="s">
        <v>191</v>
      </c>
      <c r="H3085" t="s">
        <v>6754</v>
      </c>
      <c r="I3085" s="1" t="d">
        <v>2007-02-22</v>
      </c>
      <c r="J3085" t="s">
        <v>3099</v>
      </c>
      <c r="K3085" s="17" t="s">
        <v>27</v>
      </c>
      <c r="L3085">
        <v>4</v>
      </c>
    </row>
    <row r="3086" spans="1:12" x14ac:dyDescent="0.25">
      <c r="A3086" t="s">
        <v>6755</v>
      </c>
      <c r="B3086" t="s">
        <v>112</v>
      </c>
      <c r="C3086" t="s">
        <v>1306</v>
      </c>
      <c r="D3086" t="s">
        <v>9527</v>
      </c>
      <c r="E3086">
        <v>31</v>
      </c>
      <c r="F3086" t="s">
        <v>356</v>
      </c>
      <c r="G3086" t="s">
        <v>1277</v>
      </c>
      <c r="I3086" s="1" t="d">
        <v>2017-03-06</v>
      </c>
      <c r="J3086" t="s">
        <v>2776</v>
      </c>
      <c r="K3086" s="17" t="s">
        <v>42</v>
      </c>
      <c r="L3086">
        <v>4</v>
      </c>
    </row>
    <row r="3087" spans="1:12" x14ac:dyDescent="0.25">
      <c r="A3087" t="s">
        <v>6756</v>
      </c>
      <c r="B3087" t="s">
        <v>728</v>
      </c>
      <c r="C3087" t="s">
        <v>416</v>
      </c>
      <c r="D3087" t="s">
        <v>46</v>
      </c>
      <c r="E3087">
        <v>47</v>
      </c>
      <c r="G3087" t="s">
        <v>842</v>
      </c>
      <c r="H3087">
        <v>137610</v>
      </c>
      <c r="I3087" s="1" t="d">
        <v>2015-06-22</v>
      </c>
      <c r="J3087" t="s">
        <v>4367</v>
      </c>
      <c r="K3087" s="17" t="s">
        <v>42</v>
      </c>
      <c r="L3087">
        <v>3</v>
      </c>
    </row>
    <row r="3088" spans="1:12" x14ac:dyDescent="0.25">
      <c r="A3088" t="s">
        <v>6757</v>
      </c>
      <c r="B3088" t="s">
        <v>355</v>
      </c>
      <c r="C3088" t="s">
        <v>477</v>
      </c>
      <c r="D3088" t="s">
        <v>23</v>
      </c>
      <c r="E3088">
        <v>38</v>
      </c>
      <c r="F3088" t="s">
        <v>1785</v>
      </c>
      <c r="G3088" t="s">
        <v>191</v>
      </c>
      <c r="H3088" s="2">
        <v>37491</v>
      </c>
      <c r="I3088" s="1" t="d">
        <v>2008-06-21</v>
      </c>
      <c r="J3088" t="s">
        <v>358</v>
      </c>
      <c r="K3088" s="17" t="s">
        <v>42</v>
      </c>
      <c r="L3088">
        <v>1</v>
      </c>
    </row>
    <row r="3089" spans="1:12" x14ac:dyDescent="0.25">
      <c r="A3089" t="s">
        <v>6758</v>
      </c>
      <c r="B3089" t="s">
        <v>102</v>
      </c>
      <c r="C3089" t="s">
        <v>624</v>
      </c>
      <c r="D3089" t="s">
        <v>46</v>
      </c>
      <c r="E3089">
        <v>44</v>
      </c>
      <c r="F3089" t="s">
        <v>406</v>
      </c>
      <c r="G3089" t="s">
        <v>1285</v>
      </c>
      <c r="H3089" t="s">
        <v>6759</v>
      </c>
      <c r="I3089" s="1" t="d">
        <v>2022-11-27</v>
      </c>
      <c r="J3089" t="s">
        <v>2990</v>
      </c>
      <c r="K3089" s="17" t="s">
        <v>50</v>
      </c>
      <c r="L3089">
        <v>3</v>
      </c>
    </row>
    <row r="3090" spans="1:12" x14ac:dyDescent="0.25">
      <c r="A3090" t="s">
        <v>6760</v>
      </c>
      <c r="B3090" t="s">
        <v>954</v>
      </c>
      <c r="C3090" t="s">
        <v>660</v>
      </c>
      <c r="D3090" t="s">
        <v>23</v>
      </c>
      <c r="E3090">
        <v>60</v>
      </c>
      <c r="F3090" t="s">
        <v>645</v>
      </c>
      <c r="G3090" t="s">
        <v>69</v>
      </c>
      <c r="I3090" s="1" t="d">
        <v>2007-06-10</v>
      </c>
      <c r="J3090" t="s">
        <v>6761</v>
      </c>
      <c r="K3090" s="17" t="s">
        <v>370</v>
      </c>
      <c r="L3090">
        <v>4</v>
      </c>
    </row>
    <row r="3091" spans="1:12" x14ac:dyDescent="0.25">
      <c r="A3091" t="s">
        <v>6762</v>
      </c>
      <c r="B3091" t="s">
        <v>1481</v>
      </c>
      <c r="C3091" t="s">
        <v>210</v>
      </c>
      <c r="D3091" t="s">
        <v>9527</v>
      </c>
      <c r="E3091">
        <v>38</v>
      </c>
      <c r="G3091" t="s">
        <v>39</v>
      </c>
      <c r="H3091" t="s">
        <v>6763</v>
      </c>
      <c r="I3091" s="1" t="d">
        <v>2007-11-30</v>
      </c>
      <c r="J3091" t="s">
        <v>1501</v>
      </c>
      <c r="K3091" s="17" t="s">
        <v>50</v>
      </c>
      <c r="L3091">
        <v>3</v>
      </c>
    </row>
    <row r="3092" spans="1:12" x14ac:dyDescent="0.25">
      <c r="A3092" t="s">
        <v>6764</v>
      </c>
      <c r="B3092" t="s">
        <v>151</v>
      </c>
      <c r="C3092" t="s">
        <v>6327</v>
      </c>
      <c r="D3092" t="s">
        <v>46</v>
      </c>
      <c r="E3092">
        <v>30</v>
      </c>
      <c r="F3092" t="s">
        <v>94</v>
      </c>
      <c r="G3092" t="s">
        <v>217</v>
      </c>
      <c r="H3092" t="s">
        <v>6765</v>
      </c>
      <c r="I3092" s="1" t="d">
        <v>2012-02-26</v>
      </c>
      <c r="J3092" t="s">
        <v>5365</v>
      </c>
      <c r="K3092" s="17" t="s">
        <v>27</v>
      </c>
      <c r="L3092">
        <v>3</v>
      </c>
    </row>
    <row r="3093" spans="1:12" x14ac:dyDescent="0.25">
      <c r="A3093" t="s">
        <v>6766</v>
      </c>
      <c r="B3093" t="s">
        <v>1086</v>
      </c>
      <c r="C3093" t="s">
        <v>790</v>
      </c>
      <c r="D3093" t="s">
        <v>23</v>
      </c>
      <c r="E3093">
        <v>32</v>
      </c>
      <c r="F3093" t="s">
        <v>196</v>
      </c>
      <c r="G3093" t="s">
        <v>82</v>
      </c>
      <c r="H3093" s="2">
        <v>42605</v>
      </c>
      <c r="I3093" s="1" t="d">
        <v>2013-07-23</v>
      </c>
      <c r="J3093" t="s">
        <v>6767</v>
      </c>
      <c r="K3093" s="17" t="s">
        <v>42</v>
      </c>
      <c r="L3093">
        <v>5</v>
      </c>
    </row>
    <row r="3094" spans="1:12" x14ac:dyDescent="0.25">
      <c r="A3094" t="s">
        <v>6768</v>
      </c>
      <c r="B3094" t="s">
        <v>1997</v>
      </c>
      <c r="C3094" t="s">
        <v>1538</v>
      </c>
      <c r="D3094" t="s">
        <v>46</v>
      </c>
      <c r="E3094">
        <v>38</v>
      </c>
      <c r="F3094" t="s">
        <v>190</v>
      </c>
      <c r="G3094" t="s">
        <v>115</v>
      </c>
      <c r="H3094" s="2">
        <v>56276</v>
      </c>
      <c r="I3094" s="1" t="d">
        <v>2010-02-19</v>
      </c>
      <c r="J3094" t="s">
        <v>4111</v>
      </c>
      <c r="K3094" s="17" t="s">
        <v>58</v>
      </c>
      <c r="L3094">
        <v>1</v>
      </c>
    </row>
    <row r="3095" spans="1:12" x14ac:dyDescent="0.25">
      <c r="A3095" t="s">
        <v>6769</v>
      </c>
      <c r="B3095" t="s">
        <v>44</v>
      </c>
      <c r="C3095" t="s">
        <v>1306</v>
      </c>
      <c r="D3095" t="s">
        <v>9527</v>
      </c>
      <c r="E3095">
        <v>32</v>
      </c>
      <c r="F3095" t="s">
        <v>918</v>
      </c>
      <c r="G3095" t="s">
        <v>82</v>
      </c>
      <c r="I3095" s="1" t="d">
        <v>2015-06-22</v>
      </c>
      <c r="J3095" t="s">
        <v>6770</v>
      </c>
      <c r="K3095" s="17" t="s">
        <v>71</v>
      </c>
      <c r="L3095">
        <v>5</v>
      </c>
    </row>
    <row r="3096" spans="1:12" x14ac:dyDescent="0.25">
      <c r="A3096" t="s">
        <v>6771</v>
      </c>
      <c r="B3096" t="s">
        <v>846</v>
      </c>
      <c r="C3096" t="s">
        <v>386</v>
      </c>
      <c r="D3096" t="s">
        <v>23</v>
      </c>
      <c r="E3096">
        <v>37</v>
      </c>
      <c r="F3096" t="s">
        <v>666</v>
      </c>
      <c r="G3096" t="s">
        <v>526</v>
      </c>
      <c r="H3096" t="s">
        <v>6772</v>
      </c>
      <c r="I3096" s="1" t="d">
        <v>2019-12-31</v>
      </c>
      <c r="J3096" t="s">
        <v>4751</v>
      </c>
      <c r="K3096" s="17" t="s">
        <v>42</v>
      </c>
      <c r="L3096">
        <v>3</v>
      </c>
    </row>
    <row r="3097" spans="1:12" x14ac:dyDescent="0.25">
      <c r="A3097" t="s">
        <v>6773</v>
      </c>
      <c r="B3097" t="s">
        <v>5278</v>
      </c>
      <c r="C3097" t="s">
        <v>2874</v>
      </c>
      <c r="D3097" t="s">
        <v>9527</v>
      </c>
      <c r="E3097">
        <v>22</v>
      </c>
      <c r="F3097" t="s">
        <v>859</v>
      </c>
      <c r="G3097" t="s">
        <v>127</v>
      </c>
      <c r="H3097" t="s">
        <v>6774</v>
      </c>
      <c r="I3097" s="1" t="d">
        <v>2005-11-03</v>
      </c>
      <c r="J3097" t="s">
        <v>4131</v>
      </c>
      <c r="K3097" s="17" t="s">
        <v>90</v>
      </c>
      <c r="L3097">
        <v>1</v>
      </c>
    </row>
    <row r="3098" spans="1:12" x14ac:dyDescent="0.25">
      <c r="A3098" t="s">
        <v>6775</v>
      </c>
      <c r="B3098" t="s">
        <v>594</v>
      </c>
      <c r="C3098" t="s">
        <v>181</v>
      </c>
      <c r="D3098" t="s">
        <v>46</v>
      </c>
      <c r="E3098">
        <v>38</v>
      </c>
      <c r="F3098" t="s">
        <v>1195</v>
      </c>
      <c r="G3098" t="s">
        <v>278</v>
      </c>
      <c r="H3098" s="2">
        <v>90822</v>
      </c>
      <c r="I3098" s="1" t="d">
        <v>2024-11-27</v>
      </c>
      <c r="J3098" t="s">
        <v>3426</v>
      </c>
      <c r="K3098" s="17" t="s">
        <v>370</v>
      </c>
      <c r="L3098">
        <v>2</v>
      </c>
    </row>
    <row r="3099" spans="1:12" x14ac:dyDescent="0.25">
      <c r="A3099" t="s">
        <v>6776</v>
      </c>
      <c r="B3099" t="s">
        <v>914</v>
      </c>
      <c r="C3099" t="s">
        <v>1332</v>
      </c>
      <c r="D3099" t="s">
        <v>9527</v>
      </c>
      <c r="E3099">
        <v>21</v>
      </c>
      <c r="F3099" t="s">
        <v>576</v>
      </c>
      <c r="G3099" t="s">
        <v>387</v>
      </c>
      <c r="I3099" s="1" t="d">
        <v>2013-08-23</v>
      </c>
      <c r="J3099" t="s">
        <v>2728</v>
      </c>
      <c r="K3099" s="17" t="s">
        <v>100</v>
      </c>
      <c r="L3099">
        <v>4</v>
      </c>
    </row>
    <row r="3100" spans="1:12" x14ac:dyDescent="0.25">
      <c r="A3100" t="s">
        <v>6777</v>
      </c>
      <c r="B3100" t="s">
        <v>664</v>
      </c>
      <c r="C3100" t="s">
        <v>1052</v>
      </c>
      <c r="D3100" t="s">
        <v>23</v>
      </c>
      <c r="E3100">
        <v>28</v>
      </c>
      <c r="G3100" t="s">
        <v>48</v>
      </c>
      <c r="H3100" t="s">
        <v>6778</v>
      </c>
      <c r="I3100" s="1" t="d">
        <v>2021-05-26</v>
      </c>
      <c r="J3100" t="s">
        <v>6779</v>
      </c>
      <c r="K3100" s="17" t="s">
        <v>71</v>
      </c>
      <c r="L3100">
        <v>4</v>
      </c>
    </row>
    <row r="3101" spans="1:12" x14ac:dyDescent="0.25">
      <c r="A3101" t="s">
        <v>6780</v>
      </c>
      <c r="B3101" t="s">
        <v>157</v>
      </c>
      <c r="C3101" t="s">
        <v>851</v>
      </c>
      <c r="D3101" t="s">
        <v>23</v>
      </c>
      <c r="E3101">
        <v>39</v>
      </c>
      <c r="F3101" t="s">
        <v>978</v>
      </c>
      <c r="G3101" t="s">
        <v>967</v>
      </c>
      <c r="H3101" t="s">
        <v>6781</v>
      </c>
      <c r="I3101" s="1" t="d">
        <v>2015-05-05</v>
      </c>
      <c r="J3101" t="s">
        <v>5056</v>
      </c>
      <c r="K3101" s="17" t="s">
        <v>58</v>
      </c>
      <c r="L3101">
        <v>3</v>
      </c>
    </row>
    <row r="3102" spans="1:12" x14ac:dyDescent="0.25">
      <c r="A3102" t="s">
        <v>6782</v>
      </c>
      <c r="B3102" t="s">
        <v>426</v>
      </c>
      <c r="C3102" t="s">
        <v>4310</v>
      </c>
      <c r="D3102" t="s">
        <v>23</v>
      </c>
      <c r="E3102">
        <v>67</v>
      </c>
      <c r="F3102" t="s">
        <v>296</v>
      </c>
      <c r="G3102" t="s">
        <v>205</v>
      </c>
      <c r="H3102" t="s">
        <v>6783</v>
      </c>
      <c r="I3102" s="1" t="d">
        <v>2011-01-05</v>
      </c>
      <c r="J3102" t="s">
        <v>4311</v>
      </c>
      <c r="K3102" s="17" t="s">
        <v>34</v>
      </c>
      <c r="L3102">
        <v>3</v>
      </c>
    </row>
    <row r="3103" spans="1:12" x14ac:dyDescent="0.25">
      <c r="A3103" t="s">
        <v>6784</v>
      </c>
      <c r="B3103" t="s">
        <v>228</v>
      </c>
      <c r="C3103" t="s">
        <v>361</v>
      </c>
      <c r="D3103" t="s">
        <v>46</v>
      </c>
      <c r="E3103">
        <v>26</v>
      </c>
      <c r="F3103" t="s">
        <v>978</v>
      </c>
      <c r="G3103" t="s">
        <v>82</v>
      </c>
      <c r="H3103">
        <v>82843</v>
      </c>
      <c r="I3103" s="1" t="d">
        <v>2006-01-11</v>
      </c>
      <c r="J3103" t="s">
        <v>4103</v>
      </c>
      <c r="K3103" s="17" t="s">
        <v>50</v>
      </c>
      <c r="L3103">
        <v>5</v>
      </c>
    </row>
    <row r="3104" spans="1:12" x14ac:dyDescent="0.25">
      <c r="A3104" t="s">
        <v>6785</v>
      </c>
      <c r="B3104" t="s">
        <v>659</v>
      </c>
      <c r="C3104" t="s">
        <v>830</v>
      </c>
      <c r="D3104" t="s">
        <v>9527</v>
      </c>
      <c r="E3104">
        <v>40</v>
      </c>
      <c r="F3104" t="s">
        <v>196</v>
      </c>
      <c r="G3104" t="s">
        <v>55</v>
      </c>
      <c r="H3104">
        <v>42808</v>
      </c>
      <c r="I3104" s="1" t="d">
        <v>2006-11-26</v>
      </c>
      <c r="J3104" t="s">
        <v>6786</v>
      </c>
      <c r="K3104" s="17" t="s">
        <v>118</v>
      </c>
      <c r="L3104">
        <v>4</v>
      </c>
    </row>
    <row r="3105" spans="1:12" x14ac:dyDescent="0.25">
      <c r="A3105" t="s">
        <v>6787</v>
      </c>
      <c r="B3105" t="s">
        <v>1605</v>
      </c>
      <c r="C3105" t="s">
        <v>1520</v>
      </c>
      <c r="D3105" t="s">
        <v>46</v>
      </c>
      <c r="E3105">
        <v>38</v>
      </c>
      <c r="F3105" t="s">
        <v>190</v>
      </c>
      <c r="G3105" t="s">
        <v>504</v>
      </c>
      <c r="I3105" s="1" t="d">
        <v>2022-07-15</v>
      </c>
      <c r="J3105" t="s">
        <v>6788</v>
      </c>
      <c r="K3105" s="17" t="s">
        <v>184</v>
      </c>
      <c r="L3105">
        <v>3</v>
      </c>
    </row>
    <row r="3106" spans="1:12" x14ac:dyDescent="0.25">
      <c r="A3106" t="s">
        <v>6789</v>
      </c>
      <c r="B3106" t="s">
        <v>571</v>
      </c>
      <c r="C3106" t="s">
        <v>6790</v>
      </c>
      <c r="D3106" t="s">
        <v>23</v>
      </c>
      <c r="E3106">
        <v>21</v>
      </c>
      <c r="F3106" t="s">
        <v>94</v>
      </c>
      <c r="G3106" t="s">
        <v>16</v>
      </c>
      <c r="H3106" s="2">
        <v>89352</v>
      </c>
      <c r="I3106" s="1" t="d">
        <v>2021-11-19</v>
      </c>
      <c r="J3106" t="s">
        <v>1999</v>
      </c>
      <c r="K3106" s="17" t="s">
        <v>42</v>
      </c>
      <c r="L3106">
        <v>3</v>
      </c>
    </row>
    <row r="3107" spans="1:12" x14ac:dyDescent="0.25">
      <c r="A3107" t="s">
        <v>6791</v>
      </c>
      <c r="B3107" t="s">
        <v>1403</v>
      </c>
      <c r="C3107" t="s">
        <v>341</v>
      </c>
      <c r="D3107" t="s">
        <v>46</v>
      </c>
      <c r="E3107">
        <v>42</v>
      </c>
      <c r="F3107" t="s">
        <v>417</v>
      </c>
      <c r="G3107" t="s">
        <v>278</v>
      </c>
      <c r="H3107" s="2">
        <v>112077</v>
      </c>
      <c r="I3107" s="1" t="d">
        <v>2015-04-02</v>
      </c>
      <c r="J3107" t="s">
        <v>6715</v>
      </c>
      <c r="K3107" s="17" t="s">
        <v>118</v>
      </c>
      <c r="L3107">
        <v>5</v>
      </c>
    </row>
    <row r="3108" spans="1:12" x14ac:dyDescent="0.25">
      <c r="A3108" t="s">
        <v>6792</v>
      </c>
      <c r="B3108" t="s">
        <v>120</v>
      </c>
      <c r="C3108" t="s">
        <v>1052</v>
      </c>
      <c r="D3108" t="s">
        <v>23</v>
      </c>
      <c r="E3108">
        <v>47</v>
      </c>
      <c r="F3108" t="s">
        <v>38</v>
      </c>
      <c r="G3108" t="s">
        <v>39</v>
      </c>
      <c r="H3108">
        <v>63325</v>
      </c>
      <c r="I3108" s="1" t="d">
        <v>2016-07-13</v>
      </c>
      <c r="J3108" t="s">
        <v>6793</v>
      </c>
      <c r="K3108" s="17" t="s">
        <v>42</v>
      </c>
      <c r="L3108">
        <v>3</v>
      </c>
    </row>
    <row r="3109" spans="1:12" x14ac:dyDescent="0.25">
      <c r="A3109" t="s">
        <v>6794</v>
      </c>
      <c r="B3109" t="s">
        <v>1382</v>
      </c>
      <c r="C3109" t="s">
        <v>1538</v>
      </c>
      <c r="D3109" t="s">
        <v>9527</v>
      </c>
      <c r="E3109">
        <v>29</v>
      </c>
      <c r="F3109" t="s">
        <v>153</v>
      </c>
      <c r="G3109" t="s">
        <v>170</v>
      </c>
      <c r="I3109" s="1" t="d">
        <v>2021-07-01</v>
      </c>
      <c r="J3109" t="s">
        <v>6795</v>
      </c>
      <c r="K3109" s="17" t="s">
        <v>184</v>
      </c>
      <c r="L3109">
        <v>5</v>
      </c>
    </row>
    <row r="3110" spans="1:12" x14ac:dyDescent="0.25">
      <c r="A3110" t="s">
        <v>6796</v>
      </c>
      <c r="B3110" t="s">
        <v>360</v>
      </c>
      <c r="C3110" t="s">
        <v>6797</v>
      </c>
      <c r="D3110" t="s">
        <v>9527</v>
      </c>
      <c r="E3110">
        <v>23</v>
      </c>
      <c r="F3110" t="s">
        <v>264</v>
      </c>
      <c r="G3110" t="s">
        <v>182</v>
      </c>
      <c r="H3110" s="2">
        <v>139063</v>
      </c>
      <c r="I3110" s="1" t="d">
        <v>2006-08-29</v>
      </c>
      <c r="J3110" t="s">
        <v>3411</v>
      </c>
      <c r="K3110" s="17" t="s">
        <v>184</v>
      </c>
      <c r="L3110">
        <v>4</v>
      </c>
    </row>
    <row r="3111" spans="1:12" x14ac:dyDescent="0.25">
      <c r="A3111" t="s">
        <v>6798</v>
      </c>
      <c r="B3111" t="s">
        <v>162</v>
      </c>
      <c r="C3111" t="s">
        <v>453</v>
      </c>
      <c r="D3111" t="s">
        <v>46</v>
      </c>
      <c r="E3111">
        <v>34</v>
      </c>
      <c r="F3111" t="s">
        <v>153</v>
      </c>
      <c r="G3111" t="s">
        <v>782</v>
      </c>
      <c r="H3111" t="s">
        <v>6799</v>
      </c>
      <c r="I3111" s="1" t="d">
        <v>2007-07-14</v>
      </c>
      <c r="J3111" t="s">
        <v>6800</v>
      </c>
      <c r="K3111" s="17" t="s">
        <v>370</v>
      </c>
      <c r="L3111">
        <v>3</v>
      </c>
    </row>
    <row r="3112" spans="1:12" x14ac:dyDescent="0.25">
      <c r="A3112" t="s">
        <v>6801</v>
      </c>
      <c r="B3112" t="s">
        <v>6802</v>
      </c>
      <c r="C3112" t="s">
        <v>684</v>
      </c>
      <c r="D3112" t="s">
        <v>46</v>
      </c>
      <c r="E3112">
        <v>42</v>
      </c>
      <c r="F3112" t="s">
        <v>269</v>
      </c>
      <c r="G3112" t="s">
        <v>39</v>
      </c>
      <c r="H3112" t="s">
        <v>6803</v>
      </c>
      <c r="I3112" s="1" t="d">
        <v>2013-11-01</v>
      </c>
      <c r="J3112" t="s">
        <v>943</v>
      </c>
      <c r="K3112" s="17" t="s">
        <v>34</v>
      </c>
      <c r="L3112">
        <v>3</v>
      </c>
    </row>
    <row r="3113" spans="1:12" x14ac:dyDescent="0.25">
      <c r="A3113" t="s">
        <v>6804</v>
      </c>
      <c r="B3113" t="s">
        <v>4573</v>
      </c>
      <c r="C3113" t="s">
        <v>858</v>
      </c>
      <c r="D3113" t="s">
        <v>46</v>
      </c>
      <c r="E3113">
        <v>44</v>
      </c>
      <c r="F3113" t="s">
        <v>4397</v>
      </c>
      <c r="G3113" t="s">
        <v>39</v>
      </c>
      <c r="I3113" s="1" t="d">
        <v>2006-07-23</v>
      </c>
      <c r="J3113" t="s">
        <v>860</v>
      </c>
      <c r="K3113" s="17" t="s">
        <v>149</v>
      </c>
      <c r="L3113">
        <v>3</v>
      </c>
    </row>
    <row r="3114" spans="1:12" x14ac:dyDescent="0.25">
      <c r="A3114" t="s">
        <v>4389</v>
      </c>
      <c r="B3114" t="s">
        <v>5347</v>
      </c>
      <c r="C3114" t="s">
        <v>665</v>
      </c>
      <c r="D3114" t="s">
        <v>23</v>
      </c>
      <c r="E3114">
        <v>21</v>
      </c>
      <c r="F3114" t="s">
        <v>94</v>
      </c>
      <c r="G3114" t="s">
        <v>55</v>
      </c>
      <c r="H3114" s="2">
        <v>72975</v>
      </c>
      <c r="I3114" s="1" t="d">
        <v>2014-12-29</v>
      </c>
      <c r="J3114" t="s">
        <v>3274</v>
      </c>
      <c r="K3114" s="17" t="s">
        <v>90</v>
      </c>
      <c r="L3114">
        <v>5</v>
      </c>
    </row>
    <row r="3115" spans="1:12" x14ac:dyDescent="0.25">
      <c r="A3115" t="s">
        <v>6805</v>
      </c>
      <c r="B3115" t="s">
        <v>1374</v>
      </c>
      <c r="C3115" t="s">
        <v>195</v>
      </c>
      <c r="D3115" t="s">
        <v>9527</v>
      </c>
      <c r="E3115">
        <v>44</v>
      </c>
      <c r="G3115" t="s">
        <v>191</v>
      </c>
      <c r="H3115" t="s">
        <v>6806</v>
      </c>
      <c r="I3115" s="1" t="d">
        <v>2022-04-01</v>
      </c>
      <c r="J3115" t="s">
        <v>2533</v>
      </c>
      <c r="K3115" s="17" t="s">
        <v>19</v>
      </c>
      <c r="L3115">
        <v>5</v>
      </c>
    </row>
    <row r="3116" spans="1:12" x14ac:dyDescent="0.25">
      <c r="A3116" t="s">
        <v>6807</v>
      </c>
      <c r="B3116" t="s">
        <v>102</v>
      </c>
      <c r="C3116" t="s">
        <v>847</v>
      </c>
      <c r="D3116" t="s">
        <v>46</v>
      </c>
      <c r="E3116">
        <v>41</v>
      </c>
      <c r="F3116" t="s">
        <v>31</v>
      </c>
      <c r="G3116" t="s">
        <v>69</v>
      </c>
      <c r="H3116" s="2">
        <v>43127</v>
      </c>
      <c r="I3116" s="1" t="d">
        <v>2008-06-21</v>
      </c>
      <c r="J3116" t="s">
        <v>3235</v>
      </c>
      <c r="K3116" s="17" t="s">
        <v>207</v>
      </c>
      <c r="L3116">
        <v>4</v>
      </c>
    </row>
    <row r="3117" spans="1:12" x14ac:dyDescent="0.25">
      <c r="A3117" t="s">
        <v>6808</v>
      </c>
      <c r="B3117" t="s">
        <v>340</v>
      </c>
      <c r="C3117" t="s">
        <v>1326</v>
      </c>
      <c r="D3117" t="s">
        <v>46</v>
      </c>
      <c r="E3117">
        <v>30</v>
      </c>
      <c r="F3117" t="s">
        <v>399</v>
      </c>
      <c r="G3117" t="s">
        <v>16</v>
      </c>
      <c r="H3117" s="2">
        <v>64422</v>
      </c>
      <c r="I3117" s="1" t="d">
        <v>2012-12-30</v>
      </c>
      <c r="J3117" t="s">
        <v>4975</v>
      </c>
      <c r="K3117" s="17" t="s">
        <v>370</v>
      </c>
      <c r="L3117">
        <v>3</v>
      </c>
    </row>
    <row r="3118" spans="1:12" x14ac:dyDescent="0.25">
      <c r="A3118" t="s">
        <v>6809</v>
      </c>
      <c r="B3118" t="s">
        <v>3343</v>
      </c>
      <c r="C3118" t="s">
        <v>268</v>
      </c>
      <c r="D3118" t="s">
        <v>46</v>
      </c>
      <c r="E3118">
        <v>39</v>
      </c>
      <c r="F3118" t="s">
        <v>54</v>
      </c>
      <c r="G3118" t="s">
        <v>191</v>
      </c>
      <c r="H3118">
        <v>50273</v>
      </c>
      <c r="I3118" s="1" t="d">
        <v>2012-09-11</v>
      </c>
      <c r="J3118" t="s">
        <v>2501</v>
      </c>
      <c r="K3118" s="17" t="s">
        <v>71</v>
      </c>
      <c r="L3118">
        <v>4</v>
      </c>
    </row>
    <row r="3119" spans="1:12" x14ac:dyDescent="0.25">
      <c r="A3119" t="s">
        <v>6810</v>
      </c>
      <c r="B3119" t="s">
        <v>37</v>
      </c>
      <c r="C3119" t="s">
        <v>624</v>
      </c>
      <c r="D3119" t="s">
        <v>9527</v>
      </c>
      <c r="E3119">
        <v>29</v>
      </c>
      <c r="F3119" t="s">
        <v>1785</v>
      </c>
      <c r="G3119" t="s">
        <v>387</v>
      </c>
      <c r="H3119">
        <v>106755</v>
      </c>
      <c r="I3119" s="1" t="d">
        <v>2011-01-27</v>
      </c>
      <c r="J3119" t="s">
        <v>4150</v>
      </c>
      <c r="K3119" s="17" t="s">
        <v>71</v>
      </c>
      <c r="L3119">
        <v>4</v>
      </c>
    </row>
    <row r="3120" spans="1:12" x14ac:dyDescent="0.25">
      <c r="A3120" t="s">
        <v>6811</v>
      </c>
      <c r="B3120" t="s">
        <v>120</v>
      </c>
      <c r="C3120" t="s">
        <v>291</v>
      </c>
      <c r="D3120" t="s">
        <v>9527</v>
      </c>
      <c r="E3120">
        <v>30</v>
      </c>
      <c r="F3120" t="s">
        <v>146</v>
      </c>
      <c r="G3120" t="s">
        <v>3277</v>
      </c>
      <c r="I3120" s="1" t="d">
        <v>2005-05-14</v>
      </c>
      <c r="J3120" t="s">
        <v>6793</v>
      </c>
      <c r="K3120" s="17" t="s">
        <v>19</v>
      </c>
      <c r="L3120">
        <v>3</v>
      </c>
    </row>
    <row r="3121" spans="1:12" x14ac:dyDescent="0.25">
      <c r="A3121" t="s">
        <v>6812</v>
      </c>
      <c r="B3121" t="s">
        <v>2706</v>
      </c>
      <c r="C3121" t="s">
        <v>386</v>
      </c>
      <c r="D3121" t="s">
        <v>46</v>
      </c>
      <c r="E3121">
        <v>37</v>
      </c>
      <c r="F3121" t="s">
        <v>373</v>
      </c>
      <c r="G3121" t="s">
        <v>357</v>
      </c>
      <c r="H3121" t="s">
        <v>6813</v>
      </c>
      <c r="J3121" t="s">
        <v>1369</v>
      </c>
      <c r="K3121" s="17" t="s">
        <v>100</v>
      </c>
      <c r="L3121">
        <v>2</v>
      </c>
    </row>
    <row r="3122" spans="1:12" x14ac:dyDescent="0.25">
      <c r="A3122" t="s">
        <v>6814</v>
      </c>
      <c r="B3122" t="s">
        <v>789</v>
      </c>
      <c r="C3122" t="s">
        <v>1520</v>
      </c>
      <c r="D3122" t="s">
        <v>23</v>
      </c>
      <c r="E3122">
        <v>48</v>
      </c>
      <c r="F3122" t="s">
        <v>126</v>
      </c>
      <c r="G3122" t="s">
        <v>328</v>
      </c>
      <c r="H3122" t="s">
        <v>6815</v>
      </c>
      <c r="I3122" s="1" t="d">
        <v>2012-11-26</v>
      </c>
      <c r="J3122" t="s">
        <v>2332</v>
      </c>
      <c r="K3122" s="17" t="s">
        <v>370</v>
      </c>
      <c r="L3122">
        <v>3</v>
      </c>
    </row>
    <row r="3123" spans="1:12" x14ac:dyDescent="0.25">
      <c r="A3123" t="s">
        <v>6816</v>
      </c>
      <c r="B3123" t="s">
        <v>92</v>
      </c>
      <c r="C3123" t="s">
        <v>3808</v>
      </c>
      <c r="D3123" t="s">
        <v>23</v>
      </c>
      <c r="E3123">
        <v>48</v>
      </c>
      <c r="F3123" t="s">
        <v>2904</v>
      </c>
      <c r="G3123" t="s">
        <v>82</v>
      </c>
      <c r="I3123" s="1" t="d">
        <v>2005-03-27</v>
      </c>
      <c r="J3123" t="s">
        <v>6817</v>
      </c>
      <c r="K3123" s="17" t="s">
        <v>42</v>
      </c>
      <c r="L3123">
        <v>5</v>
      </c>
    </row>
    <row r="3124" spans="1:12" x14ac:dyDescent="0.25">
      <c r="A3124" t="s">
        <v>6818</v>
      </c>
      <c r="B3124" t="s">
        <v>2697</v>
      </c>
      <c r="C3124" t="s">
        <v>512</v>
      </c>
      <c r="D3124" t="s">
        <v>23</v>
      </c>
      <c r="E3124">
        <v>21</v>
      </c>
      <c r="F3124" t="s">
        <v>114</v>
      </c>
      <c r="G3124" t="s">
        <v>205</v>
      </c>
      <c r="H3124" t="s">
        <v>6819</v>
      </c>
      <c r="I3124" s="1" t="d">
        <v>2008-07-15</v>
      </c>
      <c r="J3124" t="s">
        <v>3031</v>
      </c>
      <c r="K3124" s="17" t="s">
        <v>19</v>
      </c>
      <c r="L3124">
        <v>5</v>
      </c>
    </row>
    <row r="3125" spans="1:12" x14ac:dyDescent="0.25">
      <c r="A3125" t="s">
        <v>6820</v>
      </c>
      <c r="B3125" t="s">
        <v>21</v>
      </c>
      <c r="C3125" t="s">
        <v>152</v>
      </c>
      <c r="D3125" t="s">
        <v>9527</v>
      </c>
      <c r="E3125">
        <v>32</v>
      </c>
      <c r="G3125" t="s">
        <v>16</v>
      </c>
      <c r="I3125" s="1" t="d">
        <v>2006-06-03</v>
      </c>
      <c r="J3125" t="s">
        <v>764</v>
      </c>
      <c r="K3125" s="17" t="s">
        <v>149</v>
      </c>
      <c r="L3125">
        <v>5</v>
      </c>
    </row>
    <row r="3126" spans="1:12" x14ac:dyDescent="0.25">
      <c r="A3126" t="s">
        <v>6821</v>
      </c>
      <c r="B3126" t="s">
        <v>571</v>
      </c>
      <c r="C3126" t="s">
        <v>805</v>
      </c>
      <c r="D3126" t="s">
        <v>9527</v>
      </c>
      <c r="E3126">
        <v>23</v>
      </c>
      <c r="F3126" t="s">
        <v>1203</v>
      </c>
      <c r="G3126" t="s">
        <v>115</v>
      </c>
      <c r="H3126" s="2">
        <v>45652</v>
      </c>
      <c r="I3126" s="1" t="d">
        <v>2014-05-20</v>
      </c>
      <c r="J3126" t="s">
        <v>6822</v>
      </c>
      <c r="K3126" s="17" t="s">
        <v>184</v>
      </c>
      <c r="L3126">
        <v>2</v>
      </c>
    </row>
    <row r="3127" spans="1:12" x14ac:dyDescent="0.25">
      <c r="A3127" t="s">
        <v>6823</v>
      </c>
      <c r="B3127" t="s">
        <v>1086</v>
      </c>
      <c r="C3127" t="s">
        <v>263</v>
      </c>
      <c r="D3127" t="s">
        <v>9527</v>
      </c>
      <c r="E3127">
        <v>37</v>
      </c>
      <c r="F3127" t="s">
        <v>47</v>
      </c>
      <c r="G3127" t="s">
        <v>55</v>
      </c>
      <c r="H3127" t="s">
        <v>6824</v>
      </c>
      <c r="I3127" s="1" t="d">
        <v>2008-02-01</v>
      </c>
      <c r="J3127" t="s">
        <v>4152</v>
      </c>
      <c r="K3127" s="17" t="s">
        <v>58</v>
      </c>
      <c r="L3127">
        <v>2</v>
      </c>
    </row>
    <row r="3128" spans="1:12" x14ac:dyDescent="0.25">
      <c r="A3128" t="s">
        <v>2260</v>
      </c>
      <c r="B3128" t="s">
        <v>86</v>
      </c>
      <c r="C3128" t="s">
        <v>1205</v>
      </c>
      <c r="D3128" t="s">
        <v>9527</v>
      </c>
      <c r="E3128">
        <v>41</v>
      </c>
      <c r="F3128" t="s">
        <v>114</v>
      </c>
      <c r="G3128" t="s">
        <v>212</v>
      </c>
      <c r="H3128" t="s">
        <v>6825</v>
      </c>
      <c r="I3128" s="1" t="d">
        <v>2008-05-01</v>
      </c>
      <c r="J3128" t="s">
        <v>1310</v>
      </c>
      <c r="K3128" s="17" t="s">
        <v>71</v>
      </c>
      <c r="L3128">
        <v>4</v>
      </c>
    </row>
    <row r="3129" spans="1:12" x14ac:dyDescent="0.25">
      <c r="A3129" t="s">
        <v>6826</v>
      </c>
      <c r="B3129" t="s">
        <v>2222</v>
      </c>
      <c r="C3129" t="s">
        <v>457</v>
      </c>
      <c r="D3129" t="s">
        <v>9527</v>
      </c>
      <c r="E3129">
        <v>53</v>
      </c>
      <c r="F3129" t="s">
        <v>296</v>
      </c>
      <c r="G3129" t="s">
        <v>278</v>
      </c>
      <c r="H3129" s="2">
        <v>134576</v>
      </c>
      <c r="I3129" s="1" t="d">
        <v>2020-06-11</v>
      </c>
      <c r="J3129" t="s">
        <v>388</v>
      </c>
      <c r="K3129" s="17" t="s">
        <v>50</v>
      </c>
      <c r="L3129">
        <v>4</v>
      </c>
    </row>
    <row r="3130" spans="1:12" x14ac:dyDescent="0.25">
      <c r="A3130" t="s">
        <v>6827</v>
      </c>
      <c r="B3130" t="s">
        <v>267</v>
      </c>
      <c r="C3130" t="s">
        <v>295</v>
      </c>
      <c r="D3130" t="s">
        <v>23</v>
      </c>
      <c r="E3130">
        <v>29</v>
      </c>
      <c r="F3130" t="s">
        <v>190</v>
      </c>
      <c r="G3130" t="s">
        <v>182</v>
      </c>
      <c r="H3130" t="s">
        <v>6828</v>
      </c>
      <c r="I3130" s="1" t="d">
        <v>2008-11-09</v>
      </c>
      <c r="J3130" t="s">
        <v>4091</v>
      </c>
      <c r="K3130" s="17" t="s">
        <v>50</v>
      </c>
      <c r="L3130">
        <v>2</v>
      </c>
    </row>
    <row r="3131" spans="1:12" x14ac:dyDescent="0.25">
      <c r="A3131" t="s">
        <v>6829</v>
      </c>
      <c r="B3131" t="s">
        <v>112</v>
      </c>
      <c r="C3131" t="s">
        <v>2313</v>
      </c>
      <c r="D3131" t="s">
        <v>46</v>
      </c>
      <c r="E3131">
        <v>39</v>
      </c>
      <c r="F3131" t="s">
        <v>296</v>
      </c>
      <c r="G3131" t="s">
        <v>88</v>
      </c>
      <c r="H3131" t="s">
        <v>6830</v>
      </c>
      <c r="I3131" s="1" t="d">
        <v>2017-03-22</v>
      </c>
      <c r="J3131" t="s">
        <v>6831</v>
      </c>
      <c r="K3131" s="17" t="s">
        <v>34</v>
      </c>
      <c r="L3131">
        <v>4</v>
      </c>
    </row>
    <row r="3132" spans="1:12" x14ac:dyDescent="0.25">
      <c r="A3132" t="s">
        <v>6832</v>
      </c>
      <c r="B3132" t="s">
        <v>2041</v>
      </c>
      <c r="C3132" t="s">
        <v>2778</v>
      </c>
      <c r="D3132" t="s">
        <v>23</v>
      </c>
      <c r="E3132">
        <v>49</v>
      </c>
      <c r="F3132" t="s">
        <v>296</v>
      </c>
      <c r="G3132" t="s">
        <v>337</v>
      </c>
      <c r="H3132" t="s">
        <v>6833</v>
      </c>
      <c r="I3132" s="1" t="d">
        <v>2015-12-21</v>
      </c>
      <c r="J3132" t="s">
        <v>3853</v>
      </c>
      <c r="K3132" s="17" t="s">
        <v>58</v>
      </c>
      <c r="L3132">
        <v>3</v>
      </c>
    </row>
    <row r="3133" spans="1:12" x14ac:dyDescent="0.25">
      <c r="A3133" t="s">
        <v>6834</v>
      </c>
      <c r="B3133" t="s">
        <v>1086</v>
      </c>
      <c r="C3133" t="s">
        <v>210</v>
      </c>
      <c r="D3133" t="s">
        <v>23</v>
      </c>
      <c r="E3133">
        <v>42</v>
      </c>
      <c r="F3133" t="s">
        <v>68</v>
      </c>
      <c r="G3133" t="s">
        <v>967</v>
      </c>
      <c r="H3133" s="2">
        <v>84056</v>
      </c>
      <c r="I3133" s="1" t="d">
        <v>2019-06-05</v>
      </c>
      <c r="J3133" t="s">
        <v>5611</v>
      </c>
      <c r="K3133" s="17" t="s">
        <v>42</v>
      </c>
      <c r="L3133">
        <v>4</v>
      </c>
    </row>
    <row r="3134" spans="1:12" x14ac:dyDescent="0.25">
      <c r="A3134" t="s">
        <v>6835</v>
      </c>
      <c r="B3134" t="s">
        <v>936</v>
      </c>
      <c r="C3134" t="s">
        <v>961</v>
      </c>
      <c r="D3134" t="s">
        <v>9527</v>
      </c>
      <c r="E3134">
        <v>22</v>
      </c>
      <c r="F3134" t="s">
        <v>406</v>
      </c>
      <c r="G3134" t="s">
        <v>69</v>
      </c>
      <c r="H3134" t="s">
        <v>6836</v>
      </c>
      <c r="I3134" s="1" t="d">
        <v>2023-02-05</v>
      </c>
      <c r="J3134" t="s">
        <v>1651</v>
      </c>
      <c r="K3134" s="17" t="s">
        <v>100</v>
      </c>
      <c r="L3134">
        <v>5</v>
      </c>
    </row>
    <row r="3135" spans="1:12" x14ac:dyDescent="0.25">
      <c r="A3135" t="s">
        <v>6837</v>
      </c>
      <c r="B3135" t="s">
        <v>1715</v>
      </c>
      <c r="C3135" t="s">
        <v>699</v>
      </c>
      <c r="D3135" t="s">
        <v>23</v>
      </c>
      <c r="E3135">
        <v>33</v>
      </c>
      <c r="F3135" t="s">
        <v>24</v>
      </c>
      <c r="G3135" t="s">
        <v>191</v>
      </c>
      <c r="H3135" t="s">
        <v>1465</v>
      </c>
      <c r="I3135" s="1" t="d">
        <v>2011-10-28</v>
      </c>
      <c r="J3135" t="s">
        <v>2259</v>
      </c>
      <c r="K3135" s="17" t="s">
        <v>100</v>
      </c>
      <c r="L3135">
        <v>4</v>
      </c>
    </row>
    <row r="3136" spans="1:12" x14ac:dyDescent="0.25">
      <c r="A3136" t="s">
        <v>6838</v>
      </c>
      <c r="B3136" t="s">
        <v>3470</v>
      </c>
      <c r="C3136" t="s">
        <v>516</v>
      </c>
      <c r="D3136" t="s">
        <v>46</v>
      </c>
      <c r="E3136">
        <v>54</v>
      </c>
      <c r="F3136" t="s">
        <v>216</v>
      </c>
      <c r="G3136" t="s">
        <v>458</v>
      </c>
      <c r="H3136" s="2">
        <v>61467</v>
      </c>
      <c r="I3136" s="1" t="d">
        <v>2013-07-09</v>
      </c>
      <c r="J3136" t="s">
        <v>424</v>
      </c>
      <c r="K3136" s="17" t="s">
        <v>27</v>
      </c>
      <c r="L3136">
        <v>4</v>
      </c>
    </row>
    <row r="3137" spans="1:12" x14ac:dyDescent="0.25">
      <c r="A3137" t="s">
        <v>6839</v>
      </c>
      <c r="B3137" t="s">
        <v>394</v>
      </c>
      <c r="C3137" t="s">
        <v>3998</v>
      </c>
      <c r="D3137" t="s">
        <v>46</v>
      </c>
      <c r="E3137">
        <v>45</v>
      </c>
      <c r="F3137" t="s">
        <v>666</v>
      </c>
      <c r="G3137" t="s">
        <v>526</v>
      </c>
      <c r="H3137" s="2">
        <v>46788</v>
      </c>
      <c r="I3137" s="1" t="d">
        <v>2018-01-05</v>
      </c>
      <c r="J3137" t="s">
        <v>6516</v>
      </c>
      <c r="K3137" s="17" t="s">
        <v>118</v>
      </c>
      <c r="L3137">
        <v>3</v>
      </c>
    </row>
    <row r="3138" spans="1:12" x14ac:dyDescent="0.25">
      <c r="A3138" t="s">
        <v>6840</v>
      </c>
      <c r="B3138" t="s">
        <v>162</v>
      </c>
      <c r="C3138" t="s">
        <v>1306</v>
      </c>
      <c r="D3138" t="s">
        <v>46</v>
      </c>
      <c r="E3138">
        <v>41</v>
      </c>
      <c r="F3138" t="s">
        <v>649</v>
      </c>
      <c r="G3138" t="s">
        <v>32</v>
      </c>
      <c r="H3138" t="s">
        <v>6841</v>
      </c>
      <c r="I3138" s="1" t="d">
        <v>2008-07-20</v>
      </c>
      <c r="J3138" t="s">
        <v>1483</v>
      </c>
      <c r="K3138" s="17" t="s">
        <v>50</v>
      </c>
      <c r="L3138">
        <v>4</v>
      </c>
    </row>
    <row r="3139" spans="1:12" x14ac:dyDescent="0.25">
      <c r="A3139" t="s">
        <v>6842</v>
      </c>
      <c r="B3139" t="s">
        <v>6843</v>
      </c>
      <c r="C3139" t="s">
        <v>381</v>
      </c>
      <c r="D3139" t="s">
        <v>9527</v>
      </c>
      <c r="E3139">
        <v>34</v>
      </c>
      <c r="F3139" t="s">
        <v>5223</v>
      </c>
      <c r="G3139" t="s">
        <v>1584</v>
      </c>
      <c r="H3139" s="2">
        <v>65114</v>
      </c>
      <c r="I3139" s="1" t="d">
        <v>2012-07-12</v>
      </c>
      <c r="J3139" t="s">
        <v>2718</v>
      </c>
      <c r="K3139" s="17" t="s">
        <v>100</v>
      </c>
      <c r="L3139">
        <v>2</v>
      </c>
    </row>
    <row r="3140" spans="1:12" x14ac:dyDescent="0.25">
      <c r="A3140" t="s">
        <v>6844</v>
      </c>
      <c r="B3140" t="s">
        <v>3937</v>
      </c>
      <c r="C3140" t="s">
        <v>898</v>
      </c>
      <c r="D3140" t="s">
        <v>9527</v>
      </c>
      <c r="E3140">
        <v>46</v>
      </c>
      <c r="G3140" t="s">
        <v>95</v>
      </c>
      <c r="H3140" t="s">
        <v>6845</v>
      </c>
      <c r="I3140" s="1" t="d">
        <v>2008-07-29</v>
      </c>
      <c r="J3140" t="s">
        <v>1941</v>
      </c>
      <c r="K3140" s="17" t="s">
        <v>58</v>
      </c>
      <c r="L3140">
        <v>3</v>
      </c>
    </row>
    <row r="3141" spans="1:12" x14ac:dyDescent="0.25">
      <c r="A3141" t="s">
        <v>6846</v>
      </c>
      <c r="B3141" t="s">
        <v>139</v>
      </c>
      <c r="C3141" t="s">
        <v>902</v>
      </c>
      <c r="D3141" t="s">
        <v>23</v>
      </c>
      <c r="E3141">
        <v>34</v>
      </c>
      <c r="F3141" t="s">
        <v>216</v>
      </c>
      <c r="G3141" t="s">
        <v>141</v>
      </c>
      <c r="H3141" t="s">
        <v>6847</v>
      </c>
      <c r="I3141" s="1" t="d">
        <v>2018-02-04</v>
      </c>
      <c r="J3141" t="s">
        <v>5212</v>
      </c>
      <c r="K3141" s="17" t="s">
        <v>34</v>
      </c>
      <c r="L3141">
        <v>4</v>
      </c>
    </row>
    <row r="3142" spans="1:12" x14ac:dyDescent="0.25">
      <c r="A3142" t="s">
        <v>6848</v>
      </c>
      <c r="B3142" t="s">
        <v>120</v>
      </c>
      <c r="C3142" t="s">
        <v>427</v>
      </c>
      <c r="D3142" t="s">
        <v>46</v>
      </c>
      <c r="E3142">
        <v>38</v>
      </c>
      <c r="F3142" t="s">
        <v>928</v>
      </c>
      <c r="G3142" t="s">
        <v>115</v>
      </c>
      <c r="I3142" s="1" t="d">
        <v>2019-07-15</v>
      </c>
      <c r="J3142" t="s">
        <v>4834</v>
      </c>
      <c r="K3142" s="17" t="s">
        <v>149</v>
      </c>
      <c r="L3142">
        <v>3</v>
      </c>
    </row>
    <row r="3143" spans="1:12" x14ac:dyDescent="0.25">
      <c r="A3143" t="s">
        <v>6396</v>
      </c>
      <c r="B3143" t="s">
        <v>507</v>
      </c>
      <c r="C3143" t="s">
        <v>14</v>
      </c>
      <c r="D3143" t="s">
        <v>46</v>
      </c>
      <c r="E3143">
        <v>42</v>
      </c>
      <c r="F3143" t="s">
        <v>146</v>
      </c>
      <c r="G3143" t="s">
        <v>82</v>
      </c>
      <c r="H3143" t="s">
        <v>6397</v>
      </c>
      <c r="I3143" s="1" t="d">
        <v>2008-07-13</v>
      </c>
      <c r="J3143" t="s">
        <v>6398</v>
      </c>
      <c r="K3143" s="17" t="s">
        <v>370</v>
      </c>
      <c r="L3143">
        <v>3</v>
      </c>
    </row>
    <row r="3144" spans="1:12" x14ac:dyDescent="0.25">
      <c r="A3144" t="s">
        <v>6849</v>
      </c>
      <c r="B3144" t="s">
        <v>29</v>
      </c>
      <c r="C3144" t="s">
        <v>416</v>
      </c>
      <c r="D3144" t="s">
        <v>46</v>
      </c>
      <c r="E3144">
        <v>26</v>
      </c>
      <c r="F3144" t="s">
        <v>373</v>
      </c>
      <c r="G3144" t="s">
        <v>191</v>
      </c>
      <c r="H3144" t="s">
        <v>6850</v>
      </c>
      <c r="I3144" s="1" t="d">
        <v>2019-03-05</v>
      </c>
      <c r="J3144" t="s">
        <v>4797</v>
      </c>
      <c r="K3144" s="17" t="s">
        <v>207</v>
      </c>
      <c r="L3144">
        <v>2</v>
      </c>
    </row>
    <row r="3145" spans="1:12" x14ac:dyDescent="0.25">
      <c r="A3145" t="s">
        <v>5390</v>
      </c>
      <c r="B3145" t="s">
        <v>36</v>
      </c>
      <c r="C3145" t="s">
        <v>512</v>
      </c>
      <c r="D3145" t="s">
        <v>9527</v>
      </c>
      <c r="E3145">
        <v>23</v>
      </c>
      <c r="F3145" t="s">
        <v>859</v>
      </c>
      <c r="G3145" t="s">
        <v>378</v>
      </c>
      <c r="H3145" t="s">
        <v>5391</v>
      </c>
      <c r="I3145" s="1" t="d">
        <v>2019-07-15</v>
      </c>
      <c r="J3145" t="s">
        <v>1299</v>
      </c>
      <c r="K3145" s="17" t="s">
        <v>50</v>
      </c>
      <c r="L3145">
        <v>4</v>
      </c>
    </row>
    <row r="3146" spans="1:12" x14ac:dyDescent="0.25">
      <c r="A3146" t="s">
        <v>6851</v>
      </c>
      <c r="B3146" t="s">
        <v>1479</v>
      </c>
      <c r="C3146" t="s">
        <v>710</v>
      </c>
      <c r="D3146" t="s">
        <v>9527</v>
      </c>
      <c r="E3146">
        <v>29</v>
      </c>
      <c r="F3146" t="s">
        <v>190</v>
      </c>
      <c r="G3146" t="s">
        <v>205</v>
      </c>
      <c r="I3146" s="1" t="d">
        <v>2015-07-07</v>
      </c>
      <c r="J3146" t="s">
        <v>5352</v>
      </c>
      <c r="K3146" s="17" t="s">
        <v>58</v>
      </c>
      <c r="L3146">
        <v>4</v>
      </c>
    </row>
    <row r="3147" spans="1:12" x14ac:dyDescent="0.25">
      <c r="A3147" t="s">
        <v>6852</v>
      </c>
      <c r="B3147" t="s">
        <v>37</v>
      </c>
      <c r="C3147" t="s">
        <v>67</v>
      </c>
      <c r="D3147" t="s">
        <v>46</v>
      </c>
      <c r="E3147">
        <v>49</v>
      </c>
      <c r="F3147" t="s">
        <v>230</v>
      </c>
      <c r="G3147" t="s">
        <v>82</v>
      </c>
      <c r="H3147" s="2">
        <v>60816</v>
      </c>
      <c r="I3147" s="1" t="d">
        <v>2007-12-08</v>
      </c>
      <c r="J3147" t="s">
        <v>6109</v>
      </c>
      <c r="K3147" s="17" t="s">
        <v>118</v>
      </c>
      <c r="L3147">
        <v>3</v>
      </c>
    </row>
    <row r="3148" spans="1:12" x14ac:dyDescent="0.25">
      <c r="A3148" t="s">
        <v>6853</v>
      </c>
      <c r="B3148" t="s">
        <v>648</v>
      </c>
      <c r="C3148" t="s">
        <v>4854</v>
      </c>
      <c r="D3148" t="s">
        <v>9527</v>
      </c>
      <c r="E3148">
        <v>58</v>
      </c>
      <c r="G3148" t="s">
        <v>500</v>
      </c>
      <c r="H3148" s="2">
        <v>86068</v>
      </c>
      <c r="I3148" s="1" t="d">
        <v>2018-04-22</v>
      </c>
      <c r="J3148" t="s">
        <v>1603</v>
      </c>
      <c r="K3148" s="17" t="s">
        <v>90</v>
      </c>
      <c r="L3148">
        <v>5</v>
      </c>
    </row>
    <row r="3149" spans="1:12" x14ac:dyDescent="0.25">
      <c r="A3149" t="s">
        <v>6854</v>
      </c>
      <c r="B3149" t="s">
        <v>120</v>
      </c>
      <c r="C3149" t="s">
        <v>318</v>
      </c>
      <c r="D3149" t="s">
        <v>23</v>
      </c>
      <c r="E3149">
        <v>42</v>
      </c>
      <c r="G3149" t="s">
        <v>526</v>
      </c>
      <c r="H3149">
        <v>76830</v>
      </c>
      <c r="I3149" s="1" t="d">
        <v>2016-04-15</v>
      </c>
      <c r="J3149" t="s">
        <v>4730</v>
      </c>
      <c r="K3149" s="17" t="s">
        <v>34</v>
      </c>
      <c r="L3149">
        <v>1</v>
      </c>
    </row>
    <row r="3150" spans="1:12" x14ac:dyDescent="0.25">
      <c r="A3150" t="s">
        <v>6855</v>
      </c>
      <c r="B3150" t="s">
        <v>709</v>
      </c>
      <c r="C3150" t="s">
        <v>555</v>
      </c>
      <c r="D3150" t="s">
        <v>23</v>
      </c>
      <c r="E3150">
        <v>54</v>
      </c>
      <c r="F3150" t="s">
        <v>216</v>
      </c>
      <c r="G3150" t="s">
        <v>378</v>
      </c>
      <c r="H3150" t="s">
        <v>6856</v>
      </c>
      <c r="I3150" s="1" t="d">
        <v>2013-05-22</v>
      </c>
      <c r="J3150" t="s">
        <v>3565</v>
      </c>
      <c r="K3150" s="17" t="s">
        <v>71</v>
      </c>
      <c r="L3150">
        <v>4</v>
      </c>
    </row>
    <row r="3151" spans="1:12" x14ac:dyDescent="0.25">
      <c r="A3151" t="s">
        <v>6857</v>
      </c>
      <c r="B3151" t="s">
        <v>6858</v>
      </c>
      <c r="C3151" t="s">
        <v>1964</v>
      </c>
      <c r="D3151" t="s">
        <v>9527</v>
      </c>
      <c r="E3151">
        <v>43</v>
      </c>
      <c r="F3151" t="s">
        <v>153</v>
      </c>
      <c r="G3151" t="s">
        <v>32</v>
      </c>
      <c r="I3151" s="1" t="d">
        <v>2023-06-02</v>
      </c>
      <c r="J3151" t="s">
        <v>3844</v>
      </c>
      <c r="K3151" s="17" t="s">
        <v>34</v>
      </c>
      <c r="L3151">
        <v>4</v>
      </c>
    </row>
    <row r="3152" spans="1:12" x14ac:dyDescent="0.25">
      <c r="A3152" t="s">
        <v>6859</v>
      </c>
      <c r="B3152" t="s">
        <v>267</v>
      </c>
      <c r="C3152" t="s">
        <v>2023</v>
      </c>
      <c r="D3152" t="s">
        <v>46</v>
      </c>
      <c r="E3152">
        <v>55</v>
      </c>
      <c r="F3152" t="s">
        <v>245</v>
      </c>
      <c r="G3152" t="s">
        <v>55</v>
      </c>
      <c r="I3152" s="1" t="d">
        <v>2017-07-12</v>
      </c>
      <c r="J3152" t="s">
        <v>1362</v>
      </c>
      <c r="K3152" s="17" t="s">
        <v>149</v>
      </c>
      <c r="L3152">
        <v>5</v>
      </c>
    </row>
    <row r="3153" spans="1:12" x14ac:dyDescent="0.25">
      <c r="A3153" t="s">
        <v>6860</v>
      </c>
      <c r="B3153" t="s">
        <v>648</v>
      </c>
      <c r="C3153" t="s">
        <v>395</v>
      </c>
      <c r="D3153" t="s">
        <v>46</v>
      </c>
      <c r="E3153">
        <v>56</v>
      </c>
      <c r="F3153" t="s">
        <v>253</v>
      </c>
      <c r="G3153" t="s">
        <v>357</v>
      </c>
      <c r="H3153" t="s">
        <v>6861</v>
      </c>
      <c r="I3153" s="1" t="d">
        <v>2005-09-07</v>
      </c>
      <c r="J3153" t="s">
        <v>5455</v>
      </c>
      <c r="K3153" s="17" t="s">
        <v>71</v>
      </c>
      <c r="L3153">
        <v>1</v>
      </c>
    </row>
    <row r="3154" spans="1:12" x14ac:dyDescent="0.25">
      <c r="A3154" t="s">
        <v>6862</v>
      </c>
      <c r="B3154" t="s">
        <v>79</v>
      </c>
      <c r="C3154" t="s">
        <v>5268</v>
      </c>
      <c r="D3154" t="s">
        <v>9527</v>
      </c>
      <c r="E3154">
        <v>32</v>
      </c>
      <c r="G3154" t="s">
        <v>170</v>
      </c>
      <c r="H3154" s="2">
        <v>43867</v>
      </c>
      <c r="I3154" s="1" t="d">
        <v>2023-08-24</v>
      </c>
      <c r="J3154" t="s">
        <v>330</v>
      </c>
      <c r="K3154" s="17" t="s">
        <v>118</v>
      </c>
      <c r="L3154">
        <v>5</v>
      </c>
    </row>
    <row r="3155" spans="1:12" x14ac:dyDescent="0.25">
      <c r="A3155" t="s">
        <v>6863</v>
      </c>
      <c r="B3155" t="s">
        <v>410</v>
      </c>
      <c r="C3155" t="s">
        <v>204</v>
      </c>
      <c r="D3155" t="s">
        <v>46</v>
      </c>
      <c r="E3155">
        <v>43</v>
      </c>
      <c r="F3155" t="s">
        <v>649</v>
      </c>
      <c r="G3155" t="s">
        <v>69</v>
      </c>
      <c r="H3155" t="s">
        <v>6864</v>
      </c>
      <c r="I3155" s="1" t="d">
        <v>2024-10-17</v>
      </c>
      <c r="J3155" t="s">
        <v>2136</v>
      </c>
      <c r="K3155" s="17" t="s">
        <v>90</v>
      </c>
      <c r="L3155">
        <v>3</v>
      </c>
    </row>
    <row r="3156" spans="1:12" x14ac:dyDescent="0.25">
      <c r="A3156" t="s">
        <v>6865</v>
      </c>
      <c r="B3156" t="s">
        <v>1316</v>
      </c>
      <c r="C3156" t="s">
        <v>295</v>
      </c>
      <c r="D3156" t="s">
        <v>9527</v>
      </c>
      <c r="E3156">
        <v>50</v>
      </c>
      <c r="F3156" t="s">
        <v>245</v>
      </c>
      <c r="G3156" t="s">
        <v>69</v>
      </c>
      <c r="H3156" s="2">
        <v>63564</v>
      </c>
      <c r="I3156" s="1" t="d">
        <v>2018-02-19</v>
      </c>
      <c r="J3156" t="s">
        <v>4255</v>
      </c>
      <c r="K3156" s="17" t="s">
        <v>58</v>
      </c>
      <c r="L3156">
        <v>4</v>
      </c>
    </row>
    <row r="3157" spans="1:12" x14ac:dyDescent="0.25">
      <c r="A3157" t="s">
        <v>6866</v>
      </c>
      <c r="B3157" t="s">
        <v>1350</v>
      </c>
      <c r="C3157" t="s">
        <v>361</v>
      </c>
      <c r="D3157" t="s">
        <v>9527</v>
      </c>
      <c r="E3157">
        <v>26</v>
      </c>
      <c r="G3157" t="s">
        <v>39</v>
      </c>
      <c r="H3157" t="s">
        <v>6867</v>
      </c>
      <c r="I3157" s="1" t="d">
        <v>2005-04-18</v>
      </c>
      <c r="J3157" t="s">
        <v>1314</v>
      </c>
      <c r="K3157" s="17" t="s">
        <v>50</v>
      </c>
      <c r="L3157">
        <v>3</v>
      </c>
    </row>
    <row r="3158" spans="1:12" x14ac:dyDescent="0.25">
      <c r="A3158" t="s">
        <v>6868</v>
      </c>
      <c r="B3158" t="s">
        <v>130</v>
      </c>
      <c r="C3158" t="s">
        <v>140</v>
      </c>
      <c r="D3158" t="s">
        <v>9527</v>
      </c>
      <c r="E3158">
        <v>48</v>
      </c>
      <c r="F3158" t="s">
        <v>31</v>
      </c>
      <c r="G3158" t="s">
        <v>55</v>
      </c>
      <c r="H3158" t="s">
        <v>6869</v>
      </c>
      <c r="I3158" s="1" t="d">
        <v>2011-12-20</v>
      </c>
      <c r="J3158" t="s">
        <v>1420</v>
      </c>
      <c r="K3158" s="17" t="s">
        <v>370</v>
      </c>
      <c r="L3158">
        <v>3</v>
      </c>
    </row>
    <row r="3159" spans="1:12" x14ac:dyDescent="0.25">
      <c r="A3159" t="s">
        <v>6870</v>
      </c>
      <c r="B3159" t="s">
        <v>566</v>
      </c>
      <c r="C3159" t="s">
        <v>6871</v>
      </c>
      <c r="D3159" t="s">
        <v>9527</v>
      </c>
      <c r="E3159">
        <v>47</v>
      </c>
      <c r="G3159" t="s">
        <v>82</v>
      </c>
      <c r="H3159" s="2">
        <v>87727</v>
      </c>
      <c r="I3159" s="1" t="d">
        <v>2016-11-28</v>
      </c>
      <c r="J3159" t="s">
        <v>5054</v>
      </c>
      <c r="K3159" s="17" t="s">
        <v>118</v>
      </c>
      <c r="L3159">
        <v>3</v>
      </c>
    </row>
    <row r="3160" spans="1:12" x14ac:dyDescent="0.25">
      <c r="A3160" t="s">
        <v>4340</v>
      </c>
      <c r="B3160" t="s">
        <v>2697</v>
      </c>
      <c r="C3160" t="s">
        <v>1320</v>
      </c>
      <c r="D3160" t="s">
        <v>23</v>
      </c>
      <c r="E3160">
        <v>60</v>
      </c>
      <c r="F3160" t="s">
        <v>114</v>
      </c>
      <c r="G3160" t="s">
        <v>48</v>
      </c>
      <c r="H3160" t="s">
        <v>6872</v>
      </c>
      <c r="I3160" s="1" t="d">
        <v>2006-11-16</v>
      </c>
      <c r="J3160" t="s">
        <v>592</v>
      </c>
      <c r="K3160" s="17" t="s">
        <v>184</v>
      </c>
      <c r="L3160">
        <v>4</v>
      </c>
    </row>
    <row r="3161" spans="1:12" x14ac:dyDescent="0.25">
      <c r="A3161" t="s">
        <v>6873</v>
      </c>
      <c r="B3161" t="s">
        <v>571</v>
      </c>
      <c r="C3161" t="s">
        <v>2300</v>
      </c>
      <c r="D3161" t="s">
        <v>23</v>
      </c>
      <c r="E3161">
        <v>26</v>
      </c>
      <c r="F3161" t="s">
        <v>94</v>
      </c>
      <c r="G3161" t="s">
        <v>115</v>
      </c>
      <c r="H3161" s="2">
        <v>76851</v>
      </c>
      <c r="I3161" s="1" t="d">
        <v>2023-05-28</v>
      </c>
      <c r="J3161" t="s">
        <v>1673</v>
      </c>
      <c r="K3161" s="17" t="s">
        <v>27</v>
      </c>
      <c r="L3161">
        <v>4</v>
      </c>
    </row>
    <row r="3162" spans="1:12" x14ac:dyDescent="0.25">
      <c r="A3162" t="s">
        <v>6874</v>
      </c>
      <c r="B3162" t="s">
        <v>36</v>
      </c>
      <c r="C3162" t="s">
        <v>237</v>
      </c>
      <c r="D3162" t="s">
        <v>23</v>
      </c>
      <c r="E3162">
        <v>49</v>
      </c>
      <c r="G3162" t="s">
        <v>351</v>
      </c>
      <c r="H3162" s="2">
        <v>52307</v>
      </c>
      <c r="I3162" s="1" t="d">
        <v>2016-10-09</v>
      </c>
      <c r="J3162" t="s">
        <v>6875</v>
      </c>
      <c r="K3162" s="17" t="s">
        <v>149</v>
      </c>
      <c r="L3162">
        <v>4</v>
      </c>
    </row>
    <row r="3163" spans="1:12" x14ac:dyDescent="0.25">
      <c r="A3163" t="s">
        <v>6876</v>
      </c>
      <c r="B3163" t="s">
        <v>13</v>
      </c>
      <c r="C3163" t="s">
        <v>1280</v>
      </c>
      <c r="D3163" t="s">
        <v>23</v>
      </c>
      <c r="E3163">
        <v>30</v>
      </c>
      <c r="F3163" t="s">
        <v>356</v>
      </c>
      <c r="G3163" t="s">
        <v>212</v>
      </c>
      <c r="H3163">
        <v>126735</v>
      </c>
      <c r="I3163" s="1" t="d">
        <v>2011-12-08</v>
      </c>
      <c r="J3163" t="s">
        <v>853</v>
      </c>
      <c r="K3163" s="17" t="s">
        <v>118</v>
      </c>
      <c r="L3163">
        <v>5</v>
      </c>
    </row>
    <row r="3164" spans="1:12" x14ac:dyDescent="0.25">
      <c r="A3164" t="s">
        <v>6877</v>
      </c>
      <c r="B3164" t="s">
        <v>1086</v>
      </c>
      <c r="C3164" t="s">
        <v>1356</v>
      </c>
      <c r="D3164" t="s">
        <v>46</v>
      </c>
      <c r="E3164">
        <v>36</v>
      </c>
      <c r="F3164" t="s">
        <v>984</v>
      </c>
      <c r="G3164" t="s">
        <v>95</v>
      </c>
      <c r="H3164" s="2">
        <v>54345</v>
      </c>
      <c r="I3164" s="1" t="d">
        <v>2021-08-16</v>
      </c>
      <c r="J3164" t="s">
        <v>4255</v>
      </c>
      <c r="K3164" s="17" t="s">
        <v>100</v>
      </c>
      <c r="L3164">
        <v>4</v>
      </c>
    </row>
    <row r="3165" spans="1:12" x14ac:dyDescent="0.25">
      <c r="A3165" t="s">
        <v>6878</v>
      </c>
      <c r="B3165" t="s">
        <v>112</v>
      </c>
      <c r="C3165" t="s">
        <v>2371</v>
      </c>
      <c r="D3165" t="s">
        <v>23</v>
      </c>
      <c r="E3165">
        <v>38</v>
      </c>
      <c r="G3165" t="s">
        <v>182</v>
      </c>
      <c r="H3165" s="2">
        <v>129630</v>
      </c>
      <c r="I3165" s="1" t="d">
        <v>2012-10-13</v>
      </c>
      <c r="J3165" t="s">
        <v>3365</v>
      </c>
      <c r="K3165" s="17" t="s">
        <v>100</v>
      </c>
      <c r="L3165">
        <v>1</v>
      </c>
    </row>
    <row r="3166" spans="1:12" x14ac:dyDescent="0.25">
      <c r="A3166" t="s">
        <v>6879</v>
      </c>
      <c r="B3166" t="s">
        <v>410</v>
      </c>
      <c r="C3166" t="s">
        <v>6880</v>
      </c>
      <c r="D3166" t="s">
        <v>9527</v>
      </c>
      <c r="E3166">
        <v>33</v>
      </c>
      <c r="F3166" t="s">
        <v>296</v>
      </c>
      <c r="G3166" t="s">
        <v>996</v>
      </c>
      <c r="H3166" t="s">
        <v>6881</v>
      </c>
      <c r="I3166" s="1" t="d">
        <v>2010-12-31</v>
      </c>
      <c r="J3166" t="s">
        <v>4052</v>
      </c>
      <c r="K3166" s="17" t="s">
        <v>149</v>
      </c>
      <c r="L3166">
        <v>3</v>
      </c>
    </row>
    <row r="3167" spans="1:12" x14ac:dyDescent="0.25">
      <c r="A3167" t="s">
        <v>6882</v>
      </c>
      <c r="B3167" t="s">
        <v>1301</v>
      </c>
      <c r="C3167" t="s">
        <v>988</v>
      </c>
      <c r="D3167" t="s">
        <v>46</v>
      </c>
      <c r="E3167">
        <v>41</v>
      </c>
      <c r="F3167" t="s">
        <v>1385</v>
      </c>
      <c r="G3167" t="s">
        <v>48</v>
      </c>
      <c r="H3167" t="s">
        <v>6883</v>
      </c>
      <c r="I3167" s="1" t="d">
        <v>2023-10-01</v>
      </c>
      <c r="J3167" t="s">
        <v>5365</v>
      </c>
      <c r="K3167" s="17" t="s">
        <v>42</v>
      </c>
      <c r="L3167">
        <v>3</v>
      </c>
    </row>
    <row r="3168" spans="1:12" x14ac:dyDescent="0.25">
      <c r="A3168" t="s">
        <v>397</v>
      </c>
      <c r="B3168" t="s">
        <v>323</v>
      </c>
      <c r="C3168" t="s">
        <v>398</v>
      </c>
      <c r="D3168" t="s">
        <v>46</v>
      </c>
      <c r="E3168">
        <v>34</v>
      </c>
      <c r="F3168" t="s">
        <v>399</v>
      </c>
      <c r="G3168" t="s">
        <v>177</v>
      </c>
      <c r="H3168" s="2">
        <v>46456</v>
      </c>
      <c r="I3168" s="1" t="d">
        <v>2009-07-13</v>
      </c>
      <c r="J3168" t="s">
        <v>400</v>
      </c>
      <c r="K3168" s="17" t="s">
        <v>50</v>
      </c>
      <c r="L3168">
        <v>4</v>
      </c>
    </row>
    <row r="3169" spans="1:12" x14ac:dyDescent="0.25">
      <c r="A3169" t="s">
        <v>6884</v>
      </c>
      <c r="B3169" t="s">
        <v>199</v>
      </c>
      <c r="C3169" t="s">
        <v>1258</v>
      </c>
      <c r="D3169" t="s">
        <v>9527</v>
      </c>
      <c r="E3169">
        <v>31</v>
      </c>
      <c r="G3169" t="s">
        <v>170</v>
      </c>
      <c r="H3169" t="s">
        <v>5812</v>
      </c>
      <c r="I3169" s="1" t="d">
        <v>2008-06-21</v>
      </c>
      <c r="J3169" t="s">
        <v>2914</v>
      </c>
      <c r="K3169" s="17" t="s">
        <v>90</v>
      </c>
      <c r="L3169">
        <v>3</v>
      </c>
    </row>
    <row r="3170" spans="1:12" x14ac:dyDescent="0.25">
      <c r="A3170" t="s">
        <v>6885</v>
      </c>
      <c r="B3170" t="s">
        <v>571</v>
      </c>
      <c r="C3170" t="s">
        <v>225</v>
      </c>
      <c r="D3170" t="s">
        <v>46</v>
      </c>
      <c r="E3170">
        <v>34</v>
      </c>
      <c r="F3170" t="s">
        <v>54</v>
      </c>
      <c r="G3170" t="s">
        <v>82</v>
      </c>
      <c r="H3170">
        <v>55575</v>
      </c>
      <c r="I3170" s="1" t="d">
        <v>2015-03-06</v>
      </c>
      <c r="J3170" t="s">
        <v>6886</v>
      </c>
      <c r="K3170" s="17" t="s">
        <v>370</v>
      </c>
      <c r="L3170">
        <v>4</v>
      </c>
    </row>
    <row r="3171" spans="1:12" x14ac:dyDescent="0.25">
      <c r="A3171" t="s">
        <v>6887</v>
      </c>
      <c r="B3171" t="s">
        <v>1257</v>
      </c>
      <c r="C3171" t="s">
        <v>291</v>
      </c>
      <c r="D3171" t="s">
        <v>9527</v>
      </c>
      <c r="E3171">
        <v>37</v>
      </c>
      <c r="F3171" t="s">
        <v>81</v>
      </c>
      <c r="G3171" t="s">
        <v>88</v>
      </c>
      <c r="H3171" t="s">
        <v>6888</v>
      </c>
      <c r="I3171" s="1" t="d">
        <v>2024-10-01</v>
      </c>
      <c r="J3171" t="s">
        <v>2476</v>
      </c>
      <c r="K3171" s="17" t="s">
        <v>370</v>
      </c>
      <c r="L3171">
        <v>5</v>
      </c>
    </row>
    <row r="3172" spans="1:12" x14ac:dyDescent="0.25">
      <c r="A3172" t="s">
        <v>6889</v>
      </c>
      <c r="B3172" t="s">
        <v>456</v>
      </c>
      <c r="C3172" t="s">
        <v>440</v>
      </c>
      <c r="D3172" t="s">
        <v>46</v>
      </c>
      <c r="E3172">
        <v>35</v>
      </c>
      <c r="F3172" t="s">
        <v>319</v>
      </c>
      <c r="G3172" t="s">
        <v>182</v>
      </c>
      <c r="H3172" t="s">
        <v>6890</v>
      </c>
      <c r="I3172" s="1" t="d">
        <v>2019-05-25</v>
      </c>
      <c r="J3172" t="s">
        <v>2213</v>
      </c>
      <c r="K3172" s="17" t="s">
        <v>370</v>
      </c>
      <c r="L3172">
        <v>3</v>
      </c>
    </row>
    <row r="3173" spans="1:12" x14ac:dyDescent="0.25">
      <c r="A3173" t="s">
        <v>6891</v>
      </c>
      <c r="B3173" t="s">
        <v>1512</v>
      </c>
      <c r="C3173" t="s">
        <v>2200</v>
      </c>
      <c r="D3173" t="s">
        <v>9527</v>
      </c>
      <c r="E3173">
        <v>21</v>
      </c>
      <c r="F3173" t="s">
        <v>559</v>
      </c>
      <c r="G3173" t="s">
        <v>48</v>
      </c>
      <c r="H3173" t="s">
        <v>6892</v>
      </c>
      <c r="I3173" s="1" t="d">
        <v>2012-03-30</v>
      </c>
      <c r="J3173" t="s">
        <v>5094</v>
      </c>
      <c r="K3173" s="17" t="s">
        <v>27</v>
      </c>
      <c r="L3173">
        <v>3</v>
      </c>
    </row>
    <row r="3174" spans="1:12" x14ac:dyDescent="0.25">
      <c r="A3174" t="s">
        <v>6893</v>
      </c>
      <c r="B3174" t="s">
        <v>98</v>
      </c>
      <c r="C3174" t="s">
        <v>715</v>
      </c>
      <c r="D3174" t="s">
        <v>23</v>
      </c>
      <c r="E3174">
        <v>22</v>
      </c>
      <c r="G3174" t="s">
        <v>205</v>
      </c>
      <c r="H3174">
        <v>83863</v>
      </c>
      <c r="I3174" s="1" t="d">
        <v>2018-04-21</v>
      </c>
      <c r="J3174" t="s">
        <v>1114</v>
      </c>
      <c r="K3174" s="17" t="s">
        <v>34</v>
      </c>
      <c r="L3174">
        <v>3</v>
      </c>
    </row>
    <row r="3175" spans="1:12" x14ac:dyDescent="0.25">
      <c r="A3175" t="s">
        <v>6894</v>
      </c>
      <c r="B3175" t="s">
        <v>862</v>
      </c>
      <c r="C3175" t="s">
        <v>295</v>
      </c>
      <c r="D3175" t="s">
        <v>46</v>
      </c>
      <c r="E3175">
        <v>44</v>
      </c>
      <c r="F3175" t="s">
        <v>495</v>
      </c>
      <c r="G3175" t="s">
        <v>88</v>
      </c>
      <c r="H3175">
        <v>50777</v>
      </c>
      <c r="I3175" s="1" t="d">
        <v>2008-08-23</v>
      </c>
      <c r="J3175" t="s">
        <v>2342</v>
      </c>
      <c r="K3175" s="17" t="s">
        <v>90</v>
      </c>
      <c r="L3175">
        <v>3</v>
      </c>
    </row>
    <row r="3176" spans="1:12" x14ac:dyDescent="0.25">
      <c r="A3176" t="s">
        <v>6895</v>
      </c>
      <c r="B3176" t="s">
        <v>1154</v>
      </c>
      <c r="C3176" t="s">
        <v>74</v>
      </c>
      <c r="D3176" t="s">
        <v>9527</v>
      </c>
      <c r="E3176">
        <v>45</v>
      </c>
      <c r="F3176" t="s">
        <v>146</v>
      </c>
      <c r="G3176" t="s">
        <v>55</v>
      </c>
      <c r="H3176">
        <v>95074</v>
      </c>
      <c r="I3176" s="1" t="d">
        <v>2022-08-13</v>
      </c>
      <c r="J3176" t="s">
        <v>4823</v>
      </c>
      <c r="K3176" s="17" t="s">
        <v>58</v>
      </c>
      <c r="L3176">
        <v>5</v>
      </c>
    </row>
    <row r="3177" spans="1:12" x14ac:dyDescent="0.25">
      <c r="A3177" t="s">
        <v>6896</v>
      </c>
      <c r="B3177" t="s">
        <v>594</v>
      </c>
      <c r="C3177" t="s">
        <v>1248</v>
      </c>
      <c r="D3177" t="s">
        <v>9527</v>
      </c>
      <c r="E3177">
        <v>38</v>
      </c>
      <c r="F3177" t="s">
        <v>196</v>
      </c>
      <c r="G3177" t="s">
        <v>967</v>
      </c>
      <c r="H3177" s="2">
        <v>37749</v>
      </c>
      <c r="I3177" s="1" t="d">
        <v>2020-04-12</v>
      </c>
      <c r="J3177" t="s">
        <v>4241</v>
      </c>
      <c r="K3177" s="17" t="s">
        <v>370</v>
      </c>
      <c r="L3177">
        <v>3</v>
      </c>
    </row>
    <row r="3178" spans="1:12" x14ac:dyDescent="0.25">
      <c r="A3178" t="s">
        <v>6897</v>
      </c>
      <c r="B3178" t="s">
        <v>571</v>
      </c>
      <c r="C3178" t="s">
        <v>2023</v>
      </c>
      <c r="D3178" t="s">
        <v>23</v>
      </c>
      <c r="E3178">
        <v>22</v>
      </c>
      <c r="F3178" t="s">
        <v>216</v>
      </c>
      <c r="G3178" t="s">
        <v>212</v>
      </c>
      <c r="H3178" t="s">
        <v>6898</v>
      </c>
      <c r="I3178" s="1" t="d">
        <v>2010-07-04</v>
      </c>
      <c r="J3178" t="s">
        <v>2849</v>
      </c>
      <c r="K3178" s="17" t="s">
        <v>27</v>
      </c>
      <c r="L3178">
        <v>4</v>
      </c>
    </row>
    <row r="3179" spans="1:12" x14ac:dyDescent="0.25">
      <c r="A3179" t="s">
        <v>5577</v>
      </c>
      <c r="B3179" t="s">
        <v>571</v>
      </c>
      <c r="C3179" t="s">
        <v>37</v>
      </c>
      <c r="D3179" t="s">
        <v>23</v>
      </c>
      <c r="E3179">
        <v>49</v>
      </c>
      <c r="F3179" t="s">
        <v>411</v>
      </c>
      <c r="G3179" t="s">
        <v>1277</v>
      </c>
      <c r="H3179" t="s">
        <v>5578</v>
      </c>
      <c r="I3179" s="1" t="d">
        <v>2005-02-22</v>
      </c>
      <c r="J3179" t="s">
        <v>802</v>
      </c>
      <c r="K3179" s="17" t="s">
        <v>207</v>
      </c>
      <c r="L3179">
        <v>1</v>
      </c>
    </row>
    <row r="3180" spans="1:12" x14ac:dyDescent="0.25">
      <c r="A3180" t="s">
        <v>6683</v>
      </c>
      <c r="B3180" t="s">
        <v>404</v>
      </c>
      <c r="C3180" t="s">
        <v>332</v>
      </c>
      <c r="D3180" t="s">
        <v>23</v>
      </c>
      <c r="E3180">
        <v>44</v>
      </c>
      <c r="F3180" t="s">
        <v>146</v>
      </c>
      <c r="G3180" t="s">
        <v>3197</v>
      </c>
      <c r="I3180" s="1" t="d">
        <v>2005-03-02</v>
      </c>
      <c r="J3180" t="s">
        <v>824</v>
      </c>
      <c r="K3180" s="17" t="s">
        <v>34</v>
      </c>
      <c r="L3180">
        <v>3</v>
      </c>
    </row>
    <row r="3181" spans="1:12" x14ac:dyDescent="0.25">
      <c r="A3181" t="s">
        <v>6899</v>
      </c>
      <c r="B3181" t="s">
        <v>3587</v>
      </c>
      <c r="C3181" t="s">
        <v>739</v>
      </c>
      <c r="D3181" t="s">
        <v>23</v>
      </c>
      <c r="E3181">
        <v>52</v>
      </c>
      <c r="G3181" t="s">
        <v>357</v>
      </c>
      <c r="H3181" t="s">
        <v>6900</v>
      </c>
      <c r="I3181" s="1" t="d">
        <v>2015-11-12</v>
      </c>
      <c r="J3181" t="s">
        <v>6901</v>
      </c>
      <c r="K3181" s="17" t="s">
        <v>207</v>
      </c>
      <c r="L3181">
        <v>4</v>
      </c>
    </row>
    <row r="3182" spans="1:12" x14ac:dyDescent="0.25">
      <c r="A3182" t="s">
        <v>6902</v>
      </c>
      <c r="B3182" t="s">
        <v>931</v>
      </c>
      <c r="C3182" t="s">
        <v>181</v>
      </c>
      <c r="D3182" t="s">
        <v>23</v>
      </c>
      <c r="E3182">
        <v>25</v>
      </c>
      <c r="F3182" t="s">
        <v>559</v>
      </c>
      <c r="G3182" t="s">
        <v>191</v>
      </c>
      <c r="I3182" s="1" t="d">
        <v>2019-03-20</v>
      </c>
      <c r="J3182" t="s">
        <v>183</v>
      </c>
      <c r="K3182" s="17" t="s">
        <v>149</v>
      </c>
      <c r="L3182">
        <v>3</v>
      </c>
    </row>
    <row r="3183" spans="1:12" x14ac:dyDescent="0.25">
      <c r="A3183" t="s">
        <v>6903</v>
      </c>
      <c r="B3183" t="s">
        <v>394</v>
      </c>
      <c r="C3183" t="s">
        <v>3173</v>
      </c>
      <c r="D3183" t="s">
        <v>23</v>
      </c>
      <c r="E3183">
        <v>22</v>
      </c>
      <c r="F3183" t="s">
        <v>787</v>
      </c>
      <c r="G3183" t="s">
        <v>177</v>
      </c>
      <c r="H3183" t="s">
        <v>6904</v>
      </c>
      <c r="I3183" s="1" t="d">
        <v>2015-05-06</v>
      </c>
      <c r="J3183" t="s">
        <v>3180</v>
      </c>
      <c r="K3183" s="17" t="s">
        <v>27</v>
      </c>
      <c r="L3183">
        <v>4</v>
      </c>
    </row>
    <row r="3184" spans="1:12" x14ac:dyDescent="0.25">
      <c r="A3184" t="s">
        <v>6905</v>
      </c>
      <c r="B3184" t="s">
        <v>4369</v>
      </c>
      <c r="C3184" t="s">
        <v>584</v>
      </c>
      <c r="D3184" t="s">
        <v>23</v>
      </c>
      <c r="E3184">
        <v>41</v>
      </c>
      <c r="F3184" t="s">
        <v>1107</v>
      </c>
      <c r="G3184" t="s">
        <v>115</v>
      </c>
      <c r="I3184" s="1" t="d">
        <v>2013-07-10</v>
      </c>
      <c r="J3184" t="s">
        <v>1019</v>
      </c>
      <c r="K3184" s="17" t="s">
        <v>58</v>
      </c>
      <c r="L3184">
        <v>5</v>
      </c>
    </row>
    <row r="3185" spans="1:12" x14ac:dyDescent="0.25">
      <c r="A3185" t="s">
        <v>6906</v>
      </c>
      <c r="B3185" t="s">
        <v>482</v>
      </c>
      <c r="C3185" t="s">
        <v>36</v>
      </c>
      <c r="D3185" t="s">
        <v>46</v>
      </c>
      <c r="E3185">
        <v>26</v>
      </c>
      <c r="F3185" t="s">
        <v>126</v>
      </c>
      <c r="G3185" t="s">
        <v>842</v>
      </c>
      <c r="H3185" t="s">
        <v>6907</v>
      </c>
      <c r="I3185" s="1" t="d">
        <v>2010-03-08</v>
      </c>
      <c r="J3185" t="s">
        <v>3897</v>
      </c>
      <c r="K3185" s="17" t="s">
        <v>100</v>
      </c>
      <c r="L3185">
        <v>3</v>
      </c>
    </row>
    <row r="3186" spans="1:12" x14ac:dyDescent="0.25">
      <c r="A3186" t="s">
        <v>6908</v>
      </c>
      <c r="B3186" t="s">
        <v>841</v>
      </c>
      <c r="C3186" t="s">
        <v>145</v>
      </c>
      <c r="D3186" t="s">
        <v>46</v>
      </c>
      <c r="E3186">
        <v>51</v>
      </c>
      <c r="F3186" t="s">
        <v>559</v>
      </c>
      <c r="G3186" t="s">
        <v>69</v>
      </c>
      <c r="H3186">
        <v>126849</v>
      </c>
      <c r="I3186" s="1" t="d">
        <v>2007-01-15</v>
      </c>
      <c r="J3186" t="s">
        <v>316</v>
      </c>
      <c r="K3186" s="17" t="s">
        <v>184</v>
      </c>
      <c r="L3186">
        <v>3</v>
      </c>
    </row>
    <row r="3187" spans="1:12" x14ac:dyDescent="0.25">
      <c r="A3187" t="s">
        <v>6909</v>
      </c>
      <c r="B3187" t="s">
        <v>112</v>
      </c>
      <c r="C3187" t="s">
        <v>552</v>
      </c>
      <c r="D3187" t="s">
        <v>23</v>
      </c>
      <c r="E3187">
        <v>21</v>
      </c>
      <c r="F3187" t="s">
        <v>1116</v>
      </c>
      <c r="G3187" t="s">
        <v>191</v>
      </c>
      <c r="H3187" t="s">
        <v>6910</v>
      </c>
      <c r="J3187" t="s">
        <v>2776</v>
      </c>
      <c r="K3187" s="17" t="s">
        <v>42</v>
      </c>
      <c r="L3187">
        <v>4</v>
      </c>
    </row>
    <row r="3188" spans="1:12" x14ac:dyDescent="0.25">
      <c r="A3188" t="s">
        <v>6911</v>
      </c>
      <c r="B3188" t="s">
        <v>315</v>
      </c>
      <c r="C3188" t="s">
        <v>67</v>
      </c>
      <c r="D3188" t="s">
        <v>9527</v>
      </c>
      <c r="E3188">
        <v>21</v>
      </c>
      <c r="F3188" t="s">
        <v>104</v>
      </c>
      <c r="G3188" t="s">
        <v>55</v>
      </c>
      <c r="I3188" s="1" t="d">
        <v>2013-09-18</v>
      </c>
      <c r="J3188" t="s">
        <v>1327</v>
      </c>
      <c r="K3188" s="17" t="s">
        <v>207</v>
      </c>
      <c r="L3188">
        <v>2</v>
      </c>
    </row>
    <row r="3189" spans="1:12" x14ac:dyDescent="0.25">
      <c r="A3189" t="s">
        <v>6912</v>
      </c>
      <c r="B3189" t="s">
        <v>709</v>
      </c>
      <c r="C3189" t="s">
        <v>306</v>
      </c>
      <c r="D3189" t="s">
        <v>23</v>
      </c>
      <c r="E3189">
        <v>37</v>
      </c>
      <c r="F3189" t="s">
        <v>373</v>
      </c>
      <c r="G3189" t="s">
        <v>141</v>
      </c>
      <c r="I3189" s="1" t="d">
        <v>2006-03-10</v>
      </c>
      <c r="J3189" t="s">
        <v>1968</v>
      </c>
      <c r="K3189" s="17" t="s">
        <v>42</v>
      </c>
      <c r="L3189">
        <v>4</v>
      </c>
    </row>
    <row r="3190" spans="1:12" x14ac:dyDescent="0.25">
      <c r="A3190" t="s">
        <v>6913</v>
      </c>
      <c r="B3190" t="s">
        <v>130</v>
      </c>
      <c r="C3190" t="s">
        <v>395</v>
      </c>
      <c r="D3190" t="s">
        <v>23</v>
      </c>
      <c r="E3190">
        <v>27</v>
      </c>
      <c r="F3190" t="s">
        <v>5826</v>
      </c>
      <c r="G3190" t="s">
        <v>328</v>
      </c>
      <c r="H3190" t="s">
        <v>6914</v>
      </c>
      <c r="I3190" s="1" t="d">
        <v>2019-05-18</v>
      </c>
      <c r="J3190" t="s">
        <v>2815</v>
      </c>
      <c r="K3190" s="17" t="s">
        <v>370</v>
      </c>
      <c r="L3190">
        <v>4</v>
      </c>
    </row>
    <row r="3191" spans="1:12" x14ac:dyDescent="0.25">
      <c r="A3191" t="s">
        <v>6915</v>
      </c>
      <c r="B3191" t="s">
        <v>5538</v>
      </c>
      <c r="C3191" t="s">
        <v>758</v>
      </c>
      <c r="D3191" t="s">
        <v>9527</v>
      </c>
      <c r="E3191">
        <v>26</v>
      </c>
      <c r="F3191" t="s">
        <v>589</v>
      </c>
      <c r="G3191" t="s">
        <v>177</v>
      </c>
      <c r="H3191" t="s">
        <v>6916</v>
      </c>
      <c r="I3191" s="1" t="d">
        <v>2011-08-14</v>
      </c>
      <c r="J3191" t="s">
        <v>1913</v>
      </c>
      <c r="K3191" s="17" t="s">
        <v>370</v>
      </c>
      <c r="L3191">
        <v>4</v>
      </c>
    </row>
    <row r="3192" spans="1:12" x14ac:dyDescent="0.25">
      <c r="A3192" t="s">
        <v>6917</v>
      </c>
      <c r="B3192" t="s">
        <v>3504</v>
      </c>
      <c r="C3192" t="s">
        <v>332</v>
      </c>
      <c r="D3192" t="s">
        <v>23</v>
      </c>
      <c r="E3192">
        <v>21</v>
      </c>
      <c r="F3192" t="s">
        <v>576</v>
      </c>
      <c r="G3192" t="s">
        <v>239</v>
      </c>
      <c r="H3192" t="s">
        <v>6918</v>
      </c>
      <c r="I3192" s="1" t="d">
        <v>2014-07-31</v>
      </c>
      <c r="J3192" t="s">
        <v>5510</v>
      </c>
      <c r="K3192" s="17" t="s">
        <v>27</v>
      </c>
      <c r="L3192">
        <v>3</v>
      </c>
    </row>
    <row r="3193" spans="1:12" x14ac:dyDescent="0.25">
      <c r="A3193" t="s">
        <v>6919</v>
      </c>
      <c r="B3193" t="s">
        <v>718</v>
      </c>
      <c r="C3193" t="s">
        <v>3487</v>
      </c>
      <c r="D3193" t="s">
        <v>23</v>
      </c>
      <c r="E3193">
        <v>30</v>
      </c>
      <c r="F3193" t="s">
        <v>495</v>
      </c>
      <c r="G3193" t="s">
        <v>3197</v>
      </c>
      <c r="H3193">
        <v>46519</v>
      </c>
      <c r="I3193" s="1" t="d">
        <v>2013-11-27</v>
      </c>
      <c r="J3193" t="s">
        <v>3229</v>
      </c>
      <c r="K3193" s="17" t="s">
        <v>19</v>
      </c>
      <c r="L3193">
        <v>2</v>
      </c>
    </row>
    <row r="3194" spans="1:12" x14ac:dyDescent="0.25">
      <c r="A3194" t="s">
        <v>6920</v>
      </c>
      <c r="B3194" t="s">
        <v>2681</v>
      </c>
      <c r="C3194" t="s">
        <v>858</v>
      </c>
      <c r="D3194" t="s">
        <v>23</v>
      </c>
      <c r="E3194">
        <v>41</v>
      </c>
      <c r="F3194" t="s">
        <v>38</v>
      </c>
      <c r="G3194" t="s">
        <v>127</v>
      </c>
      <c r="H3194" t="s">
        <v>6921</v>
      </c>
      <c r="I3194" s="1" t="d">
        <v>2012-03-26</v>
      </c>
      <c r="J3194" t="s">
        <v>6922</v>
      </c>
      <c r="K3194" s="17" t="s">
        <v>34</v>
      </c>
      <c r="L3194">
        <v>4</v>
      </c>
    </row>
    <row r="3195" spans="1:12" x14ac:dyDescent="0.25">
      <c r="A3195" t="s">
        <v>6923</v>
      </c>
      <c r="B3195" t="s">
        <v>670</v>
      </c>
      <c r="C3195" t="s">
        <v>763</v>
      </c>
      <c r="D3195" t="s">
        <v>23</v>
      </c>
      <c r="E3195">
        <v>36</v>
      </c>
      <c r="F3195" t="s">
        <v>365</v>
      </c>
      <c r="G3195" t="s">
        <v>1329</v>
      </c>
      <c r="H3195" s="2">
        <v>49509</v>
      </c>
      <c r="J3195" t="s">
        <v>3624</v>
      </c>
      <c r="K3195" s="17" t="s">
        <v>34</v>
      </c>
      <c r="L3195">
        <v>4</v>
      </c>
    </row>
    <row r="3196" spans="1:12" x14ac:dyDescent="0.25">
      <c r="A3196" t="s">
        <v>6924</v>
      </c>
      <c r="B3196" t="s">
        <v>906</v>
      </c>
      <c r="C3196" t="s">
        <v>988</v>
      </c>
      <c r="D3196" t="s">
        <v>9527</v>
      </c>
      <c r="E3196">
        <v>29</v>
      </c>
      <c r="F3196" t="s">
        <v>373</v>
      </c>
      <c r="G3196" t="s">
        <v>500</v>
      </c>
      <c r="H3196" t="s">
        <v>6925</v>
      </c>
      <c r="I3196" s="1" t="d">
        <v>2021-02-28</v>
      </c>
      <c r="J3196" t="s">
        <v>3379</v>
      </c>
      <c r="K3196" s="17" t="s">
        <v>370</v>
      </c>
      <c r="L3196">
        <v>4</v>
      </c>
    </row>
    <row r="3197" spans="1:12" x14ac:dyDescent="0.25">
      <c r="A3197" t="s">
        <v>6926</v>
      </c>
      <c r="B3197" t="s">
        <v>467</v>
      </c>
      <c r="C3197" t="s">
        <v>318</v>
      </c>
      <c r="D3197" t="s">
        <v>23</v>
      </c>
      <c r="E3197">
        <v>43</v>
      </c>
      <c r="F3197" t="s">
        <v>245</v>
      </c>
      <c r="G3197" t="s">
        <v>357</v>
      </c>
      <c r="H3197" s="2">
        <v>87203</v>
      </c>
      <c r="I3197" s="1" t="d">
        <v>2019-03-21</v>
      </c>
      <c r="J3197" t="s">
        <v>2985</v>
      </c>
      <c r="K3197" s="17" t="s">
        <v>118</v>
      </c>
      <c r="L3197">
        <v>4</v>
      </c>
    </row>
    <row r="3198" spans="1:12" x14ac:dyDescent="0.25">
      <c r="A3198" t="s">
        <v>6927</v>
      </c>
      <c r="B3198" t="s">
        <v>66</v>
      </c>
      <c r="C3198" t="s">
        <v>175</v>
      </c>
      <c r="D3198" t="s">
        <v>9527</v>
      </c>
      <c r="E3198">
        <v>30</v>
      </c>
      <c r="F3198" t="s">
        <v>230</v>
      </c>
      <c r="G3198" t="s">
        <v>205</v>
      </c>
      <c r="H3198">
        <v>61189</v>
      </c>
      <c r="I3198" s="1" t="d">
        <v>2016-05-01</v>
      </c>
      <c r="J3198" t="s">
        <v>1547</v>
      </c>
      <c r="K3198" s="17" t="s">
        <v>207</v>
      </c>
      <c r="L3198">
        <v>5</v>
      </c>
    </row>
    <row r="3199" spans="1:12" x14ac:dyDescent="0.25">
      <c r="A3199" t="s">
        <v>6928</v>
      </c>
      <c r="B3199" t="s">
        <v>664</v>
      </c>
      <c r="C3199" t="s">
        <v>163</v>
      </c>
      <c r="D3199" t="s">
        <v>23</v>
      </c>
      <c r="E3199">
        <v>28</v>
      </c>
      <c r="F3199" t="s">
        <v>522</v>
      </c>
      <c r="G3199" t="s">
        <v>337</v>
      </c>
      <c r="H3199" t="s">
        <v>6929</v>
      </c>
      <c r="I3199" s="1" t="d">
        <v>2021-07-20</v>
      </c>
      <c r="J3199" t="s">
        <v>1795</v>
      </c>
      <c r="K3199" s="17" t="s">
        <v>207</v>
      </c>
      <c r="L3199">
        <v>4</v>
      </c>
    </row>
    <row r="3200" spans="1:12" x14ac:dyDescent="0.25">
      <c r="A3200" t="s">
        <v>6930</v>
      </c>
      <c r="B3200" t="s">
        <v>670</v>
      </c>
      <c r="C3200" t="s">
        <v>4166</v>
      </c>
      <c r="D3200" t="s">
        <v>23</v>
      </c>
      <c r="E3200">
        <v>24</v>
      </c>
      <c r="F3200" t="s">
        <v>3280</v>
      </c>
      <c r="G3200" t="s">
        <v>39</v>
      </c>
      <c r="I3200" s="1" t="d">
        <v>2019-06-30</v>
      </c>
      <c r="J3200" t="s">
        <v>6931</v>
      </c>
      <c r="K3200" s="17" t="s">
        <v>58</v>
      </c>
      <c r="L3200">
        <v>2</v>
      </c>
    </row>
    <row r="3201" spans="1:12" x14ac:dyDescent="0.25">
      <c r="A3201" t="s">
        <v>6932</v>
      </c>
      <c r="B3201" t="s">
        <v>1051</v>
      </c>
      <c r="C3201" t="s">
        <v>291</v>
      </c>
      <c r="D3201" t="s">
        <v>9527</v>
      </c>
      <c r="E3201">
        <v>44</v>
      </c>
      <c r="F3201" t="s">
        <v>186</v>
      </c>
      <c r="G3201" t="s">
        <v>6141</v>
      </c>
      <c r="H3201">
        <v>164765</v>
      </c>
      <c r="I3201" s="1" t="d">
        <v>2012-01-04</v>
      </c>
      <c r="J3201" t="s">
        <v>1053</v>
      </c>
      <c r="K3201" s="17" t="s">
        <v>207</v>
      </c>
      <c r="L3201">
        <v>4</v>
      </c>
    </row>
    <row r="3202" spans="1:12" x14ac:dyDescent="0.25">
      <c r="A3202" t="s">
        <v>6933</v>
      </c>
      <c r="B3202" t="s">
        <v>1826</v>
      </c>
      <c r="C3202" t="s">
        <v>22</v>
      </c>
      <c r="D3202" t="s">
        <v>46</v>
      </c>
      <c r="E3202">
        <v>39</v>
      </c>
      <c r="F3202" t="s">
        <v>15</v>
      </c>
      <c r="G3202" t="s">
        <v>88</v>
      </c>
      <c r="H3202" t="s">
        <v>6934</v>
      </c>
      <c r="I3202" s="1" t="d">
        <v>2009-02-24</v>
      </c>
      <c r="J3202" t="s">
        <v>442</v>
      </c>
      <c r="K3202" s="17" t="s">
        <v>90</v>
      </c>
      <c r="L3202">
        <v>3</v>
      </c>
    </row>
    <row r="3203" spans="1:12" x14ac:dyDescent="0.25">
      <c r="A3203" t="s">
        <v>6935</v>
      </c>
      <c r="B3203" t="s">
        <v>1350</v>
      </c>
      <c r="C3203" t="s">
        <v>660</v>
      </c>
      <c r="D3203" t="s">
        <v>9527</v>
      </c>
      <c r="E3203">
        <v>49</v>
      </c>
      <c r="F3203" t="s">
        <v>399</v>
      </c>
      <c r="G3203" t="s">
        <v>328</v>
      </c>
      <c r="H3203" t="s">
        <v>6936</v>
      </c>
      <c r="I3203" s="1" t="d">
        <v>2023-07-01</v>
      </c>
      <c r="J3203" t="s">
        <v>6217</v>
      </c>
      <c r="K3203" s="17" t="s">
        <v>34</v>
      </c>
      <c r="L3203">
        <v>3</v>
      </c>
    </row>
    <row r="3204" spans="1:12" x14ac:dyDescent="0.25">
      <c r="A3204" t="s">
        <v>6937</v>
      </c>
      <c r="B3204" t="s">
        <v>906</v>
      </c>
      <c r="C3204" t="s">
        <v>1442</v>
      </c>
      <c r="D3204" t="s">
        <v>23</v>
      </c>
      <c r="E3204">
        <v>36</v>
      </c>
      <c r="F3204" t="s">
        <v>230</v>
      </c>
      <c r="G3204" t="s">
        <v>82</v>
      </c>
      <c r="H3204" t="s">
        <v>6938</v>
      </c>
      <c r="I3204" s="1" t="d">
        <v>2012-10-27</v>
      </c>
      <c r="J3204" t="s">
        <v>2105</v>
      </c>
      <c r="K3204" s="17" t="s">
        <v>50</v>
      </c>
      <c r="L3204">
        <v>4</v>
      </c>
    </row>
    <row r="3205" spans="1:12" x14ac:dyDescent="0.25">
      <c r="A3205" t="s">
        <v>6939</v>
      </c>
      <c r="B3205" t="s">
        <v>92</v>
      </c>
      <c r="C3205" t="s">
        <v>5268</v>
      </c>
      <c r="D3205" t="s">
        <v>46</v>
      </c>
      <c r="E3205">
        <v>40</v>
      </c>
      <c r="F3205" t="s">
        <v>190</v>
      </c>
      <c r="G3205" t="s">
        <v>25</v>
      </c>
      <c r="H3205" t="s">
        <v>6940</v>
      </c>
      <c r="I3205" s="1" t="d">
        <v>2017-09-28</v>
      </c>
      <c r="J3205" t="s">
        <v>6817</v>
      </c>
      <c r="K3205" s="17" t="s">
        <v>34</v>
      </c>
      <c r="L3205">
        <v>3</v>
      </c>
    </row>
    <row r="3206" spans="1:12" x14ac:dyDescent="0.25">
      <c r="A3206" t="s">
        <v>6941</v>
      </c>
      <c r="B3206" t="s">
        <v>1382</v>
      </c>
      <c r="C3206" t="s">
        <v>453</v>
      </c>
      <c r="D3206" t="s">
        <v>46</v>
      </c>
      <c r="E3206">
        <v>48</v>
      </c>
      <c r="F3206" t="s">
        <v>2700</v>
      </c>
      <c r="G3206" t="s">
        <v>217</v>
      </c>
      <c r="H3206" t="s">
        <v>6942</v>
      </c>
      <c r="I3206" s="1" t="d">
        <v>2022-10-26</v>
      </c>
      <c r="J3206" t="s">
        <v>298</v>
      </c>
      <c r="K3206" s="17" t="s">
        <v>34</v>
      </c>
      <c r="L3206">
        <v>3</v>
      </c>
    </row>
    <row r="3207" spans="1:12" x14ac:dyDescent="0.25">
      <c r="A3207" t="s">
        <v>6943</v>
      </c>
      <c r="B3207" t="s">
        <v>1096</v>
      </c>
      <c r="C3207" t="s">
        <v>210</v>
      </c>
      <c r="D3207" t="s">
        <v>9527</v>
      </c>
      <c r="E3207">
        <v>34</v>
      </c>
      <c r="F3207" t="s">
        <v>186</v>
      </c>
      <c r="G3207" t="s">
        <v>82</v>
      </c>
      <c r="H3207" s="2">
        <v>82740</v>
      </c>
      <c r="I3207" s="1" t="d">
        <v>2012-12-26</v>
      </c>
      <c r="J3207" t="s">
        <v>6944</v>
      </c>
      <c r="K3207" s="17" t="s">
        <v>58</v>
      </c>
      <c r="L3207">
        <v>3</v>
      </c>
    </row>
    <row r="3208" spans="1:12" x14ac:dyDescent="0.25">
      <c r="A3208" t="s">
        <v>6945</v>
      </c>
      <c r="B3208" t="s">
        <v>906</v>
      </c>
      <c r="C3208" t="s">
        <v>37</v>
      </c>
      <c r="D3208" t="s">
        <v>9527</v>
      </c>
      <c r="E3208">
        <v>41</v>
      </c>
      <c r="F3208" t="s">
        <v>865</v>
      </c>
      <c r="G3208" t="s">
        <v>82</v>
      </c>
      <c r="H3208" t="s">
        <v>6946</v>
      </c>
      <c r="I3208" s="1" t="d">
        <v>2017-04-08</v>
      </c>
      <c r="J3208" t="s">
        <v>284</v>
      </c>
      <c r="K3208" s="17" t="s">
        <v>184</v>
      </c>
      <c r="L3208">
        <v>3</v>
      </c>
    </row>
    <row r="3209" spans="1:12" x14ac:dyDescent="0.25">
      <c r="A3209" t="s">
        <v>6947</v>
      </c>
      <c r="B3209" t="s">
        <v>571</v>
      </c>
      <c r="C3209" t="s">
        <v>770</v>
      </c>
      <c r="D3209" t="s">
        <v>46</v>
      </c>
      <c r="E3209">
        <v>43</v>
      </c>
      <c r="F3209" t="s">
        <v>104</v>
      </c>
      <c r="G3209" t="s">
        <v>967</v>
      </c>
      <c r="H3209" t="s">
        <v>6948</v>
      </c>
      <c r="I3209" s="1" t="d">
        <v>2018-11-09</v>
      </c>
      <c r="J3209" t="s">
        <v>3435</v>
      </c>
      <c r="K3209" s="17" t="s">
        <v>100</v>
      </c>
      <c r="L3209">
        <v>4</v>
      </c>
    </row>
    <row r="3210" spans="1:12" x14ac:dyDescent="0.25">
      <c r="A3210" t="s">
        <v>6949</v>
      </c>
      <c r="B3210" t="s">
        <v>4007</v>
      </c>
      <c r="C3210" t="s">
        <v>770</v>
      </c>
      <c r="D3210" t="s">
        <v>23</v>
      </c>
      <c r="E3210">
        <v>30</v>
      </c>
      <c r="F3210" t="s">
        <v>1568</v>
      </c>
      <c r="G3210" t="s">
        <v>205</v>
      </c>
      <c r="I3210" s="1" t="d">
        <v>2018-12-10</v>
      </c>
      <c r="J3210" t="s">
        <v>6950</v>
      </c>
      <c r="K3210" s="17" t="s">
        <v>90</v>
      </c>
      <c r="L3210">
        <v>3</v>
      </c>
    </row>
    <row r="3211" spans="1:12" x14ac:dyDescent="0.25">
      <c r="A3211" t="s">
        <v>6951</v>
      </c>
      <c r="B3211" t="s">
        <v>180</v>
      </c>
      <c r="C3211" t="s">
        <v>295</v>
      </c>
      <c r="D3211" t="s">
        <v>23</v>
      </c>
      <c r="E3211">
        <v>25</v>
      </c>
      <c r="F3211" t="s">
        <v>216</v>
      </c>
      <c r="G3211" t="s">
        <v>351</v>
      </c>
      <c r="H3211" s="2">
        <v>50064</v>
      </c>
      <c r="I3211" s="1" t="d">
        <v>2012-05-02</v>
      </c>
      <c r="J3211" t="s">
        <v>1034</v>
      </c>
      <c r="K3211" s="17" t="s">
        <v>149</v>
      </c>
      <c r="L3211">
        <v>3</v>
      </c>
    </row>
    <row r="3212" spans="1:12" x14ac:dyDescent="0.25">
      <c r="A3212" t="s">
        <v>6952</v>
      </c>
      <c r="B3212" t="s">
        <v>664</v>
      </c>
      <c r="C3212" t="s">
        <v>555</v>
      </c>
      <c r="D3212" t="s">
        <v>23</v>
      </c>
      <c r="E3212">
        <v>27</v>
      </c>
      <c r="F3212" t="s">
        <v>2004</v>
      </c>
      <c r="G3212" t="s">
        <v>231</v>
      </c>
      <c r="H3212" t="s">
        <v>6953</v>
      </c>
      <c r="I3212" s="1" t="d">
        <v>2013-05-10</v>
      </c>
      <c r="J3212" t="s">
        <v>4282</v>
      </c>
      <c r="K3212" s="17" t="s">
        <v>71</v>
      </c>
      <c r="L3212">
        <v>4</v>
      </c>
    </row>
    <row r="3213" spans="1:12" x14ac:dyDescent="0.25">
      <c r="A3213" t="s">
        <v>6954</v>
      </c>
      <c r="B3213" t="s">
        <v>999</v>
      </c>
      <c r="C3213" t="s">
        <v>2860</v>
      </c>
      <c r="D3213" t="s">
        <v>9527</v>
      </c>
      <c r="E3213">
        <v>36</v>
      </c>
      <c r="F3213" t="s">
        <v>422</v>
      </c>
      <c r="G3213" t="s">
        <v>63</v>
      </c>
      <c r="H3213">
        <v>148735</v>
      </c>
      <c r="I3213" s="1" t="d">
        <v>2024-09-21</v>
      </c>
      <c r="J3213" t="s">
        <v>1165</v>
      </c>
      <c r="K3213" s="17" t="s">
        <v>34</v>
      </c>
      <c r="L3213">
        <v>2</v>
      </c>
    </row>
    <row r="3214" spans="1:12" x14ac:dyDescent="0.25">
      <c r="A3214" t="s">
        <v>6955</v>
      </c>
      <c r="B3214" t="s">
        <v>594</v>
      </c>
      <c r="C3214" t="s">
        <v>332</v>
      </c>
      <c r="D3214" t="s">
        <v>46</v>
      </c>
      <c r="E3214">
        <v>48</v>
      </c>
      <c r="F3214" t="s">
        <v>365</v>
      </c>
      <c r="G3214" t="s">
        <v>16</v>
      </c>
      <c r="H3214">
        <v>78513</v>
      </c>
      <c r="I3214" s="1" t="d">
        <v>2023-07-31</v>
      </c>
      <c r="J3214" t="s">
        <v>726</v>
      </c>
      <c r="K3214" s="17" t="s">
        <v>50</v>
      </c>
      <c r="L3214">
        <v>3</v>
      </c>
    </row>
    <row r="3215" spans="1:12" x14ac:dyDescent="0.25">
      <c r="A3215" t="s">
        <v>6956</v>
      </c>
      <c r="B3215" t="s">
        <v>862</v>
      </c>
      <c r="C3215" t="s">
        <v>631</v>
      </c>
      <c r="D3215" t="s">
        <v>9527</v>
      </c>
      <c r="E3215">
        <v>23</v>
      </c>
      <c r="G3215" t="s">
        <v>205</v>
      </c>
      <c r="H3215" t="s">
        <v>6957</v>
      </c>
      <c r="I3215" s="1" t="d">
        <v>2021-05-28</v>
      </c>
      <c r="J3215" t="s">
        <v>6450</v>
      </c>
      <c r="K3215" s="17" t="s">
        <v>58</v>
      </c>
      <c r="L3215">
        <v>3</v>
      </c>
    </row>
    <row r="3216" spans="1:12" x14ac:dyDescent="0.25">
      <c r="A3216" t="s">
        <v>6958</v>
      </c>
      <c r="B3216" t="s">
        <v>2190</v>
      </c>
      <c r="C3216" t="s">
        <v>189</v>
      </c>
      <c r="D3216" t="s">
        <v>23</v>
      </c>
      <c r="E3216">
        <v>41</v>
      </c>
      <c r="F3216" t="s">
        <v>859</v>
      </c>
      <c r="G3216" t="s">
        <v>351</v>
      </c>
      <c r="I3216" s="1" t="d">
        <v>2017-09-28</v>
      </c>
      <c r="J3216" t="s">
        <v>1401</v>
      </c>
      <c r="K3216" s="17" t="s">
        <v>149</v>
      </c>
      <c r="L3216">
        <v>3</v>
      </c>
    </row>
    <row r="3217" spans="1:12" x14ac:dyDescent="0.25">
      <c r="A3217" t="s">
        <v>6959</v>
      </c>
      <c r="B3217" t="s">
        <v>6738</v>
      </c>
      <c r="C3217" t="s">
        <v>318</v>
      </c>
      <c r="D3217" t="s">
        <v>23</v>
      </c>
      <c r="E3217">
        <v>30</v>
      </c>
      <c r="F3217" t="s">
        <v>3593</v>
      </c>
      <c r="G3217" t="s">
        <v>39</v>
      </c>
      <c r="I3217" s="1" t="d">
        <v>2022-09-14</v>
      </c>
      <c r="J3217" t="s">
        <v>321</v>
      </c>
      <c r="K3217" s="17" t="s">
        <v>100</v>
      </c>
      <c r="L3217">
        <v>4</v>
      </c>
    </row>
    <row r="3218" spans="1:12" x14ac:dyDescent="0.25">
      <c r="A3218" t="s">
        <v>6960</v>
      </c>
      <c r="B3218" t="s">
        <v>2491</v>
      </c>
      <c r="C3218" t="s">
        <v>1258</v>
      </c>
      <c r="D3218" t="s">
        <v>9527</v>
      </c>
      <c r="E3218">
        <v>30</v>
      </c>
      <c r="F3218" t="s">
        <v>978</v>
      </c>
      <c r="G3218" t="s">
        <v>16</v>
      </c>
      <c r="H3218">
        <v>120411</v>
      </c>
      <c r="I3218" s="1" t="d">
        <v>2010-11-22</v>
      </c>
      <c r="J3218" t="s">
        <v>1289</v>
      </c>
      <c r="K3218" s="17" t="s">
        <v>50</v>
      </c>
      <c r="L3218">
        <v>3</v>
      </c>
    </row>
    <row r="3219" spans="1:12" x14ac:dyDescent="0.25">
      <c r="A3219" t="s">
        <v>6961</v>
      </c>
      <c r="B3219" t="s">
        <v>52</v>
      </c>
      <c r="C3219" t="s">
        <v>858</v>
      </c>
      <c r="D3219" t="s">
        <v>23</v>
      </c>
      <c r="E3219">
        <v>39</v>
      </c>
      <c r="F3219" t="s">
        <v>68</v>
      </c>
      <c r="G3219" t="s">
        <v>55</v>
      </c>
      <c r="H3219">
        <v>92489</v>
      </c>
      <c r="I3219" s="1" t="d">
        <v>2009-08-06</v>
      </c>
      <c r="J3219" t="s">
        <v>6962</v>
      </c>
      <c r="K3219" s="17" t="s">
        <v>100</v>
      </c>
      <c r="L3219">
        <v>3</v>
      </c>
    </row>
    <row r="3220" spans="1:12" x14ac:dyDescent="0.25">
      <c r="A3220" t="s">
        <v>6963</v>
      </c>
      <c r="B3220" t="s">
        <v>6964</v>
      </c>
      <c r="C3220" t="s">
        <v>6965</v>
      </c>
      <c r="D3220" t="s">
        <v>46</v>
      </c>
      <c r="E3220">
        <v>47</v>
      </c>
      <c r="F3220" t="s">
        <v>3085</v>
      </c>
      <c r="G3220" t="s">
        <v>48</v>
      </c>
      <c r="H3220" t="s">
        <v>6966</v>
      </c>
      <c r="I3220" s="1" t="d">
        <v>2014-05-01</v>
      </c>
      <c r="J3220" t="s">
        <v>4244</v>
      </c>
      <c r="K3220" s="17" t="s">
        <v>50</v>
      </c>
      <c r="L3220">
        <v>4</v>
      </c>
    </row>
    <row r="3221" spans="1:12" x14ac:dyDescent="0.25">
      <c r="A3221" t="s">
        <v>6967</v>
      </c>
      <c r="B3221" t="s">
        <v>874</v>
      </c>
      <c r="C3221" t="s">
        <v>395</v>
      </c>
      <c r="D3221" t="s">
        <v>23</v>
      </c>
      <c r="E3221">
        <v>29</v>
      </c>
      <c r="F3221" t="s">
        <v>4095</v>
      </c>
      <c r="G3221" t="s">
        <v>16</v>
      </c>
      <c r="H3221" t="s">
        <v>6968</v>
      </c>
      <c r="I3221" s="1" t="d">
        <v>2010-05-26</v>
      </c>
      <c r="J3221" t="s">
        <v>6969</v>
      </c>
      <c r="K3221" s="17" t="s">
        <v>90</v>
      </c>
      <c r="L3221">
        <v>4</v>
      </c>
    </row>
    <row r="3222" spans="1:12" x14ac:dyDescent="0.25">
      <c r="A3222" t="s">
        <v>6970</v>
      </c>
      <c r="B3222" t="s">
        <v>2190</v>
      </c>
      <c r="C3222" t="s">
        <v>1248</v>
      </c>
      <c r="D3222" t="s">
        <v>23</v>
      </c>
      <c r="E3222">
        <v>53</v>
      </c>
      <c r="F3222" t="s">
        <v>169</v>
      </c>
      <c r="G3222" t="s">
        <v>212</v>
      </c>
      <c r="H3222" t="s">
        <v>6971</v>
      </c>
      <c r="I3222" s="1" t="d">
        <v>2017-11-03</v>
      </c>
      <c r="J3222" t="s">
        <v>1250</v>
      </c>
      <c r="K3222" s="17" t="s">
        <v>207</v>
      </c>
      <c r="L3222">
        <v>2</v>
      </c>
    </row>
    <row r="3223" spans="1:12" x14ac:dyDescent="0.25">
      <c r="A3223" t="s">
        <v>6972</v>
      </c>
      <c r="B3223" t="s">
        <v>965</v>
      </c>
      <c r="C3223" t="s">
        <v>181</v>
      </c>
      <c r="D3223" t="s">
        <v>46</v>
      </c>
      <c r="E3223">
        <v>21</v>
      </c>
      <c r="F3223" t="s">
        <v>169</v>
      </c>
      <c r="G3223" t="s">
        <v>63</v>
      </c>
      <c r="H3223" t="s">
        <v>6973</v>
      </c>
      <c r="I3223" s="1" t="d">
        <v>2019-10-25</v>
      </c>
      <c r="J3223" t="s">
        <v>2478</v>
      </c>
      <c r="K3223" s="17" t="s">
        <v>19</v>
      </c>
      <c r="L3223">
        <v>3</v>
      </c>
    </row>
    <row r="3224" spans="1:12" x14ac:dyDescent="0.25">
      <c r="A3224" t="s">
        <v>6974</v>
      </c>
      <c r="B3224" t="s">
        <v>1241</v>
      </c>
      <c r="C3224" t="s">
        <v>1520</v>
      </c>
      <c r="D3224" t="s">
        <v>9527</v>
      </c>
      <c r="E3224">
        <v>33</v>
      </c>
      <c r="F3224" t="s">
        <v>253</v>
      </c>
      <c r="G3224" t="s">
        <v>115</v>
      </c>
      <c r="H3224">
        <v>55072</v>
      </c>
      <c r="I3224" s="1" t="d">
        <v>2007-12-20</v>
      </c>
      <c r="J3224" t="s">
        <v>863</v>
      </c>
      <c r="K3224" s="17" t="s">
        <v>27</v>
      </c>
      <c r="L3224">
        <v>5</v>
      </c>
    </row>
    <row r="3225" spans="1:12" x14ac:dyDescent="0.25">
      <c r="A3225" t="s">
        <v>6975</v>
      </c>
      <c r="B3225" t="s">
        <v>2697</v>
      </c>
      <c r="C3225" t="s">
        <v>168</v>
      </c>
      <c r="D3225" t="s">
        <v>46</v>
      </c>
      <c r="E3225">
        <v>32</v>
      </c>
      <c r="F3225" t="s">
        <v>406</v>
      </c>
      <c r="G3225" t="s">
        <v>217</v>
      </c>
      <c r="H3225" s="2">
        <v>64598</v>
      </c>
      <c r="I3225" s="1" t="d">
        <v>2006-09-19</v>
      </c>
      <c r="J3225" t="s">
        <v>2893</v>
      </c>
      <c r="K3225" s="17" t="s">
        <v>50</v>
      </c>
      <c r="L3225">
        <v>4</v>
      </c>
    </row>
    <row r="3226" spans="1:12" x14ac:dyDescent="0.25">
      <c r="A3226" t="s">
        <v>6976</v>
      </c>
      <c r="B3226" t="s">
        <v>901</v>
      </c>
      <c r="C3226" t="s">
        <v>4031</v>
      </c>
      <c r="D3226" t="s">
        <v>46</v>
      </c>
      <c r="E3226">
        <v>51</v>
      </c>
      <c r="F3226" t="s">
        <v>296</v>
      </c>
      <c r="G3226" t="s">
        <v>109</v>
      </c>
      <c r="H3226" t="s">
        <v>6977</v>
      </c>
      <c r="I3226" s="1" t="d">
        <v>2024-09-29</v>
      </c>
      <c r="J3226" t="s">
        <v>1934</v>
      </c>
      <c r="K3226" s="17" t="s">
        <v>27</v>
      </c>
      <c r="L3226">
        <v>4</v>
      </c>
    </row>
    <row r="3227" spans="1:12" x14ac:dyDescent="0.25">
      <c r="A3227" t="s">
        <v>6978</v>
      </c>
      <c r="B3227" t="s">
        <v>44</v>
      </c>
      <c r="C3227" t="s">
        <v>181</v>
      </c>
      <c r="D3227" t="s">
        <v>46</v>
      </c>
      <c r="E3227">
        <v>51</v>
      </c>
      <c r="F3227" t="s">
        <v>2904</v>
      </c>
      <c r="G3227" t="s">
        <v>82</v>
      </c>
      <c r="H3227" s="2">
        <v>53765</v>
      </c>
      <c r="I3227" s="1" t="d">
        <v>2018-04-24</v>
      </c>
      <c r="J3227" t="s">
        <v>1941</v>
      </c>
      <c r="K3227" s="17" t="s">
        <v>42</v>
      </c>
      <c r="L3227">
        <v>2</v>
      </c>
    </row>
    <row r="3228" spans="1:12" x14ac:dyDescent="0.25">
      <c r="A3228" t="s">
        <v>6979</v>
      </c>
      <c r="B3228" t="s">
        <v>180</v>
      </c>
      <c r="C3228" t="s">
        <v>1517</v>
      </c>
      <c r="D3228" t="s">
        <v>23</v>
      </c>
      <c r="E3228">
        <v>33</v>
      </c>
      <c r="F3228" t="s">
        <v>122</v>
      </c>
      <c r="G3228" t="s">
        <v>39</v>
      </c>
      <c r="H3228" s="2">
        <v>57215</v>
      </c>
      <c r="I3228" s="1" t="d">
        <v>2015-09-07</v>
      </c>
      <c r="J3228" t="s">
        <v>6196</v>
      </c>
      <c r="K3228" s="17" t="s">
        <v>100</v>
      </c>
      <c r="L3228">
        <v>3</v>
      </c>
    </row>
    <row r="3229" spans="1:12" x14ac:dyDescent="0.25">
      <c r="A3229" t="s">
        <v>6980</v>
      </c>
      <c r="B3229" t="s">
        <v>228</v>
      </c>
      <c r="C3229" t="s">
        <v>318</v>
      </c>
      <c r="D3229" t="s">
        <v>23</v>
      </c>
      <c r="E3229">
        <v>50</v>
      </c>
      <c r="F3229" t="s">
        <v>31</v>
      </c>
      <c r="G3229" t="s">
        <v>55</v>
      </c>
      <c r="H3229" t="s">
        <v>6981</v>
      </c>
      <c r="I3229" s="1" t="d">
        <v>2022-08-22</v>
      </c>
      <c r="J3229" t="s">
        <v>5873</v>
      </c>
      <c r="K3229" s="17" t="s">
        <v>71</v>
      </c>
      <c r="L3229">
        <v>4</v>
      </c>
    </row>
    <row r="3230" spans="1:12" x14ac:dyDescent="0.25">
      <c r="A3230" t="s">
        <v>6982</v>
      </c>
      <c r="B3230" t="s">
        <v>394</v>
      </c>
      <c r="C3230" t="s">
        <v>2242</v>
      </c>
      <c r="D3230" t="s">
        <v>46</v>
      </c>
      <c r="E3230">
        <v>27</v>
      </c>
      <c r="F3230" t="s">
        <v>211</v>
      </c>
      <c r="G3230" t="s">
        <v>182</v>
      </c>
      <c r="H3230">
        <v>101245</v>
      </c>
      <c r="I3230" s="1" t="d">
        <v>2010-12-04</v>
      </c>
      <c r="J3230" t="s">
        <v>3728</v>
      </c>
      <c r="K3230" s="17" t="s">
        <v>71</v>
      </c>
      <c r="L3230">
        <v>2</v>
      </c>
    </row>
    <row r="3231" spans="1:12" x14ac:dyDescent="0.25">
      <c r="A3231" t="s">
        <v>6983</v>
      </c>
      <c r="B3231" t="s">
        <v>1738</v>
      </c>
      <c r="C3231" t="s">
        <v>970</v>
      </c>
      <c r="D3231" t="s">
        <v>9527</v>
      </c>
      <c r="E3231">
        <v>36</v>
      </c>
      <c r="F3231" t="s">
        <v>589</v>
      </c>
      <c r="G3231" t="s">
        <v>95</v>
      </c>
      <c r="H3231" s="2">
        <v>52192</v>
      </c>
      <c r="I3231" s="1" t="d">
        <v>2008-02-22</v>
      </c>
      <c r="J3231" t="s">
        <v>2240</v>
      </c>
      <c r="K3231" s="17" t="s">
        <v>27</v>
      </c>
      <c r="L3231">
        <v>3</v>
      </c>
    </row>
    <row r="3232" spans="1:12" x14ac:dyDescent="0.25">
      <c r="A3232" t="s">
        <v>6443</v>
      </c>
      <c r="B3232" t="s">
        <v>86</v>
      </c>
      <c r="C3232" t="s">
        <v>395</v>
      </c>
      <c r="D3232" t="s">
        <v>9527</v>
      </c>
      <c r="E3232">
        <v>57</v>
      </c>
      <c r="F3232" t="s">
        <v>859</v>
      </c>
      <c r="G3232" t="s">
        <v>283</v>
      </c>
      <c r="H3232" t="s">
        <v>6444</v>
      </c>
      <c r="I3232" s="1" t="d">
        <v>2014-05-08</v>
      </c>
      <c r="J3232" t="s">
        <v>4445</v>
      </c>
      <c r="K3232" s="17" t="s">
        <v>58</v>
      </c>
      <c r="L3232">
        <v>3</v>
      </c>
    </row>
    <row r="3233" spans="1:12" x14ac:dyDescent="0.25">
      <c r="A3233" t="s">
        <v>6984</v>
      </c>
      <c r="B3233" t="s">
        <v>507</v>
      </c>
      <c r="C3233" t="s">
        <v>2075</v>
      </c>
      <c r="D3233" t="s">
        <v>9527</v>
      </c>
      <c r="E3233">
        <v>34</v>
      </c>
      <c r="F3233" t="s">
        <v>576</v>
      </c>
      <c r="G3233" t="s">
        <v>82</v>
      </c>
      <c r="H3233" t="s">
        <v>6985</v>
      </c>
      <c r="I3233" s="1" t="d">
        <v>2008-12-18</v>
      </c>
      <c r="J3233" t="s">
        <v>5543</v>
      </c>
      <c r="K3233" s="17" t="s">
        <v>118</v>
      </c>
      <c r="L3233">
        <v>4</v>
      </c>
    </row>
    <row r="3234" spans="1:12" x14ac:dyDescent="0.25">
      <c r="A3234" t="s">
        <v>6986</v>
      </c>
      <c r="B3234" t="s">
        <v>507</v>
      </c>
      <c r="C3234" t="s">
        <v>1052</v>
      </c>
      <c r="D3234" t="s">
        <v>9527</v>
      </c>
      <c r="E3234">
        <v>51</v>
      </c>
      <c r="G3234" t="s">
        <v>351</v>
      </c>
      <c r="H3234">
        <v>40215</v>
      </c>
      <c r="J3234" t="s">
        <v>2254</v>
      </c>
      <c r="K3234" s="17" t="s">
        <v>34</v>
      </c>
      <c r="L3234">
        <v>3</v>
      </c>
    </row>
    <row r="3235" spans="1:12" x14ac:dyDescent="0.25">
      <c r="A3235" t="s">
        <v>4616</v>
      </c>
      <c r="B3235" t="s">
        <v>652</v>
      </c>
      <c r="C3235" t="s">
        <v>747</v>
      </c>
      <c r="D3235" t="s">
        <v>9527</v>
      </c>
      <c r="E3235">
        <v>38</v>
      </c>
      <c r="F3235" t="s">
        <v>645</v>
      </c>
      <c r="G3235" t="s">
        <v>115</v>
      </c>
      <c r="H3235" t="s">
        <v>4617</v>
      </c>
      <c r="I3235" s="1" t="d">
        <v>2021-01-09</v>
      </c>
      <c r="J3235" t="s">
        <v>1566</v>
      </c>
      <c r="K3235" s="17" t="s">
        <v>90</v>
      </c>
      <c r="L3235">
        <v>4</v>
      </c>
    </row>
    <row r="3236" spans="1:12" x14ac:dyDescent="0.25">
      <c r="A3236" t="s">
        <v>4602</v>
      </c>
      <c r="B3236" t="s">
        <v>1181</v>
      </c>
      <c r="C3236" t="s">
        <v>684</v>
      </c>
      <c r="D3236" t="s">
        <v>46</v>
      </c>
      <c r="E3236">
        <v>42</v>
      </c>
      <c r="F3236" t="s">
        <v>186</v>
      </c>
      <c r="G3236" t="s">
        <v>141</v>
      </c>
      <c r="H3236" s="2">
        <v>95563</v>
      </c>
      <c r="I3236" s="1" t="d">
        <v>2022-08-21</v>
      </c>
      <c r="J3236" t="s">
        <v>4603</v>
      </c>
      <c r="K3236" s="17" t="s">
        <v>34</v>
      </c>
      <c r="L3236">
        <v>4</v>
      </c>
    </row>
    <row r="3237" spans="1:12" x14ac:dyDescent="0.25">
      <c r="A3237" t="s">
        <v>6987</v>
      </c>
      <c r="B3237" t="s">
        <v>394</v>
      </c>
      <c r="C3237" t="s">
        <v>4484</v>
      </c>
      <c r="D3237" t="s">
        <v>9527</v>
      </c>
      <c r="E3237">
        <v>50</v>
      </c>
      <c r="F3237" t="s">
        <v>2065</v>
      </c>
      <c r="G3237" t="s">
        <v>69</v>
      </c>
      <c r="H3237" t="s">
        <v>6988</v>
      </c>
      <c r="I3237" s="1" t="d">
        <v>2019-08-06</v>
      </c>
      <c r="J3237" t="s">
        <v>879</v>
      </c>
      <c r="K3237" s="17" t="s">
        <v>50</v>
      </c>
      <c r="L3237">
        <v>3</v>
      </c>
    </row>
    <row r="3238" spans="1:12" x14ac:dyDescent="0.25">
      <c r="A3238" t="s">
        <v>4225</v>
      </c>
      <c r="B3238" t="s">
        <v>1301</v>
      </c>
      <c r="C3238" t="s">
        <v>168</v>
      </c>
      <c r="D3238" t="s">
        <v>23</v>
      </c>
      <c r="E3238">
        <v>35</v>
      </c>
      <c r="F3238" t="s">
        <v>522</v>
      </c>
      <c r="G3238" t="s">
        <v>170</v>
      </c>
      <c r="H3238" t="s">
        <v>4226</v>
      </c>
      <c r="I3238" s="1" t="d">
        <v>2019-10-08</v>
      </c>
      <c r="J3238" t="s">
        <v>3404</v>
      </c>
      <c r="K3238" s="17" t="s">
        <v>34</v>
      </c>
      <c r="L3238">
        <v>5</v>
      </c>
    </row>
    <row r="3239" spans="1:12" x14ac:dyDescent="0.25">
      <c r="A3239" t="s">
        <v>6989</v>
      </c>
      <c r="B3239" t="s">
        <v>571</v>
      </c>
      <c r="C3239" t="s">
        <v>1472</v>
      </c>
      <c r="D3239" t="s">
        <v>9527</v>
      </c>
      <c r="E3239">
        <v>33</v>
      </c>
      <c r="F3239" t="s">
        <v>589</v>
      </c>
      <c r="G3239" t="s">
        <v>55</v>
      </c>
      <c r="H3239" s="2">
        <v>53317</v>
      </c>
      <c r="I3239" s="1" t="d">
        <v>2024-04-18</v>
      </c>
      <c r="J3239" t="s">
        <v>6886</v>
      </c>
      <c r="K3239" s="17" t="s">
        <v>370</v>
      </c>
      <c r="L3239">
        <v>2</v>
      </c>
    </row>
    <row r="3240" spans="1:12" x14ac:dyDescent="0.25">
      <c r="A3240" t="s">
        <v>6990</v>
      </c>
      <c r="B3240" t="s">
        <v>728</v>
      </c>
      <c r="C3240" t="s">
        <v>1146</v>
      </c>
      <c r="D3240" t="s">
        <v>46</v>
      </c>
      <c r="E3240">
        <v>39</v>
      </c>
      <c r="F3240" t="s">
        <v>269</v>
      </c>
      <c r="G3240" t="s">
        <v>48</v>
      </c>
      <c r="H3240" s="2">
        <v>42204</v>
      </c>
      <c r="I3240" s="1" t="d">
        <v>2007-08-11</v>
      </c>
      <c r="J3240" t="s">
        <v>2131</v>
      </c>
      <c r="K3240" s="17" t="s">
        <v>118</v>
      </c>
      <c r="L3240">
        <v>1</v>
      </c>
    </row>
    <row r="3241" spans="1:12" x14ac:dyDescent="0.25">
      <c r="A3241" t="s">
        <v>6991</v>
      </c>
      <c r="B3241" t="s">
        <v>3535</v>
      </c>
      <c r="C3241" t="s">
        <v>295</v>
      </c>
      <c r="D3241" t="s">
        <v>23</v>
      </c>
      <c r="E3241">
        <v>44</v>
      </c>
      <c r="F3241" t="s">
        <v>296</v>
      </c>
      <c r="G3241" t="s">
        <v>6992</v>
      </c>
      <c r="H3241">
        <v>69169</v>
      </c>
      <c r="I3241" s="1" t="d">
        <v>2014-03-28</v>
      </c>
      <c r="J3241" t="s">
        <v>6993</v>
      </c>
      <c r="K3241" s="17" t="s">
        <v>118</v>
      </c>
      <c r="L3241">
        <v>4</v>
      </c>
    </row>
    <row r="3242" spans="1:12" x14ac:dyDescent="0.25">
      <c r="A3242" t="s">
        <v>6994</v>
      </c>
      <c r="B3242" t="s">
        <v>2272</v>
      </c>
      <c r="C3242" t="s">
        <v>140</v>
      </c>
      <c r="D3242" t="s">
        <v>9527</v>
      </c>
      <c r="E3242">
        <v>46</v>
      </c>
      <c r="F3242" t="s">
        <v>104</v>
      </c>
      <c r="G3242" t="s">
        <v>55</v>
      </c>
      <c r="H3242" t="s">
        <v>6995</v>
      </c>
      <c r="I3242" s="1" t="d">
        <v>2022-08-14</v>
      </c>
      <c r="J3242" t="s">
        <v>1420</v>
      </c>
      <c r="K3242" s="17" t="s">
        <v>149</v>
      </c>
      <c r="L3242">
        <v>3</v>
      </c>
    </row>
    <row r="3243" spans="1:12" x14ac:dyDescent="0.25">
      <c r="A3243" t="s">
        <v>1917</v>
      </c>
      <c r="B3243" t="s">
        <v>1325</v>
      </c>
      <c r="C3243" t="s">
        <v>405</v>
      </c>
      <c r="D3243" t="s">
        <v>23</v>
      </c>
      <c r="E3243">
        <v>32</v>
      </c>
      <c r="F3243" t="s">
        <v>54</v>
      </c>
      <c r="G3243" t="s">
        <v>82</v>
      </c>
      <c r="H3243" t="s">
        <v>1918</v>
      </c>
      <c r="I3243" s="1" t="d">
        <v>2022-09-14</v>
      </c>
      <c r="J3243" t="s">
        <v>1919</v>
      </c>
      <c r="K3243" s="17" t="s">
        <v>207</v>
      </c>
      <c r="L3243">
        <v>3</v>
      </c>
    </row>
    <row r="3244" spans="1:12" x14ac:dyDescent="0.25">
      <c r="A3244" t="s">
        <v>6996</v>
      </c>
      <c r="B3244" t="s">
        <v>315</v>
      </c>
      <c r="C3244" t="s">
        <v>665</v>
      </c>
      <c r="D3244" t="s">
        <v>46</v>
      </c>
      <c r="E3244">
        <v>34</v>
      </c>
      <c r="F3244" t="s">
        <v>532</v>
      </c>
      <c r="G3244" t="s">
        <v>170</v>
      </c>
      <c r="I3244" s="1" t="d">
        <v>2010-10-17</v>
      </c>
      <c r="J3244" t="s">
        <v>2577</v>
      </c>
      <c r="K3244" s="17" t="s">
        <v>90</v>
      </c>
      <c r="L3244">
        <v>4</v>
      </c>
    </row>
    <row r="3245" spans="1:12" x14ac:dyDescent="0.25">
      <c r="A3245" t="s">
        <v>6997</v>
      </c>
      <c r="B3245" t="s">
        <v>102</v>
      </c>
      <c r="C3245" t="s">
        <v>1069</v>
      </c>
      <c r="D3245" t="s">
        <v>23</v>
      </c>
      <c r="E3245">
        <v>49</v>
      </c>
      <c r="F3245" t="s">
        <v>406</v>
      </c>
      <c r="G3245" t="s">
        <v>141</v>
      </c>
      <c r="H3245">
        <v>52702</v>
      </c>
      <c r="I3245" s="1" t="d">
        <v>2010-08-31</v>
      </c>
      <c r="J3245" t="s">
        <v>6998</v>
      </c>
      <c r="K3245" s="17" t="s">
        <v>149</v>
      </c>
      <c r="L3245">
        <v>3</v>
      </c>
    </row>
    <row r="3246" spans="1:12" x14ac:dyDescent="0.25">
      <c r="A3246" t="s">
        <v>6999</v>
      </c>
      <c r="B3246" t="s">
        <v>709</v>
      </c>
      <c r="C3246" t="s">
        <v>988</v>
      </c>
      <c r="D3246" t="s">
        <v>9527</v>
      </c>
      <c r="E3246">
        <v>39</v>
      </c>
      <c r="F3246" t="s">
        <v>399</v>
      </c>
      <c r="G3246" t="s">
        <v>357</v>
      </c>
      <c r="H3246">
        <v>88475</v>
      </c>
      <c r="I3246" s="1" t="d">
        <v>2009-03-17</v>
      </c>
      <c r="J3246" t="s">
        <v>3745</v>
      </c>
      <c r="K3246" s="17" t="s">
        <v>100</v>
      </c>
      <c r="L3246">
        <v>4</v>
      </c>
    </row>
    <row r="3247" spans="1:12" x14ac:dyDescent="0.25">
      <c r="A3247" t="s">
        <v>7000</v>
      </c>
      <c r="B3247" t="s">
        <v>659</v>
      </c>
      <c r="C3247" t="s">
        <v>121</v>
      </c>
      <c r="D3247" t="s">
        <v>46</v>
      </c>
      <c r="E3247">
        <v>21</v>
      </c>
      <c r="F3247" t="s">
        <v>24</v>
      </c>
      <c r="G3247" t="s">
        <v>170</v>
      </c>
      <c r="H3247">
        <v>94529</v>
      </c>
      <c r="I3247" s="1" t="d">
        <v>2018-11-25</v>
      </c>
      <c r="J3247" t="s">
        <v>2069</v>
      </c>
      <c r="K3247" s="17" t="s">
        <v>100</v>
      </c>
      <c r="L3247">
        <v>3</v>
      </c>
    </row>
    <row r="3248" spans="1:12" x14ac:dyDescent="0.25">
      <c r="A3248" t="s">
        <v>7001</v>
      </c>
      <c r="B3248" t="s">
        <v>1154</v>
      </c>
      <c r="C3248" t="s">
        <v>1377</v>
      </c>
      <c r="D3248" t="s">
        <v>9527</v>
      </c>
      <c r="E3248">
        <v>34</v>
      </c>
      <c r="F3248" t="s">
        <v>356</v>
      </c>
      <c r="G3248" t="s">
        <v>69</v>
      </c>
      <c r="H3248" s="2">
        <v>92051</v>
      </c>
      <c r="I3248" s="1" t="d">
        <v>2018-07-29</v>
      </c>
      <c r="J3248" t="s">
        <v>1401</v>
      </c>
      <c r="K3248" s="17" t="s">
        <v>90</v>
      </c>
      <c r="L3248">
        <v>4</v>
      </c>
    </row>
    <row r="3249" spans="1:12" x14ac:dyDescent="0.25">
      <c r="A3249" t="s">
        <v>6264</v>
      </c>
      <c r="B3249" t="s">
        <v>281</v>
      </c>
      <c r="C3249" t="s">
        <v>181</v>
      </c>
      <c r="D3249" t="s">
        <v>9527</v>
      </c>
      <c r="E3249">
        <v>63</v>
      </c>
      <c r="F3249" t="s">
        <v>31</v>
      </c>
      <c r="G3249" t="s">
        <v>191</v>
      </c>
      <c r="H3249">
        <v>37247</v>
      </c>
      <c r="I3249" s="1" t="d">
        <v>2024-04-21</v>
      </c>
      <c r="J3249" t="s">
        <v>3187</v>
      </c>
      <c r="K3249" s="17" t="s">
        <v>207</v>
      </c>
      <c r="L3249">
        <v>3</v>
      </c>
    </row>
    <row r="3250" spans="1:12" x14ac:dyDescent="0.25">
      <c r="A3250" t="s">
        <v>7002</v>
      </c>
      <c r="B3250" t="s">
        <v>709</v>
      </c>
      <c r="C3250" t="s">
        <v>6494</v>
      </c>
      <c r="D3250" t="s">
        <v>23</v>
      </c>
      <c r="E3250">
        <v>65</v>
      </c>
      <c r="F3250" t="s">
        <v>666</v>
      </c>
      <c r="G3250" t="s">
        <v>170</v>
      </c>
      <c r="H3250" t="s">
        <v>7003</v>
      </c>
      <c r="I3250" s="1" t="d">
        <v>2022-11-10</v>
      </c>
      <c r="J3250" t="s">
        <v>3893</v>
      </c>
      <c r="K3250" s="17" t="s">
        <v>90</v>
      </c>
      <c r="L3250">
        <v>4</v>
      </c>
    </row>
    <row r="3251" spans="1:12" x14ac:dyDescent="0.25">
      <c r="A3251" t="s">
        <v>7004</v>
      </c>
      <c r="B3251" t="s">
        <v>228</v>
      </c>
      <c r="C3251" t="s">
        <v>381</v>
      </c>
      <c r="D3251" t="s">
        <v>23</v>
      </c>
      <c r="E3251">
        <v>52</v>
      </c>
      <c r="F3251" t="s">
        <v>576</v>
      </c>
      <c r="G3251" t="s">
        <v>357</v>
      </c>
      <c r="H3251" t="s">
        <v>7005</v>
      </c>
      <c r="I3251" s="1" t="d">
        <v>2012-02-08</v>
      </c>
      <c r="J3251" t="s">
        <v>4158</v>
      </c>
      <c r="K3251" s="17" t="s">
        <v>90</v>
      </c>
      <c r="L3251">
        <v>2</v>
      </c>
    </row>
    <row r="3252" spans="1:12" x14ac:dyDescent="0.25">
      <c r="A3252" t="s">
        <v>7006</v>
      </c>
      <c r="B3252" t="s">
        <v>1769</v>
      </c>
      <c r="C3252" t="s">
        <v>1337</v>
      </c>
      <c r="D3252" t="s">
        <v>9527</v>
      </c>
      <c r="E3252">
        <v>44</v>
      </c>
      <c r="F3252" t="s">
        <v>153</v>
      </c>
      <c r="G3252" t="s">
        <v>351</v>
      </c>
      <c r="I3252" s="1" t="d">
        <v>2009-06-13</v>
      </c>
      <c r="J3252" t="s">
        <v>4316</v>
      </c>
      <c r="K3252" s="17" t="s">
        <v>42</v>
      </c>
      <c r="L3252">
        <v>3</v>
      </c>
    </row>
    <row r="3253" spans="1:12" x14ac:dyDescent="0.25">
      <c r="A3253" t="s">
        <v>7007</v>
      </c>
      <c r="B3253" t="s">
        <v>874</v>
      </c>
      <c r="C3253" t="s">
        <v>145</v>
      </c>
      <c r="D3253" t="s">
        <v>23</v>
      </c>
      <c r="E3253">
        <v>43</v>
      </c>
      <c r="F3253" t="s">
        <v>31</v>
      </c>
      <c r="G3253" t="s">
        <v>842</v>
      </c>
      <c r="H3253" s="2">
        <v>67132</v>
      </c>
      <c r="I3253" s="1" t="d">
        <v>2014-03-02</v>
      </c>
      <c r="J3253" t="s">
        <v>876</v>
      </c>
      <c r="K3253" s="17" t="s">
        <v>207</v>
      </c>
      <c r="L3253">
        <v>4</v>
      </c>
    </row>
    <row r="3254" spans="1:12" x14ac:dyDescent="0.25">
      <c r="A3254" t="s">
        <v>7008</v>
      </c>
      <c r="B3254" t="s">
        <v>7009</v>
      </c>
      <c r="C3254" t="s">
        <v>1248</v>
      </c>
      <c r="D3254" t="s">
        <v>9527</v>
      </c>
      <c r="E3254">
        <v>30</v>
      </c>
      <c r="F3254" t="s">
        <v>1983</v>
      </c>
      <c r="G3254" t="s">
        <v>3409</v>
      </c>
      <c r="H3254" s="2">
        <v>141405</v>
      </c>
      <c r="I3254" s="1" t="d">
        <v>2015-01-08</v>
      </c>
      <c r="J3254" t="s">
        <v>7010</v>
      </c>
      <c r="K3254" s="17" t="s">
        <v>184</v>
      </c>
      <c r="L3254">
        <v>4</v>
      </c>
    </row>
    <row r="3255" spans="1:12" x14ac:dyDescent="0.25">
      <c r="A3255" t="s">
        <v>7011</v>
      </c>
      <c r="B3255" t="s">
        <v>1336</v>
      </c>
      <c r="C3255" t="s">
        <v>291</v>
      </c>
      <c r="D3255" t="s">
        <v>9527</v>
      </c>
      <c r="E3255">
        <v>32</v>
      </c>
      <c r="F3255" t="s">
        <v>81</v>
      </c>
      <c r="G3255" t="s">
        <v>217</v>
      </c>
      <c r="I3255" s="1" t="d">
        <v>2014-05-14</v>
      </c>
      <c r="J3255" t="s">
        <v>5469</v>
      </c>
      <c r="K3255" s="17" t="s">
        <v>34</v>
      </c>
      <c r="L3255">
        <v>3</v>
      </c>
    </row>
    <row r="3256" spans="1:12" x14ac:dyDescent="0.25">
      <c r="A3256" t="s">
        <v>7012</v>
      </c>
      <c r="B3256" t="s">
        <v>162</v>
      </c>
      <c r="C3256" t="s">
        <v>2313</v>
      </c>
      <c r="D3256" t="s">
        <v>9527</v>
      </c>
      <c r="E3256">
        <v>47</v>
      </c>
      <c r="F3256" t="s">
        <v>296</v>
      </c>
      <c r="G3256" t="s">
        <v>25</v>
      </c>
      <c r="H3256">
        <v>105235</v>
      </c>
      <c r="I3256" s="1" t="d">
        <v>2021-04-18</v>
      </c>
      <c r="J3256" t="s">
        <v>3552</v>
      </c>
      <c r="K3256" s="17" t="s">
        <v>370</v>
      </c>
      <c r="L3256">
        <v>3</v>
      </c>
    </row>
    <row r="3257" spans="1:12" x14ac:dyDescent="0.25">
      <c r="A3257" t="s">
        <v>2010</v>
      </c>
      <c r="B3257" t="s">
        <v>1403</v>
      </c>
      <c r="C3257" t="s">
        <v>966</v>
      </c>
      <c r="D3257" t="s">
        <v>23</v>
      </c>
      <c r="E3257">
        <v>44</v>
      </c>
      <c r="F3257" t="s">
        <v>68</v>
      </c>
      <c r="G3257" t="s">
        <v>500</v>
      </c>
      <c r="H3257" s="2">
        <v>93024</v>
      </c>
      <c r="I3257" s="1" t="d">
        <v>2009-04-25</v>
      </c>
      <c r="J3257" t="s">
        <v>2011</v>
      </c>
      <c r="K3257" s="17" t="s">
        <v>118</v>
      </c>
      <c r="L3257">
        <v>3</v>
      </c>
    </row>
    <row r="3258" spans="1:12" x14ac:dyDescent="0.25">
      <c r="A3258" t="s">
        <v>7013</v>
      </c>
      <c r="B3258" t="s">
        <v>804</v>
      </c>
      <c r="C3258" t="s">
        <v>1377</v>
      </c>
      <c r="D3258" t="s">
        <v>46</v>
      </c>
      <c r="E3258">
        <v>41</v>
      </c>
      <c r="F3258" t="s">
        <v>411</v>
      </c>
      <c r="G3258" t="s">
        <v>458</v>
      </c>
      <c r="H3258" s="2">
        <v>59992</v>
      </c>
      <c r="I3258" s="1" t="d">
        <v>2021-12-22</v>
      </c>
      <c r="J3258" t="s">
        <v>2710</v>
      </c>
      <c r="K3258" s="17" t="s">
        <v>184</v>
      </c>
      <c r="L3258">
        <v>3</v>
      </c>
    </row>
    <row r="3259" spans="1:12" x14ac:dyDescent="0.25">
      <c r="A3259" t="s">
        <v>7014</v>
      </c>
      <c r="B3259" t="s">
        <v>548</v>
      </c>
      <c r="C3259" t="s">
        <v>483</v>
      </c>
      <c r="D3259" t="s">
        <v>46</v>
      </c>
      <c r="E3259">
        <v>29</v>
      </c>
      <c r="F3259" t="s">
        <v>422</v>
      </c>
      <c r="G3259" t="s">
        <v>205</v>
      </c>
      <c r="H3259" s="2">
        <v>89617</v>
      </c>
      <c r="J3259" t="s">
        <v>187</v>
      </c>
      <c r="K3259" s="17" t="s">
        <v>42</v>
      </c>
      <c r="L3259">
        <v>4</v>
      </c>
    </row>
    <row r="3260" spans="1:12" x14ac:dyDescent="0.25">
      <c r="A3260" t="s">
        <v>7015</v>
      </c>
      <c r="B3260" t="s">
        <v>1336</v>
      </c>
      <c r="C3260" t="s">
        <v>483</v>
      </c>
      <c r="D3260" t="s">
        <v>46</v>
      </c>
      <c r="E3260">
        <v>31</v>
      </c>
      <c r="F3260" t="s">
        <v>1116</v>
      </c>
      <c r="G3260" t="s">
        <v>231</v>
      </c>
      <c r="I3260" s="1" t="d">
        <v>2005-03-28</v>
      </c>
      <c r="J3260" t="s">
        <v>3404</v>
      </c>
      <c r="K3260" s="17" t="s">
        <v>58</v>
      </c>
      <c r="L3260">
        <v>4</v>
      </c>
    </row>
    <row r="3261" spans="1:12" x14ac:dyDescent="0.25">
      <c r="A3261" t="s">
        <v>7016</v>
      </c>
      <c r="B3261" t="s">
        <v>1043</v>
      </c>
      <c r="C3261" t="s">
        <v>681</v>
      </c>
      <c r="D3261" t="s">
        <v>9527</v>
      </c>
      <c r="E3261">
        <v>43</v>
      </c>
      <c r="G3261" t="s">
        <v>16</v>
      </c>
      <c r="H3261" t="s">
        <v>7017</v>
      </c>
      <c r="I3261" s="1" t="d">
        <v>2021-12-04</v>
      </c>
      <c r="J3261" t="s">
        <v>6041</v>
      </c>
      <c r="K3261" s="17" t="s">
        <v>370</v>
      </c>
      <c r="L3261">
        <v>3</v>
      </c>
    </row>
    <row r="3262" spans="1:12" x14ac:dyDescent="0.25">
      <c r="A3262" t="s">
        <v>7018</v>
      </c>
      <c r="B3262" t="s">
        <v>945</v>
      </c>
      <c r="C3262" t="s">
        <v>2613</v>
      </c>
      <c r="D3262" t="s">
        <v>23</v>
      </c>
      <c r="E3262">
        <v>53</v>
      </c>
      <c r="F3262" t="s">
        <v>356</v>
      </c>
      <c r="G3262" t="s">
        <v>82</v>
      </c>
      <c r="I3262" s="1" t="d">
        <v>2007-02-07</v>
      </c>
      <c r="J3262" t="s">
        <v>424</v>
      </c>
      <c r="K3262" s="17" t="s">
        <v>42</v>
      </c>
      <c r="L3262">
        <v>3</v>
      </c>
    </row>
    <row r="3263" spans="1:12" x14ac:dyDescent="0.25">
      <c r="A3263" t="s">
        <v>7019</v>
      </c>
      <c r="B3263" t="s">
        <v>965</v>
      </c>
      <c r="C3263" t="s">
        <v>966</v>
      </c>
      <c r="D3263" t="s">
        <v>9527</v>
      </c>
      <c r="E3263">
        <v>45</v>
      </c>
      <c r="G3263" t="s">
        <v>48</v>
      </c>
      <c r="I3263" s="1" t="d">
        <v>2013-05-16</v>
      </c>
      <c r="J3263" t="s">
        <v>968</v>
      </c>
      <c r="K3263" s="17" t="s">
        <v>19</v>
      </c>
      <c r="L3263">
        <v>4</v>
      </c>
    </row>
    <row r="3264" spans="1:12" x14ac:dyDescent="0.25">
      <c r="A3264" t="s">
        <v>4852</v>
      </c>
      <c r="B3264" t="s">
        <v>199</v>
      </c>
      <c r="C3264" t="s">
        <v>229</v>
      </c>
      <c r="D3264" t="s">
        <v>46</v>
      </c>
      <c r="E3264">
        <v>39</v>
      </c>
      <c r="F3264" t="s">
        <v>24</v>
      </c>
      <c r="G3264" t="s">
        <v>357</v>
      </c>
      <c r="H3264" t="s">
        <v>7020</v>
      </c>
      <c r="I3264" s="1" t="d">
        <v>2014-07-05</v>
      </c>
      <c r="J3264" t="s">
        <v>2269</v>
      </c>
      <c r="K3264" s="17" t="s">
        <v>71</v>
      </c>
      <c r="L3264">
        <v>4</v>
      </c>
    </row>
    <row r="3265" spans="1:12" x14ac:dyDescent="0.25">
      <c r="A3265" t="s">
        <v>7021</v>
      </c>
      <c r="B3265" t="s">
        <v>248</v>
      </c>
      <c r="C3265" t="s">
        <v>1205</v>
      </c>
      <c r="D3265" t="s">
        <v>9527</v>
      </c>
      <c r="E3265">
        <v>28</v>
      </c>
      <c r="F3265" t="s">
        <v>589</v>
      </c>
      <c r="G3265" t="s">
        <v>217</v>
      </c>
      <c r="H3265">
        <v>88415</v>
      </c>
      <c r="I3265" s="1" t="d">
        <v>2012-08-12</v>
      </c>
      <c r="J3265" t="s">
        <v>292</v>
      </c>
      <c r="K3265" s="17" t="s">
        <v>207</v>
      </c>
      <c r="L3265">
        <v>3</v>
      </c>
    </row>
    <row r="3266" spans="1:12" x14ac:dyDescent="0.25">
      <c r="A3266" t="s">
        <v>7022</v>
      </c>
      <c r="B3266" t="s">
        <v>670</v>
      </c>
      <c r="C3266" t="s">
        <v>181</v>
      </c>
      <c r="D3266" t="s">
        <v>9527</v>
      </c>
      <c r="E3266">
        <v>35</v>
      </c>
      <c r="F3266" t="s">
        <v>196</v>
      </c>
      <c r="G3266" t="s">
        <v>351</v>
      </c>
      <c r="H3266">
        <v>35003</v>
      </c>
      <c r="I3266" s="1" t="d">
        <v>2022-01-25</v>
      </c>
      <c r="J3266" t="s">
        <v>7023</v>
      </c>
      <c r="K3266" s="17" t="s">
        <v>42</v>
      </c>
      <c r="L3266">
        <v>3</v>
      </c>
    </row>
    <row r="3267" spans="1:12" x14ac:dyDescent="0.25">
      <c r="A3267" t="s">
        <v>7024</v>
      </c>
      <c r="B3267" t="s">
        <v>1374</v>
      </c>
      <c r="C3267" t="s">
        <v>567</v>
      </c>
      <c r="D3267" t="s">
        <v>9527</v>
      </c>
      <c r="E3267">
        <v>39</v>
      </c>
      <c r="F3267" t="s">
        <v>1116</v>
      </c>
      <c r="G3267" t="s">
        <v>63</v>
      </c>
      <c r="H3267">
        <v>171152</v>
      </c>
      <c r="I3267" s="1" t="d">
        <v>2005-07-06</v>
      </c>
      <c r="J3267" t="s">
        <v>2273</v>
      </c>
      <c r="K3267" s="17" t="s">
        <v>50</v>
      </c>
      <c r="L3267">
        <v>3</v>
      </c>
    </row>
    <row r="3268" spans="1:12" x14ac:dyDescent="0.25">
      <c r="A3268" t="s">
        <v>7025</v>
      </c>
      <c r="B3268" t="s">
        <v>2252</v>
      </c>
      <c r="C3268" t="s">
        <v>2023</v>
      </c>
      <c r="D3268" t="s">
        <v>9527</v>
      </c>
      <c r="E3268">
        <v>31</v>
      </c>
      <c r="F3268" t="s">
        <v>31</v>
      </c>
      <c r="G3268" t="s">
        <v>1199</v>
      </c>
      <c r="I3268" s="1" t="d">
        <v>2022-10-15</v>
      </c>
      <c r="J3268" t="s">
        <v>6317</v>
      </c>
      <c r="K3268" s="17" t="s">
        <v>27</v>
      </c>
      <c r="L3268">
        <v>3</v>
      </c>
    </row>
    <row r="3269" spans="1:12" x14ac:dyDescent="0.25">
      <c r="A3269" t="s">
        <v>7026</v>
      </c>
      <c r="B3269" t="s">
        <v>659</v>
      </c>
      <c r="C3269" t="s">
        <v>555</v>
      </c>
      <c r="D3269" t="s">
        <v>23</v>
      </c>
      <c r="E3269">
        <v>58</v>
      </c>
      <c r="F3269" t="s">
        <v>422</v>
      </c>
      <c r="G3269" t="s">
        <v>39</v>
      </c>
      <c r="H3269" t="s">
        <v>7027</v>
      </c>
      <c r="I3269" s="1" t="d">
        <v>2013-02-25</v>
      </c>
      <c r="J3269" t="s">
        <v>3777</v>
      </c>
      <c r="K3269" s="17" t="s">
        <v>19</v>
      </c>
      <c r="L3269">
        <v>2</v>
      </c>
    </row>
    <row r="3270" spans="1:12" x14ac:dyDescent="0.25">
      <c r="A3270" t="s">
        <v>7028</v>
      </c>
      <c r="B3270" t="s">
        <v>664</v>
      </c>
      <c r="C3270" t="s">
        <v>189</v>
      </c>
      <c r="D3270" t="s">
        <v>23</v>
      </c>
      <c r="E3270">
        <v>35</v>
      </c>
      <c r="G3270" t="s">
        <v>1285</v>
      </c>
      <c r="H3270" t="s">
        <v>7029</v>
      </c>
      <c r="I3270" s="1" t="d">
        <v>2015-11-29</v>
      </c>
      <c r="J3270" t="s">
        <v>2405</v>
      </c>
      <c r="K3270" s="17" t="s">
        <v>50</v>
      </c>
      <c r="L3270">
        <v>5</v>
      </c>
    </row>
    <row r="3271" spans="1:12" x14ac:dyDescent="0.25">
      <c r="A3271" t="s">
        <v>7030</v>
      </c>
      <c r="B3271" t="s">
        <v>151</v>
      </c>
      <c r="C3271" t="s">
        <v>5781</v>
      </c>
      <c r="D3271" t="s">
        <v>9527</v>
      </c>
      <c r="E3271">
        <v>49</v>
      </c>
      <c r="F3271" t="s">
        <v>253</v>
      </c>
      <c r="G3271" t="s">
        <v>6672</v>
      </c>
      <c r="I3271" s="1" t="d">
        <v>2017-04-18</v>
      </c>
      <c r="J3271" t="s">
        <v>2946</v>
      </c>
      <c r="K3271" s="17" t="s">
        <v>118</v>
      </c>
      <c r="L3271">
        <v>4</v>
      </c>
    </row>
    <row r="3272" spans="1:12" x14ac:dyDescent="0.25">
      <c r="A3272" t="s">
        <v>7031</v>
      </c>
      <c r="B3272" t="s">
        <v>73</v>
      </c>
      <c r="C3272" t="s">
        <v>1356</v>
      </c>
      <c r="D3272" t="s">
        <v>23</v>
      </c>
      <c r="E3272">
        <v>22</v>
      </c>
      <c r="F3272" t="s">
        <v>350</v>
      </c>
      <c r="G3272" t="s">
        <v>39</v>
      </c>
      <c r="H3272" t="s">
        <v>7032</v>
      </c>
      <c r="I3272" s="1" t="d">
        <v>2008-11-24</v>
      </c>
      <c r="J3272" t="s">
        <v>4652</v>
      </c>
      <c r="K3272" s="17" t="s">
        <v>27</v>
      </c>
      <c r="L3272">
        <v>3</v>
      </c>
    </row>
    <row r="3273" spans="1:12" x14ac:dyDescent="0.25">
      <c r="A3273" t="s">
        <v>7033</v>
      </c>
      <c r="B3273" t="s">
        <v>2350</v>
      </c>
      <c r="C3273" t="s">
        <v>252</v>
      </c>
      <c r="D3273" t="s">
        <v>46</v>
      </c>
      <c r="E3273">
        <v>29</v>
      </c>
      <c r="F3273" t="s">
        <v>153</v>
      </c>
      <c r="G3273" t="s">
        <v>39</v>
      </c>
      <c r="H3273">
        <v>66849</v>
      </c>
      <c r="I3273" s="1" t="d">
        <v>2010-06-11</v>
      </c>
      <c r="J3273" t="s">
        <v>2546</v>
      </c>
      <c r="K3273" s="17" t="s">
        <v>58</v>
      </c>
      <c r="L3273">
        <v>3</v>
      </c>
    </row>
    <row r="3274" spans="1:12" x14ac:dyDescent="0.25">
      <c r="A3274" t="s">
        <v>7034</v>
      </c>
      <c r="B3274" t="s">
        <v>563</v>
      </c>
      <c r="C3274" t="s">
        <v>158</v>
      </c>
      <c r="D3274" t="s">
        <v>23</v>
      </c>
      <c r="E3274">
        <v>38</v>
      </c>
      <c r="F3274" t="s">
        <v>31</v>
      </c>
      <c r="G3274" t="s">
        <v>115</v>
      </c>
      <c r="I3274" s="1" t="d">
        <v>2017-11-05</v>
      </c>
      <c r="J3274" t="s">
        <v>7035</v>
      </c>
      <c r="K3274" s="17" t="s">
        <v>27</v>
      </c>
      <c r="L3274">
        <v>2</v>
      </c>
    </row>
    <row r="3275" spans="1:12" x14ac:dyDescent="0.25">
      <c r="A3275" t="s">
        <v>7036</v>
      </c>
      <c r="B3275" t="s">
        <v>340</v>
      </c>
      <c r="C3275" t="s">
        <v>2465</v>
      </c>
      <c r="D3275" t="s">
        <v>46</v>
      </c>
      <c r="E3275">
        <v>28</v>
      </c>
      <c r="F3275" t="s">
        <v>126</v>
      </c>
      <c r="G3275" t="s">
        <v>191</v>
      </c>
      <c r="H3275" s="2">
        <v>68211</v>
      </c>
      <c r="I3275" s="1" t="d">
        <v>2022-10-29</v>
      </c>
      <c r="J3275" t="s">
        <v>3840</v>
      </c>
      <c r="K3275" s="17" t="s">
        <v>34</v>
      </c>
      <c r="L3275">
        <v>3</v>
      </c>
    </row>
    <row r="3276" spans="1:12" x14ac:dyDescent="0.25">
      <c r="A3276" t="s">
        <v>7037</v>
      </c>
      <c r="B3276" t="s">
        <v>7038</v>
      </c>
      <c r="C3276" t="s">
        <v>2023</v>
      </c>
      <c r="D3276" t="s">
        <v>23</v>
      </c>
      <c r="E3276">
        <v>37</v>
      </c>
      <c r="F3276" t="s">
        <v>350</v>
      </c>
      <c r="G3276" t="s">
        <v>337</v>
      </c>
      <c r="H3276" t="s">
        <v>7039</v>
      </c>
      <c r="I3276" s="1" t="d">
        <v>2014-02-27</v>
      </c>
      <c r="J3276" t="s">
        <v>2910</v>
      </c>
      <c r="K3276" s="17" t="s">
        <v>370</v>
      </c>
      <c r="L3276">
        <v>3</v>
      </c>
    </row>
    <row r="3277" spans="1:12" x14ac:dyDescent="0.25">
      <c r="A3277" t="s">
        <v>7040</v>
      </c>
      <c r="B3277" t="s">
        <v>718</v>
      </c>
      <c r="C3277" t="s">
        <v>827</v>
      </c>
      <c r="D3277" t="s">
        <v>46</v>
      </c>
      <c r="E3277">
        <v>43</v>
      </c>
      <c r="F3277" t="s">
        <v>108</v>
      </c>
      <c r="G3277" t="s">
        <v>177</v>
      </c>
      <c r="H3277" t="s">
        <v>7041</v>
      </c>
      <c r="I3277" s="1" t="d">
        <v>2020-10-07</v>
      </c>
      <c r="J3277" t="s">
        <v>2256</v>
      </c>
      <c r="K3277" s="17" t="s">
        <v>207</v>
      </c>
      <c r="L3277">
        <v>4</v>
      </c>
    </row>
    <row r="3278" spans="1:12" x14ac:dyDescent="0.25">
      <c r="A3278" t="s">
        <v>7042</v>
      </c>
      <c r="B3278" t="s">
        <v>895</v>
      </c>
      <c r="C3278" t="s">
        <v>158</v>
      </c>
      <c r="D3278" t="s">
        <v>46</v>
      </c>
      <c r="E3278">
        <v>34</v>
      </c>
      <c r="F3278" t="s">
        <v>7043</v>
      </c>
      <c r="G3278" t="s">
        <v>69</v>
      </c>
      <c r="H3278">
        <v>68494</v>
      </c>
      <c r="I3278" s="1" t="d">
        <v>2014-03-15</v>
      </c>
      <c r="J3278" t="s">
        <v>1588</v>
      </c>
      <c r="K3278" s="17" t="s">
        <v>71</v>
      </c>
      <c r="L3278">
        <v>1</v>
      </c>
    </row>
    <row r="3279" spans="1:12" x14ac:dyDescent="0.25">
      <c r="A3279" t="s">
        <v>7044</v>
      </c>
      <c r="B3279" t="s">
        <v>670</v>
      </c>
      <c r="C3279" t="s">
        <v>1517</v>
      </c>
      <c r="D3279" t="s">
        <v>46</v>
      </c>
      <c r="E3279">
        <v>45</v>
      </c>
      <c r="F3279" t="s">
        <v>15</v>
      </c>
      <c r="G3279" t="s">
        <v>205</v>
      </c>
      <c r="H3279" t="s">
        <v>7045</v>
      </c>
      <c r="I3279" s="1" t="d">
        <v>2016-11-24</v>
      </c>
      <c r="J3279" t="s">
        <v>2489</v>
      </c>
      <c r="K3279" s="17" t="s">
        <v>34</v>
      </c>
      <c r="L3279">
        <v>4</v>
      </c>
    </row>
    <row r="3280" spans="1:12" x14ac:dyDescent="0.25">
      <c r="A3280" t="s">
        <v>7046</v>
      </c>
      <c r="B3280" t="s">
        <v>594</v>
      </c>
      <c r="C3280" t="s">
        <v>30</v>
      </c>
      <c r="D3280" t="s">
        <v>23</v>
      </c>
      <c r="E3280">
        <v>44</v>
      </c>
      <c r="F3280" t="s">
        <v>258</v>
      </c>
      <c r="G3280" t="s">
        <v>39</v>
      </c>
      <c r="H3280" s="2">
        <v>48170</v>
      </c>
      <c r="I3280" s="1" t="d">
        <v>2008-01-02</v>
      </c>
      <c r="J3280" t="s">
        <v>5594</v>
      </c>
      <c r="K3280" s="17" t="s">
        <v>34</v>
      </c>
      <c r="L3280">
        <v>2</v>
      </c>
    </row>
    <row r="3281" spans="1:12" x14ac:dyDescent="0.25">
      <c r="A3281" t="s">
        <v>7047</v>
      </c>
      <c r="B3281" t="s">
        <v>180</v>
      </c>
      <c r="C3281" t="s">
        <v>1030</v>
      </c>
      <c r="D3281" t="s">
        <v>9527</v>
      </c>
      <c r="E3281">
        <v>29</v>
      </c>
      <c r="F3281" t="s">
        <v>971</v>
      </c>
      <c r="G3281" t="s">
        <v>115</v>
      </c>
      <c r="H3281" t="s">
        <v>7048</v>
      </c>
      <c r="I3281" s="1" t="d">
        <v>2010-03-07</v>
      </c>
      <c r="J3281" t="s">
        <v>2784</v>
      </c>
      <c r="K3281" s="17" t="s">
        <v>90</v>
      </c>
      <c r="L3281">
        <v>3</v>
      </c>
    </row>
    <row r="3282" spans="1:12" x14ac:dyDescent="0.25">
      <c r="A3282" t="s">
        <v>7049</v>
      </c>
      <c r="B3282" t="s">
        <v>1124</v>
      </c>
      <c r="C3282" t="s">
        <v>1538</v>
      </c>
      <c r="D3282" t="s">
        <v>23</v>
      </c>
      <c r="E3282">
        <v>28</v>
      </c>
      <c r="F3282" t="s">
        <v>373</v>
      </c>
      <c r="G3282" t="s">
        <v>177</v>
      </c>
      <c r="H3282" s="2">
        <v>65640</v>
      </c>
      <c r="I3282" s="1" t="d">
        <v>2013-06-23</v>
      </c>
      <c r="J3282" t="s">
        <v>7050</v>
      </c>
      <c r="K3282" s="17" t="s">
        <v>207</v>
      </c>
      <c r="L3282">
        <v>1</v>
      </c>
    </row>
    <row r="3283" spans="1:12" x14ac:dyDescent="0.25">
      <c r="A3283" t="s">
        <v>7051</v>
      </c>
      <c r="B3283" t="s">
        <v>174</v>
      </c>
      <c r="C3283" t="s">
        <v>2249</v>
      </c>
      <c r="D3283" t="s">
        <v>9527</v>
      </c>
      <c r="E3283">
        <v>44</v>
      </c>
      <c r="F3283" t="s">
        <v>24</v>
      </c>
      <c r="G3283" t="s">
        <v>127</v>
      </c>
      <c r="H3283" s="2">
        <v>99996</v>
      </c>
      <c r="I3283" s="1" t="d">
        <v>2021-05-26</v>
      </c>
      <c r="J3283" t="s">
        <v>2338</v>
      </c>
      <c r="K3283" s="17" t="s">
        <v>34</v>
      </c>
      <c r="L3283">
        <v>4</v>
      </c>
    </row>
    <row r="3284" spans="1:12" x14ac:dyDescent="0.25">
      <c r="A3284" t="s">
        <v>7052</v>
      </c>
      <c r="B3284" t="s">
        <v>1374</v>
      </c>
      <c r="C3284" t="s">
        <v>858</v>
      </c>
      <c r="D3284" t="s">
        <v>46</v>
      </c>
      <c r="E3284">
        <v>38</v>
      </c>
      <c r="F3284" t="s">
        <v>522</v>
      </c>
      <c r="G3284" t="s">
        <v>82</v>
      </c>
      <c r="H3284" t="s">
        <v>7053</v>
      </c>
      <c r="I3284" s="1" t="d">
        <v>2013-07-16</v>
      </c>
      <c r="J3284" t="s">
        <v>132</v>
      </c>
      <c r="K3284" s="17" t="s">
        <v>42</v>
      </c>
      <c r="L3284">
        <v>5</v>
      </c>
    </row>
    <row r="3285" spans="1:12" x14ac:dyDescent="0.25">
      <c r="A3285" t="s">
        <v>7054</v>
      </c>
      <c r="B3285" t="s">
        <v>294</v>
      </c>
      <c r="C3285" t="s">
        <v>215</v>
      </c>
      <c r="D3285" t="s">
        <v>23</v>
      </c>
      <c r="E3285">
        <v>30</v>
      </c>
      <c r="F3285" t="s">
        <v>153</v>
      </c>
      <c r="G3285" t="s">
        <v>48</v>
      </c>
      <c r="H3285" s="2">
        <v>74053</v>
      </c>
      <c r="J3285" t="s">
        <v>3992</v>
      </c>
      <c r="K3285" s="17" t="s">
        <v>184</v>
      </c>
      <c r="L3285">
        <v>3</v>
      </c>
    </row>
    <row r="3286" spans="1:12" x14ac:dyDescent="0.25">
      <c r="A3286" t="s">
        <v>7055</v>
      </c>
      <c r="B3286" t="s">
        <v>29</v>
      </c>
      <c r="C3286" t="s">
        <v>483</v>
      </c>
      <c r="D3286" t="s">
        <v>9527</v>
      </c>
      <c r="E3286">
        <v>53</v>
      </c>
      <c r="F3286" t="s">
        <v>24</v>
      </c>
      <c r="G3286" t="s">
        <v>205</v>
      </c>
      <c r="I3286" s="1" t="d">
        <v>2006-05-18</v>
      </c>
      <c r="J3286" t="s">
        <v>486</v>
      </c>
      <c r="K3286" s="17" t="s">
        <v>118</v>
      </c>
      <c r="L3286">
        <v>4</v>
      </c>
    </row>
    <row r="3287" spans="1:12" x14ac:dyDescent="0.25">
      <c r="A3287" t="s">
        <v>7056</v>
      </c>
      <c r="B3287" t="s">
        <v>1002</v>
      </c>
      <c r="C3287" t="s">
        <v>2313</v>
      </c>
      <c r="D3287" t="s">
        <v>9527</v>
      </c>
      <c r="E3287">
        <v>38</v>
      </c>
      <c r="F3287" t="s">
        <v>1116</v>
      </c>
      <c r="G3287" t="s">
        <v>170</v>
      </c>
      <c r="H3287" t="s">
        <v>7057</v>
      </c>
      <c r="I3287" s="1" t="d">
        <v>2014-02-13</v>
      </c>
      <c r="J3287" t="s">
        <v>2314</v>
      </c>
      <c r="K3287" s="17" t="s">
        <v>184</v>
      </c>
      <c r="L3287">
        <v>5</v>
      </c>
    </row>
    <row r="3288" spans="1:12" x14ac:dyDescent="0.25">
      <c r="A3288" t="s">
        <v>7058</v>
      </c>
      <c r="B3288" t="s">
        <v>151</v>
      </c>
      <c r="C3288" t="s">
        <v>763</v>
      </c>
      <c r="D3288" t="s">
        <v>23</v>
      </c>
      <c r="E3288">
        <v>42</v>
      </c>
      <c r="F3288" t="s">
        <v>253</v>
      </c>
      <c r="G3288" t="s">
        <v>25</v>
      </c>
      <c r="H3288">
        <v>84875</v>
      </c>
      <c r="I3288" s="1" t="d">
        <v>2024-08-30</v>
      </c>
      <c r="J3288" t="s">
        <v>155</v>
      </c>
      <c r="K3288" s="17" t="s">
        <v>42</v>
      </c>
      <c r="L3288">
        <v>2</v>
      </c>
    </row>
    <row r="3289" spans="1:12" x14ac:dyDescent="0.25">
      <c r="A3289" t="s">
        <v>7059</v>
      </c>
      <c r="B3289" t="s">
        <v>1124</v>
      </c>
      <c r="C3289" t="s">
        <v>14</v>
      </c>
      <c r="D3289" t="s">
        <v>23</v>
      </c>
      <c r="E3289">
        <v>42</v>
      </c>
      <c r="F3289" t="s">
        <v>245</v>
      </c>
      <c r="G3289" t="s">
        <v>16</v>
      </c>
      <c r="H3289" t="s">
        <v>7060</v>
      </c>
      <c r="I3289" s="1" t="d">
        <v>2009-11-16</v>
      </c>
      <c r="J3289" t="s">
        <v>6730</v>
      </c>
      <c r="K3289" s="17" t="s">
        <v>50</v>
      </c>
      <c r="L3289">
        <v>4</v>
      </c>
    </row>
    <row r="3290" spans="1:12" x14ac:dyDescent="0.25">
      <c r="A3290" t="s">
        <v>7061</v>
      </c>
      <c r="B3290" t="s">
        <v>3852</v>
      </c>
      <c r="C3290" t="s">
        <v>61</v>
      </c>
      <c r="D3290" t="s">
        <v>46</v>
      </c>
      <c r="E3290">
        <v>29</v>
      </c>
      <c r="G3290" t="s">
        <v>127</v>
      </c>
      <c r="H3290" t="s">
        <v>7062</v>
      </c>
      <c r="I3290" s="1" t="d">
        <v>2024-03-04</v>
      </c>
      <c r="J3290" t="s">
        <v>5320</v>
      </c>
      <c r="K3290" s="17" t="s">
        <v>34</v>
      </c>
      <c r="L3290">
        <v>5</v>
      </c>
    </row>
    <row r="3291" spans="1:12" x14ac:dyDescent="0.25">
      <c r="A3291" t="s">
        <v>6694</v>
      </c>
      <c r="B3291" t="s">
        <v>162</v>
      </c>
      <c r="C3291" t="s">
        <v>1205</v>
      </c>
      <c r="D3291" t="s">
        <v>46</v>
      </c>
      <c r="E3291">
        <v>39</v>
      </c>
      <c r="F3291" t="s">
        <v>589</v>
      </c>
      <c r="G3291" t="s">
        <v>177</v>
      </c>
      <c r="H3291">
        <v>46465</v>
      </c>
      <c r="I3291" s="1" t="d">
        <v>2012-08-15</v>
      </c>
      <c r="J3291" t="s">
        <v>2476</v>
      </c>
      <c r="K3291" s="17" t="s">
        <v>27</v>
      </c>
      <c r="L3291">
        <v>4</v>
      </c>
    </row>
    <row r="3292" spans="1:12" x14ac:dyDescent="0.25">
      <c r="A3292" t="s">
        <v>7063</v>
      </c>
      <c r="B3292" t="s">
        <v>199</v>
      </c>
      <c r="C3292" t="s">
        <v>318</v>
      </c>
      <c r="D3292" t="s">
        <v>23</v>
      </c>
      <c r="E3292">
        <v>57</v>
      </c>
      <c r="F3292" t="s">
        <v>373</v>
      </c>
      <c r="G3292" t="s">
        <v>39</v>
      </c>
      <c r="H3292" t="s">
        <v>7064</v>
      </c>
      <c r="I3292" s="1" t="d">
        <v>2016-08-07</v>
      </c>
      <c r="J3292" t="s">
        <v>265</v>
      </c>
      <c r="K3292" s="17" t="s">
        <v>184</v>
      </c>
      <c r="L3292">
        <v>3</v>
      </c>
    </row>
    <row r="3293" spans="1:12" x14ac:dyDescent="0.25">
      <c r="A3293" t="s">
        <v>3985</v>
      </c>
      <c r="B3293" t="s">
        <v>718</v>
      </c>
      <c r="C3293" t="s">
        <v>631</v>
      </c>
      <c r="D3293" t="s">
        <v>9527</v>
      </c>
      <c r="E3293">
        <v>29</v>
      </c>
      <c r="F3293" t="s">
        <v>2004</v>
      </c>
      <c r="G3293" t="s">
        <v>351</v>
      </c>
      <c r="H3293" s="2">
        <v>38662</v>
      </c>
      <c r="I3293" s="1" t="d">
        <v>2005-07-23</v>
      </c>
      <c r="J3293" t="s">
        <v>1915</v>
      </c>
      <c r="K3293" s="17" t="s">
        <v>90</v>
      </c>
      <c r="L3293">
        <v>4</v>
      </c>
    </row>
    <row r="3294" spans="1:12" x14ac:dyDescent="0.25">
      <c r="A3294" t="s">
        <v>7065</v>
      </c>
      <c r="B3294" t="s">
        <v>630</v>
      </c>
      <c r="C3294" t="s">
        <v>1520</v>
      </c>
      <c r="D3294" t="s">
        <v>9527</v>
      </c>
      <c r="E3294">
        <v>22</v>
      </c>
      <c r="F3294" t="s">
        <v>126</v>
      </c>
      <c r="G3294" t="s">
        <v>88</v>
      </c>
      <c r="H3294" s="2">
        <v>80928</v>
      </c>
      <c r="I3294" s="1" t="d">
        <v>2016-01-01</v>
      </c>
      <c r="J3294" t="s">
        <v>6607</v>
      </c>
      <c r="K3294" s="17" t="s">
        <v>27</v>
      </c>
      <c r="L3294">
        <v>3</v>
      </c>
    </row>
    <row r="3295" spans="1:12" x14ac:dyDescent="0.25">
      <c r="A3295" t="s">
        <v>7066</v>
      </c>
      <c r="B3295" t="s">
        <v>433</v>
      </c>
      <c r="C3295" t="s">
        <v>858</v>
      </c>
      <c r="D3295" t="s">
        <v>9527</v>
      </c>
      <c r="E3295">
        <v>35</v>
      </c>
      <c r="F3295" t="s">
        <v>104</v>
      </c>
      <c r="G3295" t="s">
        <v>88</v>
      </c>
      <c r="H3295" s="2">
        <v>60938</v>
      </c>
      <c r="I3295" s="1" t="d">
        <v>2023-06-26</v>
      </c>
      <c r="J3295" t="s">
        <v>6962</v>
      </c>
      <c r="K3295" s="17" t="s">
        <v>71</v>
      </c>
      <c r="L3295">
        <v>5</v>
      </c>
    </row>
    <row r="3296" spans="1:12" x14ac:dyDescent="0.25">
      <c r="A3296" t="s">
        <v>7067</v>
      </c>
      <c r="B3296" t="s">
        <v>3832</v>
      </c>
      <c r="C3296" t="s">
        <v>53</v>
      </c>
      <c r="D3296" t="s">
        <v>9527</v>
      </c>
      <c r="E3296">
        <v>35</v>
      </c>
      <c r="F3296" t="s">
        <v>509</v>
      </c>
      <c r="G3296" t="s">
        <v>82</v>
      </c>
      <c r="I3296" s="1" t="d">
        <v>2009-05-14</v>
      </c>
      <c r="J3296" t="s">
        <v>639</v>
      </c>
      <c r="K3296" s="17" t="s">
        <v>370</v>
      </c>
      <c r="L3296">
        <v>4</v>
      </c>
    </row>
    <row r="3297" spans="1:12" x14ac:dyDescent="0.25">
      <c r="A3297" t="s">
        <v>7068</v>
      </c>
      <c r="B3297" t="s">
        <v>931</v>
      </c>
      <c r="C3297" t="s">
        <v>1622</v>
      </c>
      <c r="D3297" t="s">
        <v>46</v>
      </c>
      <c r="E3297">
        <v>39</v>
      </c>
      <c r="F3297" t="s">
        <v>576</v>
      </c>
      <c r="G3297" t="s">
        <v>1121</v>
      </c>
      <c r="H3297">
        <v>219593</v>
      </c>
      <c r="I3297" s="1" t="d">
        <v>2018-09-28</v>
      </c>
      <c r="J3297" t="s">
        <v>4847</v>
      </c>
      <c r="K3297" s="17" t="s">
        <v>149</v>
      </c>
      <c r="L3297">
        <v>4</v>
      </c>
    </row>
    <row r="3298" spans="1:12" x14ac:dyDescent="0.25">
      <c r="A3298" t="s">
        <v>7069</v>
      </c>
      <c r="B3298" t="s">
        <v>566</v>
      </c>
      <c r="C3298" t="s">
        <v>5295</v>
      </c>
      <c r="D3298" t="s">
        <v>23</v>
      </c>
      <c r="E3298">
        <v>44</v>
      </c>
      <c r="F3298" t="s">
        <v>589</v>
      </c>
      <c r="G3298" t="s">
        <v>504</v>
      </c>
      <c r="H3298">
        <v>54328</v>
      </c>
      <c r="I3298" s="1" t="d">
        <v>2014-05-07</v>
      </c>
      <c r="J3298" t="s">
        <v>678</v>
      </c>
      <c r="K3298" s="17" t="s">
        <v>90</v>
      </c>
      <c r="L3298">
        <v>3</v>
      </c>
    </row>
    <row r="3299" spans="1:12" x14ac:dyDescent="0.25">
      <c r="A3299" t="s">
        <v>7070</v>
      </c>
      <c r="B3299" t="s">
        <v>709</v>
      </c>
      <c r="C3299" t="s">
        <v>7071</v>
      </c>
      <c r="D3299" t="s">
        <v>9527</v>
      </c>
      <c r="E3299">
        <v>58</v>
      </c>
      <c r="F3299" t="s">
        <v>253</v>
      </c>
      <c r="G3299" t="s">
        <v>357</v>
      </c>
      <c r="H3299">
        <v>72789</v>
      </c>
      <c r="I3299" s="1" t="d">
        <v>2021-03-29</v>
      </c>
      <c r="J3299" t="s">
        <v>2011</v>
      </c>
      <c r="K3299" s="17" t="s">
        <v>71</v>
      </c>
      <c r="L3299">
        <v>4</v>
      </c>
    </row>
    <row r="3300" spans="1:12" x14ac:dyDescent="0.25">
      <c r="A3300" t="s">
        <v>7072</v>
      </c>
      <c r="B3300" t="s">
        <v>728</v>
      </c>
      <c r="C3300" t="s">
        <v>210</v>
      </c>
      <c r="D3300" t="s">
        <v>9527</v>
      </c>
      <c r="E3300">
        <v>21</v>
      </c>
      <c r="F3300" t="s">
        <v>559</v>
      </c>
      <c r="G3300" t="s">
        <v>69</v>
      </c>
      <c r="H3300" t="s">
        <v>7073</v>
      </c>
      <c r="I3300" s="1" t="d">
        <v>2016-01-12</v>
      </c>
      <c r="J3300" t="s">
        <v>7074</v>
      </c>
      <c r="K3300" s="17" t="s">
        <v>207</v>
      </c>
      <c r="L3300">
        <v>4</v>
      </c>
    </row>
    <row r="3301" spans="1:12" x14ac:dyDescent="0.25">
      <c r="A3301" t="s">
        <v>7075</v>
      </c>
      <c r="B3301" t="s">
        <v>167</v>
      </c>
      <c r="C3301" t="s">
        <v>244</v>
      </c>
      <c r="D3301" t="s">
        <v>9527</v>
      </c>
      <c r="E3301">
        <v>43</v>
      </c>
      <c r="F3301" t="s">
        <v>216</v>
      </c>
      <c r="G3301" t="s">
        <v>217</v>
      </c>
      <c r="H3301" s="2">
        <v>89526</v>
      </c>
      <c r="I3301" s="1" t="d">
        <v>2017-10-19</v>
      </c>
      <c r="J3301" t="s">
        <v>986</v>
      </c>
      <c r="K3301" s="17" t="s">
        <v>100</v>
      </c>
      <c r="L3301">
        <v>4</v>
      </c>
    </row>
    <row r="3302" spans="1:12" x14ac:dyDescent="0.25">
      <c r="A3302" t="s">
        <v>7076</v>
      </c>
      <c r="B3302" t="s">
        <v>993</v>
      </c>
      <c r="C3302" t="s">
        <v>631</v>
      </c>
      <c r="D3302" t="s">
        <v>46</v>
      </c>
      <c r="E3302">
        <v>32</v>
      </c>
      <c r="F3302" t="s">
        <v>859</v>
      </c>
      <c r="G3302" t="s">
        <v>69</v>
      </c>
      <c r="H3302" t="s">
        <v>7077</v>
      </c>
      <c r="I3302" s="1" t="d">
        <v>2007-07-17</v>
      </c>
      <c r="J3302" t="s">
        <v>3305</v>
      </c>
      <c r="K3302" s="17" t="s">
        <v>370</v>
      </c>
      <c r="L3302">
        <v>5</v>
      </c>
    </row>
    <row r="3303" spans="1:12" x14ac:dyDescent="0.25">
      <c r="A3303" t="s">
        <v>4725</v>
      </c>
      <c r="B3303" t="s">
        <v>1403</v>
      </c>
      <c r="C3303" t="s">
        <v>263</v>
      </c>
      <c r="D3303" t="s">
        <v>46</v>
      </c>
      <c r="E3303">
        <v>42</v>
      </c>
      <c r="F3303" t="s">
        <v>3085</v>
      </c>
      <c r="G3303" t="s">
        <v>278</v>
      </c>
      <c r="H3303" t="s">
        <v>4726</v>
      </c>
      <c r="I3303" s="1" t="d">
        <v>2008-11-20</v>
      </c>
      <c r="J3303" t="s">
        <v>3893</v>
      </c>
      <c r="K3303" s="17" t="s">
        <v>90</v>
      </c>
      <c r="L3303">
        <v>3</v>
      </c>
    </row>
    <row r="3304" spans="1:12" x14ac:dyDescent="0.25">
      <c r="A3304" t="s">
        <v>7078</v>
      </c>
      <c r="B3304" t="s">
        <v>4274</v>
      </c>
      <c r="C3304" t="s">
        <v>7079</v>
      </c>
      <c r="D3304" t="s">
        <v>46</v>
      </c>
      <c r="E3304">
        <v>53</v>
      </c>
      <c r="F3304" t="s">
        <v>859</v>
      </c>
      <c r="G3304" t="s">
        <v>351</v>
      </c>
      <c r="I3304" s="1" t="d">
        <v>2005-11-05</v>
      </c>
      <c r="J3304" t="s">
        <v>7080</v>
      </c>
      <c r="K3304" s="17" t="s">
        <v>118</v>
      </c>
      <c r="L3304">
        <v>3</v>
      </c>
    </row>
    <row r="3305" spans="1:12" x14ac:dyDescent="0.25">
      <c r="A3305" t="s">
        <v>7081</v>
      </c>
      <c r="B3305" t="s">
        <v>1422</v>
      </c>
      <c r="C3305" t="s">
        <v>7082</v>
      </c>
      <c r="D3305" t="s">
        <v>9527</v>
      </c>
      <c r="E3305">
        <v>26</v>
      </c>
      <c r="F3305" t="s">
        <v>264</v>
      </c>
      <c r="G3305" t="s">
        <v>170</v>
      </c>
      <c r="H3305" t="s">
        <v>7083</v>
      </c>
      <c r="I3305" s="1" t="d">
        <v>2020-04-27</v>
      </c>
      <c r="J3305" t="s">
        <v>1661</v>
      </c>
      <c r="K3305" s="17" t="s">
        <v>207</v>
      </c>
      <c r="L3305">
        <v>4</v>
      </c>
    </row>
    <row r="3306" spans="1:12" x14ac:dyDescent="0.25">
      <c r="A3306" t="s">
        <v>7084</v>
      </c>
      <c r="B3306" t="s">
        <v>563</v>
      </c>
      <c r="C3306" t="s">
        <v>45</v>
      </c>
      <c r="D3306" t="s">
        <v>9527</v>
      </c>
      <c r="E3306">
        <v>50</v>
      </c>
      <c r="F3306" t="s">
        <v>645</v>
      </c>
      <c r="G3306" t="s">
        <v>115</v>
      </c>
      <c r="I3306" s="1" t="d">
        <v>2013-03-10</v>
      </c>
      <c r="J3306" t="s">
        <v>1562</v>
      </c>
      <c r="K3306" s="17" t="s">
        <v>370</v>
      </c>
      <c r="L3306">
        <v>4</v>
      </c>
    </row>
    <row r="3307" spans="1:12" x14ac:dyDescent="0.25">
      <c r="A3307" t="s">
        <v>5979</v>
      </c>
      <c r="B3307" t="s">
        <v>680</v>
      </c>
      <c r="C3307" t="s">
        <v>681</v>
      </c>
      <c r="D3307" t="s">
        <v>46</v>
      </c>
      <c r="E3307">
        <v>34</v>
      </c>
      <c r="F3307" t="s">
        <v>3829</v>
      </c>
      <c r="G3307" t="s">
        <v>641</v>
      </c>
      <c r="H3307" s="2">
        <v>58923</v>
      </c>
      <c r="I3307" s="1" t="d">
        <v>2013-03-24</v>
      </c>
      <c r="J3307" t="s">
        <v>682</v>
      </c>
      <c r="K3307" s="17" t="s">
        <v>118</v>
      </c>
      <c r="L3307">
        <v>3</v>
      </c>
    </row>
    <row r="3308" spans="1:12" x14ac:dyDescent="0.25">
      <c r="A3308" t="s">
        <v>7085</v>
      </c>
      <c r="B3308" t="s">
        <v>180</v>
      </c>
      <c r="C3308" t="s">
        <v>516</v>
      </c>
      <c r="D3308" t="s">
        <v>46</v>
      </c>
      <c r="E3308">
        <v>22</v>
      </c>
      <c r="F3308" t="s">
        <v>532</v>
      </c>
      <c r="G3308" t="s">
        <v>82</v>
      </c>
      <c r="H3308" t="s">
        <v>7086</v>
      </c>
      <c r="I3308" s="1" t="d">
        <v>2015-09-11</v>
      </c>
      <c r="J3308" t="s">
        <v>1992</v>
      </c>
      <c r="K3308" s="17" t="s">
        <v>50</v>
      </c>
      <c r="L3308">
        <v>4</v>
      </c>
    </row>
    <row r="3309" spans="1:12" x14ac:dyDescent="0.25">
      <c r="A3309" t="s">
        <v>3959</v>
      </c>
      <c r="B3309" t="s">
        <v>1213</v>
      </c>
      <c r="C3309" t="s">
        <v>244</v>
      </c>
      <c r="D3309" t="s">
        <v>23</v>
      </c>
      <c r="E3309">
        <v>21</v>
      </c>
      <c r="F3309" t="s">
        <v>253</v>
      </c>
      <c r="G3309" t="s">
        <v>191</v>
      </c>
      <c r="H3309" t="s">
        <v>3960</v>
      </c>
      <c r="I3309" s="1" t="d">
        <v>2006-08-31</v>
      </c>
      <c r="J3309" t="s">
        <v>3709</v>
      </c>
      <c r="K3309" s="17" t="s">
        <v>34</v>
      </c>
      <c r="L3309">
        <v>3</v>
      </c>
    </row>
    <row r="3310" spans="1:12" x14ac:dyDescent="0.25">
      <c r="A3310" t="s">
        <v>7087</v>
      </c>
      <c r="B3310" t="s">
        <v>2588</v>
      </c>
      <c r="C3310" t="s">
        <v>1770</v>
      </c>
      <c r="D3310" t="s">
        <v>23</v>
      </c>
      <c r="E3310">
        <v>38</v>
      </c>
      <c r="F3310" t="s">
        <v>186</v>
      </c>
      <c r="G3310" t="s">
        <v>48</v>
      </c>
      <c r="H3310" s="2">
        <v>87640</v>
      </c>
      <c r="I3310" s="1" t="d">
        <v>2019-12-16</v>
      </c>
      <c r="J3310" t="s">
        <v>64</v>
      </c>
      <c r="K3310" s="17" t="s">
        <v>19</v>
      </c>
      <c r="L3310">
        <v>4</v>
      </c>
    </row>
    <row r="3311" spans="1:12" x14ac:dyDescent="0.25">
      <c r="A3311" t="s">
        <v>7088</v>
      </c>
      <c r="B3311" t="s">
        <v>394</v>
      </c>
      <c r="C3311" t="s">
        <v>970</v>
      </c>
      <c r="D3311" t="s">
        <v>9527</v>
      </c>
      <c r="E3311">
        <v>28</v>
      </c>
      <c r="F3311" t="s">
        <v>2065</v>
      </c>
      <c r="G3311" t="s">
        <v>182</v>
      </c>
      <c r="H3311" t="s">
        <v>7089</v>
      </c>
      <c r="I3311" s="1" t="d">
        <v>2023-07-25</v>
      </c>
      <c r="J3311" t="s">
        <v>5969</v>
      </c>
      <c r="K3311" s="17" t="s">
        <v>90</v>
      </c>
      <c r="L3311">
        <v>2</v>
      </c>
    </row>
    <row r="3312" spans="1:12" x14ac:dyDescent="0.25">
      <c r="A3312" t="s">
        <v>7090</v>
      </c>
      <c r="B3312" t="s">
        <v>404</v>
      </c>
      <c r="C3312" t="s">
        <v>145</v>
      </c>
      <c r="D3312" t="s">
        <v>46</v>
      </c>
      <c r="E3312">
        <v>58</v>
      </c>
      <c r="F3312" t="s">
        <v>186</v>
      </c>
      <c r="G3312" t="s">
        <v>69</v>
      </c>
      <c r="H3312" s="2">
        <v>98170</v>
      </c>
      <c r="I3312" s="1" t="d">
        <v>2013-05-08</v>
      </c>
      <c r="J3312" t="s">
        <v>2157</v>
      </c>
      <c r="K3312" s="17" t="s">
        <v>90</v>
      </c>
      <c r="L3312">
        <v>3</v>
      </c>
    </row>
    <row r="3313" spans="1:12" x14ac:dyDescent="0.25">
      <c r="A3313" t="s">
        <v>7091</v>
      </c>
      <c r="B3313" t="s">
        <v>1605</v>
      </c>
      <c r="C3313" t="s">
        <v>699</v>
      </c>
      <c r="D3313" t="s">
        <v>9527</v>
      </c>
      <c r="E3313">
        <v>41</v>
      </c>
      <c r="F3313" t="s">
        <v>31</v>
      </c>
      <c r="G3313" t="s">
        <v>357</v>
      </c>
      <c r="H3313" t="s">
        <v>7092</v>
      </c>
      <c r="I3313" s="1" t="d">
        <v>2013-05-18</v>
      </c>
      <c r="J3313" t="s">
        <v>7093</v>
      </c>
      <c r="K3313" s="17" t="s">
        <v>58</v>
      </c>
      <c r="L3313">
        <v>4</v>
      </c>
    </row>
    <row r="3314" spans="1:12" x14ac:dyDescent="0.25">
      <c r="A3314" t="s">
        <v>7094</v>
      </c>
      <c r="B3314" t="s">
        <v>251</v>
      </c>
      <c r="C3314" t="s">
        <v>268</v>
      </c>
      <c r="D3314" t="s">
        <v>46</v>
      </c>
      <c r="E3314">
        <v>29</v>
      </c>
      <c r="F3314" t="s">
        <v>245</v>
      </c>
      <c r="G3314" t="s">
        <v>1719</v>
      </c>
      <c r="H3314">
        <v>54774</v>
      </c>
      <c r="I3314" s="1" t="d">
        <v>2008-11-23</v>
      </c>
      <c r="J3314" t="s">
        <v>3850</v>
      </c>
      <c r="K3314" s="17" t="s">
        <v>58</v>
      </c>
      <c r="L3314">
        <v>3</v>
      </c>
    </row>
    <row r="3315" spans="1:12" x14ac:dyDescent="0.25">
      <c r="A3315" t="s">
        <v>7095</v>
      </c>
      <c r="B3315" t="s">
        <v>267</v>
      </c>
      <c r="C3315" t="s">
        <v>1146</v>
      </c>
      <c r="D3315" t="s">
        <v>46</v>
      </c>
      <c r="E3315">
        <v>38</v>
      </c>
      <c r="F3315" t="s">
        <v>146</v>
      </c>
      <c r="G3315" t="s">
        <v>1329</v>
      </c>
      <c r="H3315" t="s">
        <v>7096</v>
      </c>
      <c r="I3315" s="1" t="d">
        <v>2020-10-13</v>
      </c>
      <c r="J3315" t="s">
        <v>1736</v>
      </c>
      <c r="K3315" s="17" t="s">
        <v>207</v>
      </c>
      <c r="L3315">
        <v>3</v>
      </c>
    </row>
    <row r="3316" spans="1:12" x14ac:dyDescent="0.25">
      <c r="A3316" t="s">
        <v>1558</v>
      </c>
      <c r="B3316" t="s">
        <v>29</v>
      </c>
      <c r="C3316" t="s">
        <v>1668</v>
      </c>
      <c r="D3316" t="s">
        <v>46</v>
      </c>
      <c r="E3316">
        <v>40</v>
      </c>
      <c r="F3316" t="s">
        <v>200</v>
      </c>
      <c r="G3316" t="s">
        <v>16</v>
      </c>
      <c r="H3316">
        <v>134437</v>
      </c>
      <c r="I3316" s="1" t="d">
        <v>2007-10-31</v>
      </c>
      <c r="J3316" t="s">
        <v>1559</v>
      </c>
      <c r="K3316" s="17" t="s">
        <v>34</v>
      </c>
      <c r="L3316">
        <v>4</v>
      </c>
    </row>
    <row r="3317" spans="1:12" x14ac:dyDescent="0.25">
      <c r="A3317" t="s">
        <v>7097</v>
      </c>
      <c r="B3317" t="s">
        <v>906</v>
      </c>
      <c r="C3317" t="s">
        <v>1743</v>
      </c>
      <c r="D3317" t="s">
        <v>23</v>
      </c>
      <c r="E3317">
        <v>45</v>
      </c>
      <c r="F3317" t="s">
        <v>296</v>
      </c>
      <c r="G3317" t="s">
        <v>16</v>
      </c>
      <c r="I3317" s="1" t="d">
        <v>2013-05-14</v>
      </c>
      <c r="J3317" t="s">
        <v>1102</v>
      </c>
      <c r="K3317" s="17" t="s">
        <v>27</v>
      </c>
      <c r="L3317">
        <v>3</v>
      </c>
    </row>
    <row r="3318" spans="1:12" x14ac:dyDescent="0.25">
      <c r="A3318" t="s">
        <v>7098</v>
      </c>
      <c r="B3318" t="s">
        <v>1516</v>
      </c>
      <c r="C3318" t="s">
        <v>295</v>
      </c>
      <c r="D3318" t="s">
        <v>46</v>
      </c>
      <c r="E3318">
        <v>44</v>
      </c>
      <c r="F3318" t="s">
        <v>478</v>
      </c>
      <c r="G3318" t="s">
        <v>177</v>
      </c>
      <c r="H3318" t="s">
        <v>7099</v>
      </c>
      <c r="I3318" s="1" t="d">
        <v>2013-06-02</v>
      </c>
      <c r="J3318" t="s">
        <v>879</v>
      </c>
      <c r="K3318" s="17" t="s">
        <v>50</v>
      </c>
      <c r="L3318">
        <v>3</v>
      </c>
    </row>
    <row r="3319" spans="1:12" x14ac:dyDescent="0.25">
      <c r="A3319" t="s">
        <v>7100</v>
      </c>
      <c r="B3319" t="s">
        <v>507</v>
      </c>
      <c r="C3319" t="s">
        <v>483</v>
      </c>
      <c r="D3319" t="s">
        <v>46</v>
      </c>
      <c r="E3319">
        <v>40</v>
      </c>
      <c r="F3319" t="s">
        <v>126</v>
      </c>
      <c r="G3319" t="s">
        <v>39</v>
      </c>
      <c r="H3319" t="s">
        <v>962</v>
      </c>
      <c r="I3319" s="1" t="d">
        <v>2021-11-07</v>
      </c>
      <c r="J3319" t="s">
        <v>947</v>
      </c>
      <c r="K3319" s="17" t="s">
        <v>58</v>
      </c>
      <c r="L3319">
        <v>4</v>
      </c>
    </row>
    <row r="3320" spans="1:12" x14ac:dyDescent="0.25">
      <c r="A3320" t="s">
        <v>7101</v>
      </c>
      <c r="B3320" t="s">
        <v>826</v>
      </c>
      <c r="C3320" t="s">
        <v>3554</v>
      </c>
      <c r="D3320" t="s">
        <v>23</v>
      </c>
      <c r="E3320">
        <v>40</v>
      </c>
      <c r="F3320" t="s">
        <v>216</v>
      </c>
      <c r="G3320" t="s">
        <v>88</v>
      </c>
      <c r="H3320">
        <v>60393</v>
      </c>
      <c r="I3320" s="1" t="d">
        <v>2013-03-09</v>
      </c>
      <c r="J3320" t="s">
        <v>887</v>
      </c>
      <c r="K3320" s="17" t="s">
        <v>58</v>
      </c>
      <c r="L3320">
        <v>4</v>
      </c>
    </row>
    <row r="3321" spans="1:12" x14ac:dyDescent="0.25">
      <c r="A3321" t="s">
        <v>7102</v>
      </c>
      <c r="B3321" t="s">
        <v>482</v>
      </c>
      <c r="C3321" t="s">
        <v>1248</v>
      </c>
      <c r="D3321" t="s">
        <v>23</v>
      </c>
      <c r="E3321">
        <v>22</v>
      </c>
      <c r="F3321" t="s">
        <v>245</v>
      </c>
      <c r="G3321" t="s">
        <v>170</v>
      </c>
      <c r="H3321">
        <v>46801</v>
      </c>
      <c r="I3321" s="1" t="d">
        <v>2022-07-18</v>
      </c>
      <c r="J3321" t="s">
        <v>1559</v>
      </c>
      <c r="K3321" s="17" t="s">
        <v>19</v>
      </c>
      <c r="L3321">
        <v>3</v>
      </c>
    </row>
    <row r="3322" spans="1:12" x14ac:dyDescent="0.25">
      <c r="A3322" t="s">
        <v>7103</v>
      </c>
      <c r="B3322" t="s">
        <v>945</v>
      </c>
      <c r="C3322" t="s">
        <v>1668</v>
      </c>
      <c r="D3322" t="s">
        <v>23</v>
      </c>
      <c r="E3322">
        <v>64</v>
      </c>
      <c r="F3322" t="s">
        <v>153</v>
      </c>
      <c r="G3322" t="s">
        <v>3243</v>
      </c>
      <c r="H3322" t="s">
        <v>7104</v>
      </c>
      <c r="I3322" s="1" t="d">
        <v>2007-03-19</v>
      </c>
      <c r="J3322" t="s">
        <v>1669</v>
      </c>
      <c r="K3322" s="17" t="s">
        <v>50</v>
      </c>
      <c r="L3322">
        <v>3</v>
      </c>
    </row>
    <row r="3323" spans="1:12" x14ac:dyDescent="0.25">
      <c r="A3323" t="s">
        <v>7105</v>
      </c>
      <c r="B3323" t="s">
        <v>86</v>
      </c>
      <c r="C3323" t="s">
        <v>988</v>
      </c>
      <c r="D3323" t="s">
        <v>9527</v>
      </c>
      <c r="E3323">
        <v>54</v>
      </c>
      <c r="F3323" t="s">
        <v>522</v>
      </c>
      <c r="G3323" t="s">
        <v>69</v>
      </c>
      <c r="H3323" t="s">
        <v>7106</v>
      </c>
      <c r="I3323" s="1" t="d">
        <v>2019-05-09</v>
      </c>
      <c r="J3323" t="s">
        <v>1778</v>
      </c>
      <c r="K3323" s="17" t="s">
        <v>58</v>
      </c>
      <c r="L3323">
        <v>3</v>
      </c>
    </row>
    <row r="3324" spans="1:12" x14ac:dyDescent="0.25">
      <c r="A3324" t="s">
        <v>7107</v>
      </c>
      <c r="B3324" t="s">
        <v>7108</v>
      </c>
      <c r="C3324" t="s">
        <v>210</v>
      </c>
      <c r="D3324" t="s">
        <v>9527</v>
      </c>
      <c r="E3324">
        <v>38</v>
      </c>
      <c r="F3324" t="s">
        <v>666</v>
      </c>
      <c r="G3324" t="s">
        <v>3409</v>
      </c>
      <c r="H3324" s="2">
        <v>116167</v>
      </c>
      <c r="I3324" s="1" t="d">
        <v>2009-11-14</v>
      </c>
      <c r="J3324" t="s">
        <v>99</v>
      </c>
      <c r="K3324" s="17" t="s">
        <v>207</v>
      </c>
      <c r="L3324">
        <v>4</v>
      </c>
    </row>
    <row r="3325" spans="1:12" x14ac:dyDescent="0.25">
      <c r="A3325" t="s">
        <v>7109</v>
      </c>
      <c r="B3325" t="s">
        <v>60</v>
      </c>
      <c r="C3325" t="s">
        <v>747</v>
      </c>
      <c r="D3325" t="s">
        <v>46</v>
      </c>
      <c r="E3325">
        <v>42</v>
      </c>
      <c r="F3325" t="s">
        <v>1203</v>
      </c>
      <c r="G3325" t="s">
        <v>88</v>
      </c>
      <c r="H3325" t="s">
        <v>7110</v>
      </c>
      <c r="I3325" s="1" t="d">
        <v>2024-06-17</v>
      </c>
      <c r="J3325" t="s">
        <v>1566</v>
      </c>
      <c r="K3325" s="17" t="s">
        <v>27</v>
      </c>
      <c r="L3325">
        <v>3</v>
      </c>
    </row>
    <row r="3326" spans="1:12" x14ac:dyDescent="0.25">
      <c r="A3326" t="s">
        <v>7111</v>
      </c>
      <c r="B3326" t="s">
        <v>139</v>
      </c>
      <c r="C3326" t="s">
        <v>739</v>
      </c>
      <c r="D3326" t="s">
        <v>9527</v>
      </c>
      <c r="E3326">
        <v>24</v>
      </c>
      <c r="F3326" t="s">
        <v>216</v>
      </c>
      <c r="G3326" t="s">
        <v>82</v>
      </c>
      <c r="H3326" s="2">
        <v>57662</v>
      </c>
      <c r="I3326" s="1" t="d">
        <v>2024-02-25</v>
      </c>
      <c r="J3326" t="s">
        <v>6901</v>
      </c>
      <c r="K3326" s="17" t="s">
        <v>19</v>
      </c>
      <c r="L3326">
        <v>3</v>
      </c>
    </row>
    <row r="3327" spans="1:12" x14ac:dyDescent="0.25">
      <c r="A3327" t="s">
        <v>7112</v>
      </c>
      <c r="B3327" t="s">
        <v>520</v>
      </c>
      <c r="C3327" t="s">
        <v>961</v>
      </c>
      <c r="D3327" t="s">
        <v>9527</v>
      </c>
      <c r="E3327">
        <v>25</v>
      </c>
      <c r="F3327" t="s">
        <v>104</v>
      </c>
      <c r="G3327" t="s">
        <v>526</v>
      </c>
      <c r="I3327" s="1" t="d">
        <v>2015-05-09</v>
      </c>
      <c r="J3327" t="s">
        <v>7113</v>
      </c>
      <c r="K3327" s="17" t="s">
        <v>58</v>
      </c>
      <c r="L3327">
        <v>4</v>
      </c>
    </row>
    <row r="3328" spans="1:12" x14ac:dyDescent="0.25">
      <c r="A3328" t="s">
        <v>7114</v>
      </c>
      <c r="B3328" t="s">
        <v>3135</v>
      </c>
      <c r="C3328" t="s">
        <v>660</v>
      </c>
      <c r="D3328" t="s">
        <v>23</v>
      </c>
      <c r="E3328">
        <v>32</v>
      </c>
      <c r="F3328" t="s">
        <v>1908</v>
      </c>
      <c r="G3328" t="s">
        <v>423</v>
      </c>
      <c r="H3328" t="s">
        <v>7115</v>
      </c>
      <c r="I3328" s="1" t="d">
        <v>2013-01-06</v>
      </c>
      <c r="J3328" t="s">
        <v>3641</v>
      </c>
      <c r="K3328" s="17" t="s">
        <v>184</v>
      </c>
      <c r="L3328">
        <v>2</v>
      </c>
    </row>
    <row r="3329" spans="1:12" x14ac:dyDescent="0.25">
      <c r="A3329" t="s">
        <v>7116</v>
      </c>
      <c r="B3329" t="s">
        <v>120</v>
      </c>
      <c r="C3329" t="s">
        <v>3808</v>
      </c>
      <c r="D3329" t="s">
        <v>23</v>
      </c>
      <c r="E3329">
        <v>33</v>
      </c>
      <c r="F3329" t="s">
        <v>1116</v>
      </c>
      <c r="G3329" t="s">
        <v>641</v>
      </c>
      <c r="I3329" s="1" t="d">
        <v>2005-11-20</v>
      </c>
      <c r="J3329" t="s">
        <v>7117</v>
      </c>
      <c r="K3329" s="17" t="s">
        <v>90</v>
      </c>
      <c r="L3329">
        <v>1</v>
      </c>
    </row>
    <row r="3330" spans="1:12" x14ac:dyDescent="0.25">
      <c r="A3330" t="s">
        <v>7118</v>
      </c>
      <c r="B3330" t="s">
        <v>841</v>
      </c>
      <c r="C3330" t="s">
        <v>521</v>
      </c>
      <c r="D3330" t="s">
        <v>23</v>
      </c>
      <c r="E3330">
        <v>45</v>
      </c>
      <c r="F3330" t="s">
        <v>24</v>
      </c>
      <c r="G3330" t="s">
        <v>69</v>
      </c>
      <c r="I3330" s="1" t="d">
        <v>2009-10-17</v>
      </c>
      <c r="J3330" t="s">
        <v>916</v>
      </c>
      <c r="K3330" s="17" t="s">
        <v>42</v>
      </c>
      <c r="L3330">
        <v>4</v>
      </c>
    </row>
    <row r="3331" spans="1:12" x14ac:dyDescent="0.25">
      <c r="A3331" t="s">
        <v>7119</v>
      </c>
      <c r="B3331" t="s">
        <v>2147</v>
      </c>
      <c r="C3331" t="s">
        <v>1234</v>
      </c>
      <c r="D3331" t="s">
        <v>9527</v>
      </c>
      <c r="E3331">
        <v>32</v>
      </c>
      <c r="F3331" t="s">
        <v>75</v>
      </c>
      <c r="G3331" t="s">
        <v>782</v>
      </c>
      <c r="H3331">
        <v>73431</v>
      </c>
      <c r="I3331" s="1" t="d">
        <v>2011-01-04</v>
      </c>
      <c r="J3331" t="s">
        <v>7120</v>
      </c>
      <c r="K3331" s="17" t="s">
        <v>71</v>
      </c>
      <c r="L3331">
        <v>3</v>
      </c>
    </row>
    <row r="3332" spans="1:12" x14ac:dyDescent="0.25">
      <c r="A3332" t="s">
        <v>7121</v>
      </c>
      <c r="B3332" t="s">
        <v>21</v>
      </c>
      <c r="C3332" t="s">
        <v>263</v>
      </c>
      <c r="D3332" t="s">
        <v>46</v>
      </c>
      <c r="E3332">
        <v>28</v>
      </c>
      <c r="F3332" t="s">
        <v>38</v>
      </c>
      <c r="G3332" t="s">
        <v>39</v>
      </c>
      <c r="H3332" t="s">
        <v>7122</v>
      </c>
      <c r="I3332" s="1" t="d">
        <v>2008-05-07</v>
      </c>
      <c r="J3332" t="s">
        <v>1944</v>
      </c>
      <c r="K3332" s="17" t="s">
        <v>19</v>
      </c>
      <c r="L3332">
        <v>5</v>
      </c>
    </row>
    <row r="3333" spans="1:12" x14ac:dyDescent="0.25">
      <c r="A3333" t="s">
        <v>7123</v>
      </c>
      <c r="B3333" t="s">
        <v>1051</v>
      </c>
      <c r="C3333" t="s">
        <v>145</v>
      </c>
      <c r="D3333" t="s">
        <v>9527</v>
      </c>
      <c r="E3333">
        <v>51</v>
      </c>
      <c r="F3333" t="s">
        <v>196</v>
      </c>
      <c r="G3333" t="s">
        <v>16</v>
      </c>
      <c r="H3333" t="s">
        <v>7124</v>
      </c>
      <c r="J3333" t="s">
        <v>2278</v>
      </c>
      <c r="K3333" s="17" t="s">
        <v>90</v>
      </c>
      <c r="L3333">
        <v>3</v>
      </c>
    </row>
    <row r="3334" spans="1:12" x14ac:dyDescent="0.25">
      <c r="A3334" t="s">
        <v>7125</v>
      </c>
      <c r="B3334" t="s">
        <v>180</v>
      </c>
      <c r="C3334" t="s">
        <v>215</v>
      </c>
      <c r="D3334" t="s">
        <v>9527</v>
      </c>
      <c r="E3334">
        <v>48</v>
      </c>
      <c r="G3334" t="s">
        <v>39</v>
      </c>
      <c r="H3334" t="s">
        <v>7126</v>
      </c>
      <c r="I3334" s="1" t="d">
        <v>2020-11-29</v>
      </c>
      <c r="J3334" t="s">
        <v>3477</v>
      </c>
      <c r="K3334" s="17" t="s">
        <v>100</v>
      </c>
      <c r="L3334">
        <v>3</v>
      </c>
    </row>
    <row r="3335" spans="1:12" x14ac:dyDescent="0.25">
      <c r="A3335" t="s">
        <v>821</v>
      </c>
      <c r="B3335" t="s">
        <v>822</v>
      </c>
      <c r="C3335" t="s">
        <v>521</v>
      </c>
      <c r="D3335" t="s">
        <v>46</v>
      </c>
      <c r="E3335">
        <v>43</v>
      </c>
      <c r="F3335" t="s">
        <v>356</v>
      </c>
      <c r="G3335" t="s">
        <v>641</v>
      </c>
      <c r="H3335" t="s">
        <v>823</v>
      </c>
      <c r="I3335" s="1" t="d">
        <v>2010-08-22</v>
      </c>
      <c r="J3335" t="s">
        <v>824</v>
      </c>
      <c r="K3335" s="17" t="s">
        <v>42</v>
      </c>
      <c r="L3335">
        <v>2</v>
      </c>
    </row>
    <row r="3336" spans="1:12" x14ac:dyDescent="0.25">
      <c r="A3336" t="s">
        <v>7127</v>
      </c>
      <c r="B3336" t="s">
        <v>7128</v>
      </c>
      <c r="C3336" t="s">
        <v>453</v>
      </c>
      <c r="D3336" t="s">
        <v>9527</v>
      </c>
      <c r="E3336">
        <v>45</v>
      </c>
      <c r="F3336" t="s">
        <v>122</v>
      </c>
      <c r="G3336" t="s">
        <v>283</v>
      </c>
      <c r="H3336" t="s">
        <v>7129</v>
      </c>
      <c r="I3336" s="1" t="d">
        <v>2007-01-17</v>
      </c>
      <c r="J3336" t="s">
        <v>5823</v>
      </c>
      <c r="K3336" s="17" t="s">
        <v>149</v>
      </c>
      <c r="L3336">
        <v>3</v>
      </c>
    </row>
    <row r="3337" spans="1:12" x14ac:dyDescent="0.25">
      <c r="A3337" t="s">
        <v>7130</v>
      </c>
      <c r="B3337" t="s">
        <v>1086</v>
      </c>
      <c r="C3337" t="s">
        <v>1205</v>
      </c>
      <c r="D3337" t="s">
        <v>9527</v>
      </c>
      <c r="E3337">
        <v>24</v>
      </c>
      <c r="F3337" t="s">
        <v>365</v>
      </c>
      <c r="G3337" t="s">
        <v>39</v>
      </c>
      <c r="I3337" s="1" t="d">
        <v>2015-03-30</v>
      </c>
      <c r="J3337" t="s">
        <v>1582</v>
      </c>
      <c r="K3337" s="17" t="s">
        <v>90</v>
      </c>
      <c r="L3337">
        <v>2</v>
      </c>
    </row>
    <row r="3338" spans="1:12" x14ac:dyDescent="0.25">
      <c r="A3338" t="s">
        <v>7131</v>
      </c>
      <c r="B3338" t="s">
        <v>323</v>
      </c>
      <c r="C3338" t="s">
        <v>135</v>
      </c>
      <c r="D3338" t="s">
        <v>46</v>
      </c>
      <c r="E3338">
        <v>25</v>
      </c>
      <c r="F3338" t="s">
        <v>75</v>
      </c>
      <c r="G3338" t="s">
        <v>25</v>
      </c>
      <c r="I3338" s="1" t="d">
        <v>2017-02-10</v>
      </c>
      <c r="J3338" t="s">
        <v>1135</v>
      </c>
      <c r="K3338" s="17" t="s">
        <v>58</v>
      </c>
      <c r="L3338">
        <v>4</v>
      </c>
    </row>
    <row r="3339" spans="1:12" x14ac:dyDescent="0.25">
      <c r="A3339" t="s">
        <v>7132</v>
      </c>
      <c r="B3339" t="s">
        <v>194</v>
      </c>
      <c r="C3339" t="s">
        <v>665</v>
      </c>
      <c r="D3339" t="s">
        <v>46</v>
      </c>
      <c r="E3339">
        <v>28</v>
      </c>
      <c r="F3339" t="s">
        <v>2065</v>
      </c>
      <c r="G3339" t="s">
        <v>706</v>
      </c>
      <c r="H3339" t="s">
        <v>7133</v>
      </c>
      <c r="I3339" s="1" t="d">
        <v>2024-01-31</v>
      </c>
      <c r="J3339" t="s">
        <v>4367</v>
      </c>
      <c r="K3339" s="17" t="s">
        <v>50</v>
      </c>
      <c r="L3339">
        <v>4</v>
      </c>
    </row>
    <row r="3340" spans="1:12" x14ac:dyDescent="0.25">
      <c r="A3340" t="s">
        <v>6164</v>
      </c>
      <c r="B3340" t="s">
        <v>993</v>
      </c>
      <c r="C3340" t="s">
        <v>1384</v>
      </c>
      <c r="D3340" t="s">
        <v>9527</v>
      </c>
      <c r="E3340">
        <v>44</v>
      </c>
      <c r="F3340" t="s">
        <v>356</v>
      </c>
      <c r="G3340" t="s">
        <v>191</v>
      </c>
      <c r="H3340">
        <v>101055</v>
      </c>
      <c r="I3340" s="1" t="d">
        <v>2016-12-21</v>
      </c>
      <c r="J3340" t="s">
        <v>1693</v>
      </c>
      <c r="K3340" s="17" t="s">
        <v>58</v>
      </c>
      <c r="L3340">
        <v>3</v>
      </c>
    </row>
    <row r="3341" spans="1:12" x14ac:dyDescent="0.25">
      <c r="A3341" t="s">
        <v>7134</v>
      </c>
      <c r="B3341" t="s">
        <v>482</v>
      </c>
      <c r="C3341" t="s">
        <v>2572</v>
      </c>
      <c r="D3341" t="s">
        <v>9527</v>
      </c>
      <c r="E3341">
        <v>44</v>
      </c>
      <c r="F3341" t="s">
        <v>522</v>
      </c>
      <c r="G3341" t="s">
        <v>170</v>
      </c>
      <c r="H3341" t="s">
        <v>7135</v>
      </c>
      <c r="I3341" s="1" t="d">
        <v>2021-06-05</v>
      </c>
      <c r="J3341" t="s">
        <v>7136</v>
      </c>
      <c r="K3341" s="17" t="s">
        <v>118</v>
      </c>
      <c r="L3341">
        <v>4</v>
      </c>
    </row>
    <row r="3342" spans="1:12" x14ac:dyDescent="0.25">
      <c r="A3342" t="s">
        <v>7137</v>
      </c>
      <c r="B3342" t="s">
        <v>630</v>
      </c>
      <c r="C3342" t="s">
        <v>2231</v>
      </c>
      <c r="D3342" t="s">
        <v>23</v>
      </c>
      <c r="E3342">
        <v>37</v>
      </c>
      <c r="F3342" t="s">
        <v>356</v>
      </c>
      <c r="G3342" t="s">
        <v>3541</v>
      </c>
      <c r="H3342" s="2">
        <v>186731</v>
      </c>
      <c r="I3342" s="1" t="d">
        <v>2009-03-01</v>
      </c>
      <c r="J3342" t="s">
        <v>7138</v>
      </c>
      <c r="K3342" s="17" t="s">
        <v>42</v>
      </c>
      <c r="L3342">
        <v>2</v>
      </c>
    </row>
    <row r="3343" spans="1:12" x14ac:dyDescent="0.25">
      <c r="A3343" t="s">
        <v>7139</v>
      </c>
      <c r="B3343" t="s">
        <v>162</v>
      </c>
      <c r="C3343" t="s">
        <v>107</v>
      </c>
      <c r="D3343" t="s">
        <v>9527</v>
      </c>
      <c r="E3343">
        <v>46</v>
      </c>
      <c r="F3343" t="s">
        <v>253</v>
      </c>
      <c r="G3343" t="s">
        <v>485</v>
      </c>
      <c r="H3343" s="2">
        <v>157764</v>
      </c>
      <c r="I3343" s="1" t="d">
        <v>2021-09-09</v>
      </c>
      <c r="J3343" t="s">
        <v>919</v>
      </c>
      <c r="K3343" s="17" t="s">
        <v>71</v>
      </c>
      <c r="L3343">
        <v>5</v>
      </c>
    </row>
    <row r="3344" spans="1:12" x14ac:dyDescent="0.25">
      <c r="A3344" t="s">
        <v>7140</v>
      </c>
      <c r="B3344" t="s">
        <v>221</v>
      </c>
      <c r="C3344" t="s">
        <v>2013</v>
      </c>
      <c r="D3344" t="s">
        <v>46</v>
      </c>
      <c r="E3344">
        <v>38</v>
      </c>
      <c r="G3344" t="s">
        <v>182</v>
      </c>
      <c r="H3344">
        <v>79930</v>
      </c>
      <c r="I3344" s="1" t="d">
        <v>2020-07-07</v>
      </c>
      <c r="J3344" t="s">
        <v>1985</v>
      </c>
      <c r="K3344" s="17" t="s">
        <v>100</v>
      </c>
      <c r="L3344">
        <v>5</v>
      </c>
    </row>
    <row r="3345" spans="1:12" x14ac:dyDescent="0.25">
      <c r="A3345" t="s">
        <v>7141</v>
      </c>
      <c r="B3345" t="s">
        <v>664</v>
      </c>
      <c r="C3345" t="s">
        <v>67</v>
      </c>
      <c r="D3345" t="s">
        <v>23</v>
      </c>
      <c r="E3345">
        <v>44</v>
      </c>
      <c r="F3345" t="s">
        <v>24</v>
      </c>
      <c r="G3345" t="s">
        <v>1645</v>
      </c>
      <c r="H3345" t="s">
        <v>7142</v>
      </c>
      <c r="I3345" s="1" t="d">
        <v>2020-03-11</v>
      </c>
      <c r="J3345" t="s">
        <v>2803</v>
      </c>
      <c r="K3345" s="17" t="s">
        <v>71</v>
      </c>
      <c r="L3345">
        <v>4</v>
      </c>
    </row>
    <row r="3346" spans="1:12" x14ac:dyDescent="0.25">
      <c r="A3346" t="s">
        <v>7143</v>
      </c>
      <c r="B3346" t="s">
        <v>52</v>
      </c>
      <c r="C3346" t="s">
        <v>1494</v>
      </c>
      <c r="D3346" t="s">
        <v>9527</v>
      </c>
      <c r="E3346">
        <v>45</v>
      </c>
      <c r="F3346" t="s">
        <v>94</v>
      </c>
      <c r="G3346" t="s">
        <v>170</v>
      </c>
      <c r="H3346" s="2">
        <v>64992</v>
      </c>
      <c r="I3346" s="1" t="d">
        <v>2013-08-27</v>
      </c>
      <c r="J3346" t="s">
        <v>3507</v>
      </c>
      <c r="K3346" s="17" t="s">
        <v>100</v>
      </c>
      <c r="L3346">
        <v>5</v>
      </c>
    </row>
    <row r="3347" spans="1:12" x14ac:dyDescent="0.25">
      <c r="A3347" t="s">
        <v>7144</v>
      </c>
      <c r="B3347" t="s">
        <v>112</v>
      </c>
      <c r="C3347" t="s">
        <v>665</v>
      </c>
      <c r="D3347" t="s">
        <v>46</v>
      </c>
      <c r="E3347">
        <v>24</v>
      </c>
      <c r="F3347" t="s">
        <v>190</v>
      </c>
      <c r="G3347" t="s">
        <v>177</v>
      </c>
      <c r="H3347">
        <v>42486</v>
      </c>
      <c r="I3347" s="1" t="d">
        <v>2019-04-23</v>
      </c>
      <c r="J3347" t="s">
        <v>7145</v>
      </c>
      <c r="K3347" s="17" t="s">
        <v>100</v>
      </c>
      <c r="L3347">
        <v>3</v>
      </c>
    </row>
    <row r="3348" spans="1:12" x14ac:dyDescent="0.25">
      <c r="A3348" t="s">
        <v>3734</v>
      </c>
      <c r="B3348" t="s">
        <v>323</v>
      </c>
      <c r="C3348" t="s">
        <v>1182</v>
      </c>
      <c r="D3348" t="s">
        <v>23</v>
      </c>
      <c r="E3348">
        <v>49</v>
      </c>
      <c r="F3348" t="s">
        <v>373</v>
      </c>
      <c r="G3348" t="s">
        <v>170</v>
      </c>
      <c r="H3348" t="s">
        <v>3735</v>
      </c>
      <c r="I3348" s="1" t="d">
        <v>2008-10-03</v>
      </c>
      <c r="J3348" t="s">
        <v>3736</v>
      </c>
      <c r="K3348" s="17" t="s">
        <v>207</v>
      </c>
      <c r="L3348">
        <v>5</v>
      </c>
    </row>
    <row r="3349" spans="1:12" x14ac:dyDescent="0.25">
      <c r="A3349" t="s">
        <v>7146</v>
      </c>
      <c r="B3349" t="s">
        <v>44</v>
      </c>
      <c r="C3349" t="s">
        <v>140</v>
      </c>
      <c r="D3349" t="s">
        <v>46</v>
      </c>
      <c r="E3349">
        <v>56</v>
      </c>
      <c r="F3349" t="s">
        <v>978</v>
      </c>
      <c r="G3349" t="s">
        <v>205</v>
      </c>
      <c r="H3349">
        <v>89440</v>
      </c>
      <c r="I3349" s="1" t="d">
        <v>2009-05-02</v>
      </c>
      <c r="J3349" t="s">
        <v>7147</v>
      </c>
      <c r="K3349" s="17" t="s">
        <v>90</v>
      </c>
      <c r="L3349">
        <v>3</v>
      </c>
    </row>
    <row r="3350" spans="1:12" x14ac:dyDescent="0.25">
      <c r="A3350" t="s">
        <v>7148</v>
      </c>
      <c r="B3350" t="s">
        <v>209</v>
      </c>
      <c r="C3350" t="s">
        <v>624</v>
      </c>
      <c r="D3350" t="s">
        <v>9527</v>
      </c>
      <c r="E3350">
        <v>33</v>
      </c>
      <c r="G3350" t="s">
        <v>82</v>
      </c>
      <c r="H3350" s="2">
        <v>75261</v>
      </c>
      <c r="I3350" s="1" t="d">
        <v>2022-10-29</v>
      </c>
      <c r="J3350" t="s">
        <v>213</v>
      </c>
      <c r="K3350" s="17" t="s">
        <v>184</v>
      </c>
      <c r="L3350">
        <v>1</v>
      </c>
    </row>
    <row r="3351" spans="1:12" x14ac:dyDescent="0.25">
      <c r="A3351" t="s">
        <v>7149</v>
      </c>
      <c r="B3351" t="s">
        <v>993</v>
      </c>
      <c r="C3351" t="s">
        <v>988</v>
      </c>
      <c r="D3351" t="s">
        <v>23</v>
      </c>
      <c r="E3351">
        <v>29</v>
      </c>
      <c r="F3351" t="s">
        <v>24</v>
      </c>
      <c r="G3351" t="s">
        <v>95</v>
      </c>
      <c r="H3351" t="s">
        <v>7150</v>
      </c>
      <c r="I3351" s="1" t="d">
        <v>2017-07-28</v>
      </c>
      <c r="J3351" t="s">
        <v>5890</v>
      </c>
      <c r="K3351" s="17" t="s">
        <v>71</v>
      </c>
      <c r="L3351">
        <v>4</v>
      </c>
    </row>
    <row r="3352" spans="1:12" x14ac:dyDescent="0.25">
      <c r="A3352" t="s">
        <v>7151</v>
      </c>
      <c r="B3352" t="s">
        <v>2197</v>
      </c>
      <c r="C3352" t="s">
        <v>898</v>
      </c>
      <c r="D3352" t="s">
        <v>46</v>
      </c>
      <c r="E3352">
        <v>35</v>
      </c>
      <c r="F3352" t="s">
        <v>859</v>
      </c>
      <c r="G3352" t="s">
        <v>39</v>
      </c>
      <c r="H3352" t="s">
        <v>7152</v>
      </c>
      <c r="I3352" s="1" t="d">
        <v>2011-03-02</v>
      </c>
      <c r="J3352" t="s">
        <v>7153</v>
      </c>
      <c r="K3352" s="17" t="s">
        <v>27</v>
      </c>
      <c r="L3352">
        <v>4</v>
      </c>
    </row>
    <row r="3353" spans="1:12" x14ac:dyDescent="0.25">
      <c r="A3353" t="s">
        <v>7154</v>
      </c>
      <c r="B3353" t="s">
        <v>44</v>
      </c>
      <c r="C3353" t="s">
        <v>805</v>
      </c>
      <c r="D3353" t="s">
        <v>9527</v>
      </c>
      <c r="E3353">
        <v>53</v>
      </c>
      <c r="F3353" t="s">
        <v>411</v>
      </c>
      <c r="G3353" t="s">
        <v>39</v>
      </c>
      <c r="H3353" t="s">
        <v>7155</v>
      </c>
      <c r="I3353" s="1" t="d">
        <v>2018-11-10</v>
      </c>
      <c r="J3353" t="s">
        <v>7156</v>
      </c>
      <c r="K3353" s="17" t="s">
        <v>149</v>
      </c>
      <c r="L3353">
        <v>4</v>
      </c>
    </row>
    <row r="3354" spans="1:12" x14ac:dyDescent="0.25">
      <c r="A3354" t="s">
        <v>7157</v>
      </c>
      <c r="B3354" t="s">
        <v>1706</v>
      </c>
      <c r="C3354" t="s">
        <v>790</v>
      </c>
      <c r="D3354" t="s">
        <v>9527</v>
      </c>
      <c r="E3354">
        <v>34</v>
      </c>
      <c r="F3354" t="s">
        <v>422</v>
      </c>
      <c r="G3354" t="s">
        <v>127</v>
      </c>
      <c r="H3354">
        <v>113306</v>
      </c>
      <c r="I3354" s="1" t="d">
        <v>2024-06-20</v>
      </c>
      <c r="J3354" t="s">
        <v>4162</v>
      </c>
      <c r="K3354" s="17" t="s">
        <v>58</v>
      </c>
      <c r="L3354">
        <v>3</v>
      </c>
    </row>
    <row r="3355" spans="1:12" x14ac:dyDescent="0.25">
      <c r="A3355" t="s">
        <v>7158</v>
      </c>
      <c r="B3355" t="s">
        <v>86</v>
      </c>
      <c r="C3355" t="s">
        <v>181</v>
      </c>
      <c r="D3355" t="s">
        <v>9527</v>
      </c>
      <c r="E3355">
        <v>46</v>
      </c>
      <c r="G3355" t="s">
        <v>39</v>
      </c>
      <c r="H3355">
        <v>42236</v>
      </c>
      <c r="I3355" s="1" t="d">
        <v>2019-02-16</v>
      </c>
      <c r="J3355" t="s">
        <v>6631</v>
      </c>
      <c r="K3355" s="17" t="s">
        <v>118</v>
      </c>
      <c r="L3355">
        <v>4</v>
      </c>
    </row>
    <row r="3356" spans="1:12" x14ac:dyDescent="0.25">
      <c r="A3356" t="s">
        <v>7159</v>
      </c>
      <c r="B3356" t="s">
        <v>92</v>
      </c>
      <c r="C3356" t="s">
        <v>1280</v>
      </c>
      <c r="D3356" t="s">
        <v>46</v>
      </c>
      <c r="E3356">
        <v>35</v>
      </c>
      <c r="F3356" t="s">
        <v>94</v>
      </c>
      <c r="G3356" t="s">
        <v>95</v>
      </c>
      <c r="H3356">
        <v>62589</v>
      </c>
      <c r="I3356" s="1" t="d">
        <v>2018-11-21</v>
      </c>
      <c r="J3356" t="s">
        <v>7160</v>
      </c>
      <c r="K3356" s="17" t="s">
        <v>71</v>
      </c>
      <c r="L3356">
        <v>4</v>
      </c>
    </row>
    <row r="3357" spans="1:12" x14ac:dyDescent="0.25">
      <c r="A3357" t="s">
        <v>1935</v>
      </c>
      <c r="B3357" t="s">
        <v>13</v>
      </c>
      <c r="C3357" t="s">
        <v>7161</v>
      </c>
      <c r="D3357" t="s">
        <v>46</v>
      </c>
      <c r="E3357">
        <v>30</v>
      </c>
      <c r="F3357" t="s">
        <v>15</v>
      </c>
      <c r="G3357" t="s">
        <v>82</v>
      </c>
      <c r="H3357">
        <v>78237</v>
      </c>
      <c r="I3357" s="1" t="d">
        <v>2021-08-15</v>
      </c>
      <c r="J3357" t="s">
        <v>1597</v>
      </c>
      <c r="K3357" s="17" t="s">
        <v>27</v>
      </c>
      <c r="L3357">
        <v>5</v>
      </c>
    </row>
    <row r="3358" spans="1:12" x14ac:dyDescent="0.25">
      <c r="A3358" t="s">
        <v>7162</v>
      </c>
      <c r="B3358" t="s">
        <v>2252</v>
      </c>
      <c r="C3358" t="s">
        <v>1734</v>
      </c>
      <c r="D3358" t="s">
        <v>23</v>
      </c>
      <c r="E3358">
        <v>56</v>
      </c>
      <c r="F3358" t="s">
        <v>365</v>
      </c>
      <c r="G3358" t="s">
        <v>159</v>
      </c>
      <c r="H3358" t="s">
        <v>7163</v>
      </c>
      <c r="I3358" s="1" t="d">
        <v>2015-07-20</v>
      </c>
      <c r="J3358" t="s">
        <v>1149</v>
      </c>
      <c r="K3358" s="17" t="s">
        <v>58</v>
      </c>
      <c r="L3358">
        <v>4</v>
      </c>
    </row>
    <row r="3359" spans="1:12" x14ac:dyDescent="0.25">
      <c r="A3359" t="s">
        <v>7164</v>
      </c>
      <c r="B3359" t="s">
        <v>507</v>
      </c>
      <c r="C3359" t="s">
        <v>45</v>
      </c>
      <c r="D3359" t="s">
        <v>23</v>
      </c>
      <c r="E3359">
        <v>27</v>
      </c>
      <c r="F3359" t="s">
        <v>186</v>
      </c>
      <c r="G3359" t="s">
        <v>16</v>
      </c>
      <c r="H3359" s="2">
        <v>113090</v>
      </c>
      <c r="I3359" s="1" t="d">
        <v>2019-10-27</v>
      </c>
      <c r="J3359" t="s">
        <v>369</v>
      </c>
      <c r="K3359" s="17" t="s">
        <v>71</v>
      </c>
      <c r="L3359">
        <v>4</v>
      </c>
    </row>
    <row r="3360" spans="1:12" x14ac:dyDescent="0.25">
      <c r="A3360" t="s">
        <v>7165</v>
      </c>
      <c r="B3360" t="s">
        <v>2147</v>
      </c>
      <c r="C3360" t="s">
        <v>204</v>
      </c>
      <c r="D3360" t="s">
        <v>23</v>
      </c>
      <c r="E3360">
        <v>23</v>
      </c>
      <c r="F3360" t="s">
        <v>146</v>
      </c>
      <c r="G3360" t="s">
        <v>82</v>
      </c>
      <c r="H3360" s="2">
        <v>82161</v>
      </c>
      <c r="I3360" s="1" t="d">
        <v>2006-02-20</v>
      </c>
      <c r="J3360" t="s">
        <v>1637</v>
      </c>
      <c r="K3360" s="17" t="s">
        <v>184</v>
      </c>
      <c r="L3360">
        <v>4</v>
      </c>
    </row>
    <row r="3361" spans="1:12" x14ac:dyDescent="0.25">
      <c r="A3361" t="s">
        <v>7166</v>
      </c>
      <c r="B3361" t="s">
        <v>4775</v>
      </c>
      <c r="C3361" t="s">
        <v>631</v>
      </c>
      <c r="D3361" t="s">
        <v>9527</v>
      </c>
      <c r="E3361">
        <v>39</v>
      </c>
      <c r="F3361" t="s">
        <v>200</v>
      </c>
      <c r="G3361" t="s">
        <v>191</v>
      </c>
      <c r="H3361">
        <v>88221</v>
      </c>
      <c r="I3361" s="1" t="d">
        <v>2022-06-19</v>
      </c>
      <c r="J3361" t="s">
        <v>3502</v>
      </c>
      <c r="K3361" s="17" t="s">
        <v>184</v>
      </c>
      <c r="L3361">
        <v>5</v>
      </c>
    </row>
    <row r="3362" spans="1:12" x14ac:dyDescent="0.25">
      <c r="A3362" t="s">
        <v>7167</v>
      </c>
      <c r="B3362" t="s">
        <v>151</v>
      </c>
      <c r="C3362" t="s">
        <v>1030</v>
      </c>
      <c r="D3362" t="s">
        <v>46</v>
      </c>
      <c r="E3362">
        <v>28</v>
      </c>
      <c r="F3362" t="s">
        <v>68</v>
      </c>
      <c r="G3362" t="s">
        <v>32</v>
      </c>
      <c r="H3362" s="2">
        <v>106051</v>
      </c>
      <c r="I3362" s="1" t="d">
        <v>2014-06-13</v>
      </c>
      <c r="J3362" t="s">
        <v>2924</v>
      </c>
      <c r="K3362" s="17" t="s">
        <v>118</v>
      </c>
      <c r="L3362">
        <v>3</v>
      </c>
    </row>
    <row r="3363" spans="1:12" x14ac:dyDescent="0.25">
      <c r="A3363" t="s">
        <v>7168</v>
      </c>
      <c r="B3363" t="s">
        <v>2095</v>
      </c>
      <c r="C3363" t="s">
        <v>45</v>
      </c>
      <c r="D3363" t="s">
        <v>23</v>
      </c>
      <c r="E3363">
        <v>35</v>
      </c>
      <c r="F3363" t="s">
        <v>350</v>
      </c>
      <c r="G3363" t="s">
        <v>170</v>
      </c>
      <c r="H3363" t="s">
        <v>7169</v>
      </c>
      <c r="I3363" s="1" t="d">
        <v>2014-09-25</v>
      </c>
      <c r="J3363" t="s">
        <v>49</v>
      </c>
      <c r="K3363" s="17" t="s">
        <v>149</v>
      </c>
      <c r="L3363">
        <v>2</v>
      </c>
    </row>
    <row r="3364" spans="1:12" x14ac:dyDescent="0.25">
      <c r="A3364" t="s">
        <v>7170</v>
      </c>
      <c r="B3364" t="s">
        <v>841</v>
      </c>
      <c r="C3364" t="s">
        <v>572</v>
      </c>
      <c r="D3364" t="s">
        <v>9527</v>
      </c>
      <c r="E3364">
        <v>21</v>
      </c>
      <c r="F3364" t="s">
        <v>54</v>
      </c>
      <c r="G3364" t="s">
        <v>141</v>
      </c>
      <c r="H3364">
        <v>62866</v>
      </c>
      <c r="I3364" s="1" t="d">
        <v>2015-08-03</v>
      </c>
      <c r="J3364" t="s">
        <v>1469</v>
      </c>
      <c r="K3364" s="17" t="s">
        <v>27</v>
      </c>
      <c r="L3364">
        <v>4</v>
      </c>
    </row>
    <row r="3365" spans="1:12" x14ac:dyDescent="0.25">
      <c r="A3365" t="s">
        <v>7171</v>
      </c>
      <c r="B3365" t="s">
        <v>311</v>
      </c>
      <c r="C3365" t="s">
        <v>988</v>
      </c>
      <c r="D3365" t="s">
        <v>23</v>
      </c>
      <c r="E3365">
        <v>45</v>
      </c>
      <c r="G3365" t="s">
        <v>182</v>
      </c>
      <c r="H3365">
        <v>155744</v>
      </c>
      <c r="I3365" s="1" t="d">
        <v>2010-12-14</v>
      </c>
      <c r="J3365" t="s">
        <v>6697</v>
      </c>
      <c r="K3365" s="17" t="s">
        <v>100</v>
      </c>
      <c r="L3365">
        <v>3</v>
      </c>
    </row>
    <row r="3366" spans="1:12" x14ac:dyDescent="0.25">
      <c r="A3366" t="s">
        <v>7172</v>
      </c>
      <c r="B3366" t="s">
        <v>571</v>
      </c>
      <c r="C3366" t="s">
        <v>483</v>
      </c>
      <c r="D3366" t="s">
        <v>46</v>
      </c>
      <c r="E3366">
        <v>49</v>
      </c>
      <c r="F3366" t="s">
        <v>196</v>
      </c>
      <c r="G3366" t="s">
        <v>82</v>
      </c>
      <c r="H3366" t="s">
        <v>7173</v>
      </c>
      <c r="I3366" s="1" t="d">
        <v>2020-07-30</v>
      </c>
      <c r="J3366" t="s">
        <v>2976</v>
      </c>
      <c r="K3366" s="17" t="s">
        <v>100</v>
      </c>
      <c r="L3366">
        <v>3</v>
      </c>
    </row>
    <row r="3367" spans="1:12" x14ac:dyDescent="0.25">
      <c r="A3367" t="s">
        <v>7174</v>
      </c>
      <c r="B3367" t="s">
        <v>2899</v>
      </c>
      <c r="C3367" t="s">
        <v>225</v>
      </c>
      <c r="D3367" t="s">
        <v>46</v>
      </c>
      <c r="E3367">
        <v>50</v>
      </c>
      <c r="F3367" t="s">
        <v>264</v>
      </c>
      <c r="G3367" t="s">
        <v>283</v>
      </c>
      <c r="H3367">
        <v>177827</v>
      </c>
      <c r="I3367" s="1" t="d">
        <v>2019-12-27</v>
      </c>
      <c r="J3367" t="s">
        <v>1574</v>
      </c>
      <c r="K3367" s="17" t="s">
        <v>34</v>
      </c>
      <c r="L3367">
        <v>3</v>
      </c>
    </row>
    <row r="3368" spans="1:12" x14ac:dyDescent="0.25">
      <c r="A3368" t="s">
        <v>7175</v>
      </c>
      <c r="B3368" t="s">
        <v>1096</v>
      </c>
      <c r="C3368" t="s">
        <v>1248</v>
      </c>
      <c r="D3368" t="s">
        <v>9527</v>
      </c>
      <c r="E3368">
        <v>37</v>
      </c>
      <c r="F3368" t="s">
        <v>441</v>
      </c>
      <c r="G3368" t="s">
        <v>39</v>
      </c>
      <c r="J3368" t="s">
        <v>5119</v>
      </c>
      <c r="K3368" s="17" t="s">
        <v>370</v>
      </c>
      <c r="L3368">
        <v>4</v>
      </c>
    </row>
    <row r="3369" spans="1:12" x14ac:dyDescent="0.25">
      <c r="A3369" t="s">
        <v>7176</v>
      </c>
      <c r="B3369" t="s">
        <v>520</v>
      </c>
      <c r="C3369" t="s">
        <v>555</v>
      </c>
      <c r="D3369" t="s">
        <v>46</v>
      </c>
      <c r="E3369">
        <v>37</v>
      </c>
      <c r="F3369" t="s">
        <v>146</v>
      </c>
      <c r="G3369" t="s">
        <v>69</v>
      </c>
      <c r="H3369" t="s">
        <v>7177</v>
      </c>
      <c r="I3369" s="1" t="d">
        <v>2021-04-27</v>
      </c>
      <c r="J3369" t="s">
        <v>3582</v>
      </c>
      <c r="K3369" s="17" t="s">
        <v>207</v>
      </c>
      <c r="L3369">
        <v>5</v>
      </c>
    </row>
    <row r="3370" spans="1:12" x14ac:dyDescent="0.25">
      <c r="A3370" t="s">
        <v>2598</v>
      </c>
      <c r="B3370" t="s">
        <v>1516</v>
      </c>
      <c r="C3370" t="s">
        <v>215</v>
      </c>
      <c r="D3370" t="s">
        <v>9527</v>
      </c>
      <c r="E3370">
        <v>43</v>
      </c>
      <c r="F3370" t="s">
        <v>200</v>
      </c>
      <c r="G3370" t="s">
        <v>217</v>
      </c>
      <c r="H3370" s="2">
        <v>123673</v>
      </c>
      <c r="I3370" s="1" t="d">
        <v>2007-01-14</v>
      </c>
      <c r="J3370" t="s">
        <v>2599</v>
      </c>
      <c r="K3370" s="17" t="s">
        <v>19</v>
      </c>
      <c r="L3370">
        <v>1</v>
      </c>
    </row>
    <row r="3371" spans="1:12" x14ac:dyDescent="0.25">
      <c r="A3371" t="s">
        <v>7178</v>
      </c>
      <c r="B3371" t="s">
        <v>841</v>
      </c>
      <c r="C3371" t="s">
        <v>453</v>
      </c>
      <c r="D3371" t="s">
        <v>23</v>
      </c>
      <c r="E3371">
        <v>46</v>
      </c>
      <c r="F3371" t="s">
        <v>942</v>
      </c>
      <c r="G3371" t="s">
        <v>614</v>
      </c>
      <c r="H3371" s="2">
        <v>111406</v>
      </c>
      <c r="I3371" s="1" t="d">
        <v>2009-06-10</v>
      </c>
      <c r="J3371" t="s">
        <v>2077</v>
      </c>
      <c r="K3371" s="17" t="s">
        <v>19</v>
      </c>
      <c r="L3371">
        <v>3</v>
      </c>
    </row>
    <row r="3372" spans="1:12" x14ac:dyDescent="0.25">
      <c r="A3372" t="s">
        <v>1233</v>
      </c>
      <c r="B3372" t="s">
        <v>1154</v>
      </c>
      <c r="C3372" t="s">
        <v>1234</v>
      </c>
      <c r="D3372" t="s">
        <v>23</v>
      </c>
      <c r="E3372">
        <v>30</v>
      </c>
      <c r="F3372" t="s">
        <v>918</v>
      </c>
      <c r="G3372" t="s">
        <v>82</v>
      </c>
      <c r="H3372" t="s">
        <v>1235</v>
      </c>
      <c r="I3372" s="1" t="d">
        <v>2022-02-02</v>
      </c>
      <c r="J3372" t="s">
        <v>1236</v>
      </c>
      <c r="K3372" s="17" t="s">
        <v>100</v>
      </c>
      <c r="L3372">
        <v>5</v>
      </c>
    </row>
    <row r="3373" spans="1:12" x14ac:dyDescent="0.25">
      <c r="A3373" t="s">
        <v>7179</v>
      </c>
      <c r="B3373" t="s">
        <v>566</v>
      </c>
      <c r="C3373" t="s">
        <v>318</v>
      </c>
      <c r="D3373" t="s">
        <v>9527</v>
      </c>
      <c r="E3373">
        <v>38</v>
      </c>
      <c r="F3373" t="s">
        <v>238</v>
      </c>
      <c r="G3373" t="s">
        <v>25</v>
      </c>
      <c r="I3373" s="1" t="d">
        <v>2017-07-06</v>
      </c>
      <c r="J3373" t="s">
        <v>3844</v>
      </c>
      <c r="K3373" s="17" t="s">
        <v>50</v>
      </c>
      <c r="L3373">
        <v>2</v>
      </c>
    </row>
    <row r="3374" spans="1:12" x14ac:dyDescent="0.25">
      <c r="A3374" t="s">
        <v>7180</v>
      </c>
      <c r="B3374" t="s">
        <v>594</v>
      </c>
      <c r="C3374" t="s">
        <v>395</v>
      </c>
      <c r="D3374" t="s">
        <v>46</v>
      </c>
      <c r="E3374">
        <v>54</v>
      </c>
      <c r="F3374" t="s">
        <v>75</v>
      </c>
      <c r="G3374" t="s">
        <v>88</v>
      </c>
      <c r="H3374">
        <v>89280</v>
      </c>
      <c r="I3374" s="1" t="d">
        <v>2020-09-19</v>
      </c>
      <c r="J3374" t="s">
        <v>1084</v>
      </c>
      <c r="K3374" s="17" t="s">
        <v>90</v>
      </c>
      <c r="L3374">
        <v>3</v>
      </c>
    </row>
    <row r="3375" spans="1:12" x14ac:dyDescent="0.25">
      <c r="A3375" t="s">
        <v>7181</v>
      </c>
      <c r="B3375" t="s">
        <v>1738</v>
      </c>
      <c r="C3375" t="s">
        <v>655</v>
      </c>
      <c r="D3375" t="s">
        <v>9527</v>
      </c>
      <c r="E3375">
        <v>36</v>
      </c>
      <c r="F3375" t="s">
        <v>971</v>
      </c>
      <c r="G3375" t="s">
        <v>191</v>
      </c>
      <c r="H3375" t="s">
        <v>7182</v>
      </c>
      <c r="I3375" s="1" t="d">
        <v>2012-12-07</v>
      </c>
      <c r="J3375" t="s">
        <v>1344</v>
      </c>
      <c r="K3375" s="17" t="s">
        <v>207</v>
      </c>
      <c r="L3375">
        <v>2</v>
      </c>
    </row>
    <row r="3376" spans="1:12" x14ac:dyDescent="0.25">
      <c r="A3376" t="s">
        <v>7183</v>
      </c>
      <c r="B3376" t="s">
        <v>1644</v>
      </c>
      <c r="C3376" t="s">
        <v>7184</v>
      </c>
      <c r="D3376" t="s">
        <v>23</v>
      </c>
      <c r="E3376">
        <v>39</v>
      </c>
      <c r="G3376" t="s">
        <v>115</v>
      </c>
      <c r="H3376">
        <v>58912</v>
      </c>
      <c r="I3376" s="1" t="d">
        <v>2016-01-03</v>
      </c>
      <c r="J3376" t="s">
        <v>7185</v>
      </c>
      <c r="K3376" s="17" t="s">
        <v>34</v>
      </c>
      <c r="L3376">
        <v>4</v>
      </c>
    </row>
    <row r="3377" spans="1:12" x14ac:dyDescent="0.25">
      <c r="A3377" t="s">
        <v>7186</v>
      </c>
      <c r="B3377" t="s">
        <v>1247</v>
      </c>
      <c r="C3377" t="s">
        <v>14</v>
      </c>
      <c r="D3377" t="s">
        <v>9527</v>
      </c>
      <c r="E3377">
        <v>21</v>
      </c>
      <c r="F3377" t="s">
        <v>169</v>
      </c>
      <c r="G3377" t="s">
        <v>82</v>
      </c>
      <c r="H3377" s="2">
        <v>51506</v>
      </c>
      <c r="J3377" t="s">
        <v>7187</v>
      </c>
      <c r="K3377" s="17" t="s">
        <v>71</v>
      </c>
      <c r="L3377">
        <v>4</v>
      </c>
    </row>
    <row r="3378" spans="1:12" x14ac:dyDescent="0.25">
      <c r="A3378" t="s">
        <v>7188</v>
      </c>
      <c r="B3378" t="s">
        <v>746</v>
      </c>
      <c r="C3378" t="s">
        <v>830</v>
      </c>
      <c r="D3378" t="s">
        <v>23</v>
      </c>
      <c r="E3378">
        <v>35</v>
      </c>
      <c r="F3378" t="s">
        <v>4293</v>
      </c>
      <c r="G3378" t="s">
        <v>82</v>
      </c>
      <c r="I3378" s="1" t="d">
        <v>2024-01-09</v>
      </c>
      <c r="J3378" t="s">
        <v>1485</v>
      </c>
      <c r="K3378" s="17" t="s">
        <v>58</v>
      </c>
      <c r="L3378">
        <v>1</v>
      </c>
    </row>
    <row r="3379" spans="1:12" x14ac:dyDescent="0.25">
      <c r="A3379" t="s">
        <v>7189</v>
      </c>
      <c r="B3379" t="s">
        <v>571</v>
      </c>
      <c r="C3379" t="s">
        <v>699</v>
      </c>
      <c r="D3379" t="s">
        <v>46</v>
      </c>
      <c r="E3379">
        <v>36</v>
      </c>
      <c r="F3379" t="s">
        <v>671</v>
      </c>
      <c r="G3379" t="s">
        <v>212</v>
      </c>
      <c r="H3379">
        <v>95429</v>
      </c>
      <c r="I3379" s="1" t="d">
        <v>2012-09-20</v>
      </c>
      <c r="J3379" t="s">
        <v>573</v>
      </c>
      <c r="K3379" s="17" t="s">
        <v>118</v>
      </c>
      <c r="L3379">
        <v>3</v>
      </c>
    </row>
    <row r="3380" spans="1:12" x14ac:dyDescent="0.25">
      <c r="A3380" t="s">
        <v>7190</v>
      </c>
      <c r="B3380" t="s">
        <v>2222</v>
      </c>
      <c r="C3380" t="s">
        <v>474</v>
      </c>
      <c r="D3380" t="s">
        <v>9527</v>
      </c>
      <c r="E3380">
        <v>38</v>
      </c>
      <c r="F3380" t="s">
        <v>153</v>
      </c>
      <c r="G3380" t="s">
        <v>170</v>
      </c>
      <c r="H3380">
        <v>75674</v>
      </c>
      <c r="I3380" s="1" t="d">
        <v>2010-07-21</v>
      </c>
      <c r="J3380" t="s">
        <v>4744</v>
      </c>
      <c r="K3380" s="17" t="s">
        <v>90</v>
      </c>
      <c r="L3380">
        <v>3</v>
      </c>
    </row>
    <row r="3381" spans="1:12" x14ac:dyDescent="0.25">
      <c r="A3381" t="s">
        <v>7191</v>
      </c>
      <c r="B3381" t="s">
        <v>102</v>
      </c>
      <c r="C3381" t="s">
        <v>555</v>
      </c>
      <c r="D3381" t="s">
        <v>46</v>
      </c>
      <c r="E3381">
        <v>44</v>
      </c>
      <c r="F3381" t="s">
        <v>216</v>
      </c>
      <c r="G3381" t="s">
        <v>32</v>
      </c>
      <c r="I3381" s="1" t="d">
        <v>2020-08-23</v>
      </c>
      <c r="J3381" t="s">
        <v>4311</v>
      </c>
      <c r="K3381" s="17" t="s">
        <v>118</v>
      </c>
      <c r="L3381">
        <v>4</v>
      </c>
    </row>
    <row r="3382" spans="1:12" x14ac:dyDescent="0.25">
      <c r="A3382" t="s">
        <v>7192</v>
      </c>
      <c r="B3382" t="s">
        <v>548</v>
      </c>
      <c r="C3382" t="s">
        <v>145</v>
      </c>
      <c r="D3382" t="s">
        <v>9527</v>
      </c>
      <c r="E3382">
        <v>21</v>
      </c>
      <c r="F3382" t="s">
        <v>2065</v>
      </c>
      <c r="G3382" t="s">
        <v>283</v>
      </c>
      <c r="H3382" s="2">
        <v>176783</v>
      </c>
      <c r="I3382" s="1" t="d">
        <v>2012-05-11</v>
      </c>
      <c r="J3382" t="s">
        <v>690</v>
      </c>
      <c r="K3382" s="17" t="s">
        <v>370</v>
      </c>
      <c r="L3382">
        <v>3</v>
      </c>
    </row>
    <row r="3383" spans="1:12" x14ac:dyDescent="0.25">
      <c r="A3383" t="s">
        <v>7193</v>
      </c>
      <c r="B3383" t="s">
        <v>945</v>
      </c>
      <c r="C3383" t="s">
        <v>525</v>
      </c>
      <c r="D3383" t="s">
        <v>9527</v>
      </c>
      <c r="E3383">
        <v>37</v>
      </c>
      <c r="F3383" t="s">
        <v>649</v>
      </c>
      <c r="G3383" t="s">
        <v>177</v>
      </c>
      <c r="H3383" t="s">
        <v>7194</v>
      </c>
      <c r="I3383" s="1" t="d">
        <v>2010-02-13</v>
      </c>
      <c r="J3383" t="s">
        <v>3278</v>
      </c>
      <c r="K3383" s="17" t="s">
        <v>42</v>
      </c>
      <c r="L3383">
        <v>3</v>
      </c>
    </row>
    <row r="3384" spans="1:12" x14ac:dyDescent="0.25">
      <c r="A3384" t="s">
        <v>7195</v>
      </c>
      <c r="B3384" t="s">
        <v>1374</v>
      </c>
      <c r="C3384" t="s">
        <v>268</v>
      </c>
      <c r="D3384" t="s">
        <v>9527</v>
      </c>
      <c r="E3384">
        <v>44</v>
      </c>
      <c r="F3384" t="s">
        <v>238</v>
      </c>
      <c r="G3384" t="s">
        <v>351</v>
      </c>
      <c r="H3384" s="2">
        <v>44986</v>
      </c>
      <c r="I3384" s="1" t="d">
        <v>2015-04-16</v>
      </c>
      <c r="J3384" t="s">
        <v>3223</v>
      </c>
      <c r="K3384" s="17" t="s">
        <v>27</v>
      </c>
      <c r="L3384">
        <v>4</v>
      </c>
    </row>
    <row r="3385" spans="1:12" x14ac:dyDescent="0.25">
      <c r="A3385" t="s">
        <v>7196</v>
      </c>
      <c r="B3385" t="s">
        <v>139</v>
      </c>
      <c r="C3385" t="s">
        <v>145</v>
      </c>
      <c r="D3385" t="s">
        <v>23</v>
      </c>
      <c r="E3385">
        <v>26</v>
      </c>
      <c r="F3385" t="s">
        <v>15</v>
      </c>
      <c r="G3385" t="s">
        <v>16</v>
      </c>
      <c r="H3385" t="s">
        <v>7197</v>
      </c>
      <c r="I3385" s="1" t="d">
        <v>2011-05-07</v>
      </c>
      <c r="J3385" t="s">
        <v>690</v>
      </c>
      <c r="K3385" s="17" t="s">
        <v>34</v>
      </c>
      <c r="L3385">
        <v>3</v>
      </c>
    </row>
    <row r="3386" spans="1:12" x14ac:dyDescent="0.25">
      <c r="A3386" t="s">
        <v>7198</v>
      </c>
      <c r="B3386" t="s">
        <v>808</v>
      </c>
      <c r="C3386" t="s">
        <v>1248</v>
      </c>
      <c r="D3386" t="s">
        <v>46</v>
      </c>
      <c r="E3386">
        <v>42</v>
      </c>
      <c r="F3386" t="s">
        <v>108</v>
      </c>
      <c r="G3386" t="s">
        <v>706</v>
      </c>
      <c r="H3386" s="2">
        <v>86680</v>
      </c>
      <c r="I3386" s="1" t="d">
        <v>2015-11-05</v>
      </c>
      <c r="J3386" t="s">
        <v>2159</v>
      </c>
      <c r="K3386" s="17" t="s">
        <v>100</v>
      </c>
      <c r="L3386">
        <v>4</v>
      </c>
    </row>
    <row r="3387" spans="1:12" x14ac:dyDescent="0.25">
      <c r="A3387" t="s">
        <v>4850</v>
      </c>
      <c r="B3387" t="s">
        <v>29</v>
      </c>
      <c r="C3387" t="s">
        <v>898</v>
      </c>
      <c r="D3387" t="s">
        <v>23</v>
      </c>
      <c r="E3387">
        <v>41</v>
      </c>
      <c r="F3387" t="s">
        <v>978</v>
      </c>
      <c r="G3387" t="s">
        <v>39</v>
      </c>
      <c r="H3387" t="s">
        <v>4851</v>
      </c>
      <c r="I3387" s="1" t="d">
        <v>2014-04-22</v>
      </c>
      <c r="J3387" t="s">
        <v>1239</v>
      </c>
      <c r="K3387" s="17" t="s">
        <v>207</v>
      </c>
      <c r="L3387">
        <v>3</v>
      </c>
    </row>
    <row r="3388" spans="1:12" x14ac:dyDescent="0.25">
      <c r="A3388" t="s">
        <v>7199</v>
      </c>
      <c r="B3388" t="s">
        <v>786</v>
      </c>
      <c r="C3388" t="s">
        <v>1892</v>
      </c>
      <c r="D3388" t="s">
        <v>9527</v>
      </c>
      <c r="E3388">
        <v>35</v>
      </c>
      <c r="F3388" t="s">
        <v>918</v>
      </c>
      <c r="G3388" t="s">
        <v>212</v>
      </c>
      <c r="I3388" s="1" t="d">
        <v>2019-03-14</v>
      </c>
      <c r="J3388" t="s">
        <v>1606</v>
      </c>
      <c r="K3388" s="17" t="s">
        <v>207</v>
      </c>
      <c r="L3388">
        <v>4</v>
      </c>
    </row>
    <row r="3389" spans="1:12" x14ac:dyDescent="0.25">
      <c r="A3389" t="s">
        <v>7200</v>
      </c>
      <c r="B3389" t="s">
        <v>5538</v>
      </c>
      <c r="C3389" t="s">
        <v>3293</v>
      </c>
      <c r="D3389" t="s">
        <v>9527</v>
      </c>
      <c r="E3389">
        <v>34</v>
      </c>
      <c r="F3389" t="s">
        <v>859</v>
      </c>
      <c r="G3389" t="s">
        <v>39</v>
      </c>
      <c r="H3389" t="s">
        <v>7201</v>
      </c>
      <c r="I3389" s="1" t="d">
        <v>2010-04-26</v>
      </c>
      <c r="J3389" t="s">
        <v>5455</v>
      </c>
      <c r="K3389" s="17" t="s">
        <v>90</v>
      </c>
      <c r="L3389">
        <v>4</v>
      </c>
    </row>
    <row r="3390" spans="1:12" x14ac:dyDescent="0.25">
      <c r="A3390" t="s">
        <v>7202</v>
      </c>
      <c r="B3390" t="s">
        <v>157</v>
      </c>
      <c r="C3390" t="s">
        <v>2727</v>
      </c>
      <c r="D3390" t="s">
        <v>9527</v>
      </c>
      <c r="E3390">
        <v>27</v>
      </c>
      <c r="F3390" t="s">
        <v>2065</v>
      </c>
      <c r="G3390" t="s">
        <v>182</v>
      </c>
      <c r="H3390" t="s">
        <v>7203</v>
      </c>
      <c r="J3390" t="s">
        <v>6236</v>
      </c>
      <c r="K3390" s="17" t="s">
        <v>90</v>
      </c>
      <c r="L3390">
        <v>3</v>
      </c>
    </row>
    <row r="3391" spans="1:12" x14ac:dyDescent="0.25">
      <c r="A3391" t="s">
        <v>7204</v>
      </c>
      <c r="B3391" t="s">
        <v>769</v>
      </c>
      <c r="C3391" t="s">
        <v>324</v>
      </c>
      <c r="D3391" t="s">
        <v>46</v>
      </c>
      <c r="E3391">
        <v>28</v>
      </c>
      <c r="F3391" t="s">
        <v>296</v>
      </c>
      <c r="G3391" t="s">
        <v>82</v>
      </c>
      <c r="H3391">
        <v>75789</v>
      </c>
      <c r="I3391" s="1" t="d">
        <v>2007-04-16</v>
      </c>
      <c r="J3391" t="s">
        <v>2110</v>
      </c>
      <c r="K3391" s="17" t="s">
        <v>34</v>
      </c>
      <c r="L3391">
        <v>3</v>
      </c>
    </row>
    <row r="3392" spans="1:12" x14ac:dyDescent="0.25">
      <c r="A3392" t="s">
        <v>7205</v>
      </c>
      <c r="B3392" t="s">
        <v>945</v>
      </c>
      <c r="C3392" t="s">
        <v>30</v>
      </c>
      <c r="D3392" t="s">
        <v>9527</v>
      </c>
      <c r="E3392">
        <v>42</v>
      </c>
      <c r="F3392" t="s">
        <v>196</v>
      </c>
      <c r="G3392" t="s">
        <v>1719</v>
      </c>
      <c r="I3392" s="1" t="d">
        <v>2006-08-11</v>
      </c>
      <c r="J3392" t="s">
        <v>3747</v>
      </c>
      <c r="K3392" s="17" t="s">
        <v>42</v>
      </c>
      <c r="L3392">
        <v>4</v>
      </c>
    </row>
    <row r="3393" spans="1:12" x14ac:dyDescent="0.25">
      <c r="A3393" t="s">
        <v>1363</v>
      </c>
      <c r="B3393" t="s">
        <v>566</v>
      </c>
      <c r="C3393" t="s">
        <v>1364</v>
      </c>
      <c r="D3393" t="s">
        <v>46</v>
      </c>
      <c r="E3393">
        <v>46</v>
      </c>
      <c r="F3393" t="s">
        <v>245</v>
      </c>
      <c r="G3393" t="s">
        <v>177</v>
      </c>
      <c r="H3393" t="s">
        <v>1365</v>
      </c>
      <c r="I3393" s="1" t="d">
        <v>2020-07-22</v>
      </c>
      <c r="J3393" t="s">
        <v>1366</v>
      </c>
      <c r="K3393" s="17" t="s">
        <v>118</v>
      </c>
      <c r="L3393">
        <v>4</v>
      </c>
    </row>
    <row r="3394" spans="1:12" x14ac:dyDescent="0.25">
      <c r="A3394" t="s">
        <v>7206</v>
      </c>
      <c r="B3394" t="s">
        <v>394</v>
      </c>
      <c r="C3394" t="s">
        <v>332</v>
      </c>
      <c r="D3394" t="s">
        <v>46</v>
      </c>
      <c r="E3394">
        <v>33</v>
      </c>
      <c r="F3394" t="s">
        <v>216</v>
      </c>
      <c r="G3394" t="s">
        <v>1329</v>
      </c>
      <c r="I3394" s="1" t="d">
        <v>2009-10-31</v>
      </c>
      <c r="J3394" t="s">
        <v>688</v>
      </c>
      <c r="K3394" s="17" t="s">
        <v>71</v>
      </c>
      <c r="L3394">
        <v>5</v>
      </c>
    </row>
    <row r="3395" spans="1:12" x14ac:dyDescent="0.25">
      <c r="A3395" t="s">
        <v>7207</v>
      </c>
      <c r="B3395" t="s">
        <v>906</v>
      </c>
      <c r="C3395" t="s">
        <v>37</v>
      </c>
      <c r="D3395" t="s">
        <v>23</v>
      </c>
      <c r="E3395">
        <v>36</v>
      </c>
      <c r="F3395" t="s">
        <v>169</v>
      </c>
      <c r="G3395" t="s">
        <v>1719</v>
      </c>
      <c r="H3395" s="2">
        <v>59598</v>
      </c>
      <c r="I3395" s="1" t="d">
        <v>2017-10-22</v>
      </c>
      <c r="J3395" t="s">
        <v>284</v>
      </c>
      <c r="K3395" s="17" t="s">
        <v>27</v>
      </c>
      <c r="L3395">
        <v>3</v>
      </c>
    </row>
    <row r="3396" spans="1:12" x14ac:dyDescent="0.25">
      <c r="A3396" t="s">
        <v>7208</v>
      </c>
      <c r="B3396" t="s">
        <v>410</v>
      </c>
      <c r="C3396" t="s">
        <v>2428</v>
      </c>
      <c r="D3396" t="s">
        <v>46</v>
      </c>
      <c r="E3396">
        <v>32</v>
      </c>
      <c r="F3396" t="s">
        <v>24</v>
      </c>
      <c r="G3396" t="s">
        <v>1277</v>
      </c>
      <c r="H3396">
        <v>76466</v>
      </c>
      <c r="I3396" s="1" t="d">
        <v>2024-02-03</v>
      </c>
      <c r="J3396" t="s">
        <v>1424</v>
      </c>
      <c r="K3396" s="17" t="s">
        <v>184</v>
      </c>
      <c r="L3396">
        <v>3</v>
      </c>
    </row>
    <row r="3397" spans="1:12" x14ac:dyDescent="0.25">
      <c r="A3397" t="s">
        <v>7209</v>
      </c>
      <c r="B3397" t="s">
        <v>2197</v>
      </c>
      <c r="C3397" t="s">
        <v>575</v>
      </c>
      <c r="D3397" t="s">
        <v>23</v>
      </c>
      <c r="E3397">
        <v>47</v>
      </c>
      <c r="F3397" t="s">
        <v>350</v>
      </c>
      <c r="G3397" t="s">
        <v>504</v>
      </c>
      <c r="H3397" t="s">
        <v>7210</v>
      </c>
      <c r="I3397" s="1" t="d">
        <v>2020-01-28</v>
      </c>
      <c r="J3397" t="s">
        <v>2198</v>
      </c>
      <c r="K3397" s="17" t="s">
        <v>149</v>
      </c>
      <c r="L3397">
        <v>4</v>
      </c>
    </row>
    <row r="3398" spans="1:12" x14ac:dyDescent="0.25">
      <c r="A3398" t="s">
        <v>7211</v>
      </c>
      <c r="B3398" t="s">
        <v>664</v>
      </c>
      <c r="C3398" t="s">
        <v>516</v>
      </c>
      <c r="D3398" t="s">
        <v>46</v>
      </c>
      <c r="E3398">
        <v>34</v>
      </c>
      <c r="F3398" t="s">
        <v>186</v>
      </c>
      <c r="G3398" t="s">
        <v>170</v>
      </c>
      <c r="H3398" t="s">
        <v>7212</v>
      </c>
      <c r="I3398" s="1" t="d">
        <v>2017-11-20</v>
      </c>
      <c r="J3398" t="s">
        <v>3536</v>
      </c>
      <c r="K3398" s="17" t="s">
        <v>34</v>
      </c>
      <c r="L3398">
        <v>3</v>
      </c>
    </row>
    <row r="3399" spans="1:12" x14ac:dyDescent="0.25">
      <c r="A3399" t="s">
        <v>7213</v>
      </c>
      <c r="B3399" t="s">
        <v>664</v>
      </c>
      <c r="C3399" t="s">
        <v>3206</v>
      </c>
      <c r="D3399" t="s">
        <v>46</v>
      </c>
      <c r="E3399">
        <v>34</v>
      </c>
      <c r="G3399" t="s">
        <v>500</v>
      </c>
      <c r="H3399" t="s">
        <v>7214</v>
      </c>
      <c r="I3399" s="1" t="d">
        <v>2022-09-09</v>
      </c>
      <c r="J3399" t="s">
        <v>6779</v>
      </c>
      <c r="K3399" s="17" t="s">
        <v>100</v>
      </c>
      <c r="L3399">
        <v>4</v>
      </c>
    </row>
    <row r="3400" spans="1:12" x14ac:dyDescent="0.25">
      <c r="A3400" t="s">
        <v>2267</v>
      </c>
      <c r="B3400" t="s">
        <v>262</v>
      </c>
      <c r="C3400" t="s">
        <v>1010</v>
      </c>
      <c r="D3400" t="s">
        <v>9527</v>
      </c>
      <c r="E3400">
        <v>41</v>
      </c>
      <c r="F3400" t="s">
        <v>978</v>
      </c>
      <c r="G3400" t="s">
        <v>82</v>
      </c>
      <c r="H3400" t="s">
        <v>2268</v>
      </c>
      <c r="I3400" s="1" t="d">
        <v>2008-07-28</v>
      </c>
      <c r="J3400" t="s">
        <v>2269</v>
      </c>
      <c r="K3400" s="17" t="s">
        <v>19</v>
      </c>
      <c r="L3400">
        <v>5</v>
      </c>
    </row>
    <row r="3401" spans="1:12" x14ac:dyDescent="0.25">
      <c r="A3401" t="s">
        <v>7215</v>
      </c>
      <c r="B3401" t="s">
        <v>1403</v>
      </c>
      <c r="C3401" t="s">
        <v>1622</v>
      </c>
      <c r="D3401" t="s">
        <v>23</v>
      </c>
      <c r="E3401">
        <v>46</v>
      </c>
      <c r="F3401" t="s">
        <v>258</v>
      </c>
      <c r="G3401" t="s">
        <v>69</v>
      </c>
      <c r="H3401" s="2">
        <v>62398</v>
      </c>
      <c r="J3401" t="s">
        <v>2011</v>
      </c>
      <c r="K3401" s="17" t="s">
        <v>27</v>
      </c>
      <c r="L3401">
        <v>2</v>
      </c>
    </row>
    <row r="3402" spans="1:12" x14ac:dyDescent="0.25">
      <c r="A3402" t="s">
        <v>7216</v>
      </c>
      <c r="B3402" t="s">
        <v>936</v>
      </c>
      <c r="C3402" t="s">
        <v>1320</v>
      </c>
      <c r="D3402" t="s">
        <v>46</v>
      </c>
      <c r="E3402">
        <v>21</v>
      </c>
      <c r="F3402" t="s">
        <v>1116</v>
      </c>
      <c r="G3402" t="s">
        <v>16</v>
      </c>
      <c r="H3402" s="2">
        <v>93585</v>
      </c>
      <c r="I3402" s="1" t="d">
        <v>2018-02-08</v>
      </c>
      <c r="J3402" t="s">
        <v>7217</v>
      </c>
      <c r="K3402" s="17" t="s">
        <v>50</v>
      </c>
      <c r="L3402">
        <v>3</v>
      </c>
    </row>
    <row r="3403" spans="1:12" x14ac:dyDescent="0.25">
      <c r="A3403" t="s">
        <v>7218</v>
      </c>
      <c r="B3403" t="s">
        <v>139</v>
      </c>
      <c r="C3403" t="s">
        <v>512</v>
      </c>
      <c r="D3403" t="s">
        <v>46</v>
      </c>
      <c r="E3403">
        <v>21</v>
      </c>
      <c r="F3403" t="s">
        <v>666</v>
      </c>
      <c r="G3403" t="s">
        <v>217</v>
      </c>
      <c r="H3403" s="2">
        <v>67125</v>
      </c>
      <c r="I3403" s="1" t="d">
        <v>2021-09-13</v>
      </c>
      <c r="J3403" t="s">
        <v>142</v>
      </c>
      <c r="K3403" s="17" t="s">
        <v>370</v>
      </c>
      <c r="L3403">
        <v>3</v>
      </c>
    </row>
    <row r="3404" spans="1:12" x14ac:dyDescent="0.25">
      <c r="A3404" t="s">
        <v>7219</v>
      </c>
      <c r="B3404" t="s">
        <v>548</v>
      </c>
      <c r="C3404" t="s">
        <v>215</v>
      </c>
      <c r="D3404" t="s">
        <v>23</v>
      </c>
      <c r="E3404">
        <v>53</v>
      </c>
      <c r="F3404" t="s">
        <v>196</v>
      </c>
      <c r="G3404" t="s">
        <v>283</v>
      </c>
      <c r="H3404" t="s">
        <v>7220</v>
      </c>
      <c r="I3404" s="1" t="d">
        <v>2022-07-03</v>
      </c>
      <c r="J3404" t="s">
        <v>5227</v>
      </c>
      <c r="K3404" s="17" t="s">
        <v>207</v>
      </c>
      <c r="L3404">
        <v>4</v>
      </c>
    </row>
    <row r="3405" spans="1:12" x14ac:dyDescent="0.25">
      <c r="A3405" t="s">
        <v>7221</v>
      </c>
      <c r="B3405" t="s">
        <v>180</v>
      </c>
      <c r="C3405" t="s">
        <v>5052</v>
      </c>
      <c r="D3405" t="s">
        <v>23</v>
      </c>
      <c r="E3405">
        <v>37</v>
      </c>
      <c r="F3405" t="s">
        <v>122</v>
      </c>
      <c r="G3405" t="s">
        <v>55</v>
      </c>
      <c r="H3405" t="s">
        <v>7222</v>
      </c>
      <c r="I3405" s="1" t="d">
        <v>2011-02-03</v>
      </c>
      <c r="J3405" t="s">
        <v>392</v>
      </c>
      <c r="K3405" s="17" t="s">
        <v>42</v>
      </c>
      <c r="L3405">
        <v>4</v>
      </c>
    </row>
    <row r="3406" spans="1:12" x14ac:dyDescent="0.25">
      <c r="A3406" t="s">
        <v>7223</v>
      </c>
      <c r="B3406" t="s">
        <v>841</v>
      </c>
      <c r="C3406" t="s">
        <v>1520</v>
      </c>
      <c r="D3406" t="s">
        <v>23</v>
      </c>
      <c r="E3406">
        <v>33</v>
      </c>
      <c r="F3406" t="s">
        <v>196</v>
      </c>
      <c r="G3406" t="s">
        <v>16</v>
      </c>
      <c r="H3406" t="s">
        <v>7224</v>
      </c>
      <c r="I3406" s="1" t="d">
        <v>2020-03-09</v>
      </c>
      <c r="J3406" t="s">
        <v>7225</v>
      </c>
      <c r="K3406" s="17" t="s">
        <v>100</v>
      </c>
      <c r="L3406">
        <v>2</v>
      </c>
    </row>
    <row r="3407" spans="1:12" x14ac:dyDescent="0.25">
      <c r="A3407" t="s">
        <v>7226</v>
      </c>
      <c r="B3407" t="s">
        <v>594</v>
      </c>
      <c r="C3407" t="s">
        <v>158</v>
      </c>
      <c r="D3407" t="s">
        <v>9527</v>
      </c>
      <c r="E3407">
        <v>28</v>
      </c>
      <c r="F3407" t="s">
        <v>94</v>
      </c>
      <c r="G3407" t="s">
        <v>39</v>
      </c>
      <c r="H3407" t="s">
        <v>7227</v>
      </c>
      <c r="I3407" s="1" t="d">
        <v>2013-12-01</v>
      </c>
      <c r="J3407" t="s">
        <v>597</v>
      </c>
      <c r="K3407" s="17" t="s">
        <v>118</v>
      </c>
      <c r="L3407">
        <v>4</v>
      </c>
    </row>
    <row r="3408" spans="1:12" x14ac:dyDescent="0.25">
      <c r="A3408" t="s">
        <v>7228</v>
      </c>
      <c r="B3408" t="s">
        <v>7229</v>
      </c>
      <c r="C3408" t="s">
        <v>1622</v>
      </c>
      <c r="D3408" t="s">
        <v>46</v>
      </c>
      <c r="E3408">
        <v>35</v>
      </c>
      <c r="F3408" t="s">
        <v>5799</v>
      </c>
      <c r="G3408" t="s">
        <v>48</v>
      </c>
      <c r="H3408">
        <v>77128</v>
      </c>
      <c r="J3408" t="s">
        <v>1170</v>
      </c>
      <c r="K3408" s="17" t="s">
        <v>58</v>
      </c>
      <c r="L3408">
        <v>3</v>
      </c>
    </row>
    <row r="3409" spans="1:12" x14ac:dyDescent="0.25">
      <c r="A3409" t="s">
        <v>7230</v>
      </c>
      <c r="B3409" t="s">
        <v>125</v>
      </c>
      <c r="C3409" t="s">
        <v>699</v>
      </c>
      <c r="D3409" t="s">
        <v>23</v>
      </c>
      <c r="E3409">
        <v>31</v>
      </c>
      <c r="F3409" t="s">
        <v>974</v>
      </c>
      <c r="G3409" t="s">
        <v>177</v>
      </c>
      <c r="H3409" t="s">
        <v>7231</v>
      </c>
      <c r="I3409" s="1" t="d">
        <v>2008-04-25</v>
      </c>
      <c r="J3409" t="s">
        <v>7232</v>
      </c>
      <c r="K3409" s="17" t="s">
        <v>90</v>
      </c>
      <c r="L3409">
        <v>4</v>
      </c>
    </row>
    <row r="3410" spans="1:12" x14ac:dyDescent="0.25">
      <c r="A3410" t="s">
        <v>7233</v>
      </c>
      <c r="B3410" t="s">
        <v>1481</v>
      </c>
      <c r="C3410" t="s">
        <v>758</v>
      </c>
      <c r="D3410" t="s">
        <v>46</v>
      </c>
      <c r="E3410">
        <v>34</v>
      </c>
      <c r="F3410" t="s">
        <v>522</v>
      </c>
      <c r="G3410" t="s">
        <v>55</v>
      </c>
      <c r="H3410">
        <v>87384</v>
      </c>
      <c r="I3410" s="1" t="d">
        <v>2024-09-16</v>
      </c>
      <c r="J3410" t="s">
        <v>4741</v>
      </c>
      <c r="K3410" s="17" t="s">
        <v>149</v>
      </c>
      <c r="L3410">
        <v>4</v>
      </c>
    </row>
    <row r="3411" spans="1:12" x14ac:dyDescent="0.25">
      <c r="A3411" t="s">
        <v>7234</v>
      </c>
      <c r="B3411" t="s">
        <v>2681</v>
      </c>
      <c r="C3411" t="s">
        <v>886</v>
      </c>
      <c r="D3411" t="s">
        <v>46</v>
      </c>
      <c r="E3411">
        <v>46</v>
      </c>
      <c r="F3411" t="s">
        <v>62</v>
      </c>
      <c r="G3411" t="s">
        <v>357</v>
      </c>
      <c r="H3411" t="s">
        <v>7235</v>
      </c>
      <c r="I3411" s="1" t="d">
        <v>2016-04-01</v>
      </c>
      <c r="J3411" t="s">
        <v>3335</v>
      </c>
      <c r="K3411" s="17" t="s">
        <v>71</v>
      </c>
      <c r="L3411">
        <v>3</v>
      </c>
    </row>
    <row r="3412" spans="1:12" x14ac:dyDescent="0.25">
      <c r="A3412" t="s">
        <v>7236</v>
      </c>
      <c r="B3412" t="s">
        <v>773</v>
      </c>
      <c r="C3412" t="s">
        <v>665</v>
      </c>
      <c r="D3412" t="s">
        <v>9527</v>
      </c>
      <c r="E3412">
        <v>54</v>
      </c>
      <c r="F3412" t="s">
        <v>411</v>
      </c>
      <c r="G3412" t="s">
        <v>88</v>
      </c>
      <c r="H3412" t="s">
        <v>7237</v>
      </c>
      <c r="I3412" s="1" t="d">
        <v>2010-10-23</v>
      </c>
      <c r="J3412" t="s">
        <v>7145</v>
      </c>
      <c r="K3412" s="17" t="s">
        <v>19</v>
      </c>
      <c r="L3412">
        <v>2</v>
      </c>
    </row>
    <row r="3413" spans="1:12" x14ac:dyDescent="0.25">
      <c r="A3413" t="s">
        <v>7238</v>
      </c>
      <c r="B3413" t="s">
        <v>652</v>
      </c>
      <c r="C3413" t="s">
        <v>631</v>
      </c>
      <c r="D3413" t="s">
        <v>9527</v>
      </c>
      <c r="E3413">
        <v>26</v>
      </c>
      <c r="F3413" t="s">
        <v>7239</v>
      </c>
      <c r="G3413" t="s">
        <v>55</v>
      </c>
      <c r="I3413" s="1" t="d">
        <v>2012-03-31</v>
      </c>
      <c r="J3413" t="s">
        <v>7240</v>
      </c>
      <c r="K3413" s="17" t="s">
        <v>58</v>
      </c>
      <c r="L3413">
        <v>3</v>
      </c>
    </row>
    <row r="3414" spans="1:12" x14ac:dyDescent="0.25">
      <c r="A3414" t="s">
        <v>7241</v>
      </c>
      <c r="B3414" t="s">
        <v>467</v>
      </c>
      <c r="C3414" t="s">
        <v>503</v>
      </c>
      <c r="D3414" t="s">
        <v>46</v>
      </c>
      <c r="E3414">
        <v>41</v>
      </c>
      <c r="F3414" t="s">
        <v>411</v>
      </c>
      <c r="G3414" t="s">
        <v>55</v>
      </c>
      <c r="H3414" t="s">
        <v>7242</v>
      </c>
      <c r="I3414" s="1" t="d">
        <v>2018-02-15</v>
      </c>
      <c r="J3414" t="s">
        <v>879</v>
      </c>
      <c r="K3414" s="17" t="s">
        <v>71</v>
      </c>
      <c r="L3414">
        <v>2</v>
      </c>
    </row>
    <row r="3415" spans="1:12" x14ac:dyDescent="0.25">
      <c r="A3415" t="s">
        <v>7243</v>
      </c>
      <c r="B3415" t="s">
        <v>323</v>
      </c>
      <c r="C3415" t="s">
        <v>1384</v>
      </c>
      <c r="D3415" t="s">
        <v>9527</v>
      </c>
      <c r="E3415">
        <v>42</v>
      </c>
      <c r="F3415" t="s">
        <v>2065</v>
      </c>
      <c r="G3415" t="s">
        <v>641</v>
      </c>
      <c r="H3415" s="2">
        <v>77448</v>
      </c>
      <c r="I3415" s="1" t="d">
        <v>2019-09-14</v>
      </c>
      <c r="J3415" t="s">
        <v>1954</v>
      </c>
      <c r="K3415" s="17" t="s">
        <v>58</v>
      </c>
      <c r="L3415">
        <v>3</v>
      </c>
    </row>
    <row r="3416" spans="1:12" x14ac:dyDescent="0.25">
      <c r="A3416" t="s">
        <v>7244</v>
      </c>
      <c r="B3416" t="s">
        <v>520</v>
      </c>
      <c r="C3416" t="s">
        <v>696</v>
      </c>
      <c r="D3416" t="s">
        <v>46</v>
      </c>
      <c r="E3416">
        <v>38</v>
      </c>
      <c r="F3416" t="s">
        <v>15</v>
      </c>
      <c r="G3416" t="s">
        <v>55</v>
      </c>
      <c r="H3416" t="s">
        <v>7245</v>
      </c>
      <c r="I3416" s="1" t="d">
        <v>2024-04-05</v>
      </c>
      <c r="J3416" t="s">
        <v>5081</v>
      </c>
      <c r="K3416" s="17" t="s">
        <v>19</v>
      </c>
      <c r="L3416">
        <v>3</v>
      </c>
    </row>
    <row r="3417" spans="1:12" x14ac:dyDescent="0.25">
      <c r="A3417" t="s">
        <v>7246</v>
      </c>
      <c r="B3417" t="s">
        <v>433</v>
      </c>
      <c r="C3417" t="s">
        <v>1622</v>
      </c>
      <c r="D3417" t="s">
        <v>23</v>
      </c>
      <c r="E3417">
        <v>48</v>
      </c>
      <c r="F3417" t="s">
        <v>2065</v>
      </c>
      <c r="G3417" t="s">
        <v>7247</v>
      </c>
      <c r="H3417" t="s">
        <v>7248</v>
      </c>
      <c r="I3417" s="1" t="d">
        <v>2014-10-09</v>
      </c>
      <c r="J3417" t="s">
        <v>232</v>
      </c>
      <c r="K3417" s="17" t="s">
        <v>207</v>
      </c>
      <c r="L3417">
        <v>4</v>
      </c>
    </row>
    <row r="3418" spans="1:12" x14ac:dyDescent="0.25">
      <c r="A3418" t="s">
        <v>7249</v>
      </c>
      <c r="B3418" t="s">
        <v>2350</v>
      </c>
      <c r="C3418" t="s">
        <v>1248</v>
      </c>
      <c r="D3418" t="s">
        <v>46</v>
      </c>
      <c r="E3418">
        <v>36</v>
      </c>
      <c r="G3418" t="s">
        <v>170</v>
      </c>
      <c r="H3418" s="2">
        <v>65059</v>
      </c>
      <c r="I3418" s="1" t="d">
        <v>2012-05-24</v>
      </c>
      <c r="J3418" t="s">
        <v>1761</v>
      </c>
      <c r="K3418" s="17" t="s">
        <v>71</v>
      </c>
      <c r="L3418">
        <v>4</v>
      </c>
    </row>
    <row r="3419" spans="1:12" x14ac:dyDescent="0.25">
      <c r="A3419" t="s">
        <v>7250</v>
      </c>
      <c r="B3419" t="s">
        <v>66</v>
      </c>
      <c r="C3419" t="s">
        <v>195</v>
      </c>
      <c r="D3419" t="s">
        <v>23</v>
      </c>
      <c r="E3419">
        <v>33</v>
      </c>
      <c r="F3419" t="s">
        <v>522</v>
      </c>
      <c r="G3419" t="s">
        <v>88</v>
      </c>
      <c r="H3419">
        <v>97306</v>
      </c>
      <c r="I3419" s="1" t="d">
        <v>2016-07-26</v>
      </c>
      <c r="J3419" t="s">
        <v>7251</v>
      </c>
      <c r="K3419" s="17" t="s">
        <v>71</v>
      </c>
      <c r="L3419">
        <v>3</v>
      </c>
    </row>
    <row r="3420" spans="1:12" x14ac:dyDescent="0.25">
      <c r="A3420" t="s">
        <v>7252</v>
      </c>
      <c r="B3420" t="s">
        <v>949</v>
      </c>
      <c r="C3420" t="s">
        <v>805</v>
      </c>
      <c r="D3420" t="s">
        <v>9527</v>
      </c>
      <c r="E3420">
        <v>28</v>
      </c>
      <c r="F3420" t="s">
        <v>31</v>
      </c>
      <c r="G3420" t="s">
        <v>39</v>
      </c>
      <c r="H3420" t="s">
        <v>7253</v>
      </c>
      <c r="I3420" s="1" t="d">
        <v>2020-10-21</v>
      </c>
      <c r="J3420" t="s">
        <v>4810</v>
      </c>
      <c r="K3420" s="17" t="s">
        <v>58</v>
      </c>
      <c r="L3420">
        <v>3</v>
      </c>
    </row>
    <row r="3421" spans="1:12" x14ac:dyDescent="0.25">
      <c r="A3421" t="s">
        <v>3733</v>
      </c>
      <c r="B3421" t="s">
        <v>594</v>
      </c>
      <c r="C3421" t="s">
        <v>827</v>
      </c>
      <c r="D3421" t="s">
        <v>46</v>
      </c>
      <c r="E3421">
        <v>56</v>
      </c>
      <c r="F3421" t="s">
        <v>186</v>
      </c>
      <c r="G3421" t="s">
        <v>182</v>
      </c>
      <c r="H3421">
        <v>134789</v>
      </c>
      <c r="J3421" t="s">
        <v>3542</v>
      </c>
      <c r="K3421" s="17" t="s">
        <v>207</v>
      </c>
      <c r="L3421">
        <v>2</v>
      </c>
    </row>
    <row r="3422" spans="1:12" x14ac:dyDescent="0.25">
      <c r="A3422" t="s">
        <v>7254</v>
      </c>
      <c r="B3422" t="s">
        <v>139</v>
      </c>
      <c r="C3422" t="s">
        <v>282</v>
      </c>
      <c r="D3422" t="s">
        <v>23</v>
      </c>
      <c r="E3422">
        <v>47</v>
      </c>
      <c r="F3422" t="s">
        <v>406</v>
      </c>
      <c r="G3422" t="s">
        <v>378</v>
      </c>
      <c r="H3422" t="s">
        <v>7255</v>
      </c>
      <c r="I3422" s="1" t="d">
        <v>2020-09-03</v>
      </c>
      <c r="J3422" t="s">
        <v>309</v>
      </c>
      <c r="K3422" s="17" t="s">
        <v>42</v>
      </c>
      <c r="L3422">
        <v>2</v>
      </c>
    </row>
    <row r="3423" spans="1:12" x14ac:dyDescent="0.25">
      <c r="A3423" t="s">
        <v>7256</v>
      </c>
      <c r="B3423" t="s">
        <v>1689</v>
      </c>
      <c r="C3423" t="s">
        <v>268</v>
      </c>
      <c r="D3423" t="s">
        <v>9527</v>
      </c>
      <c r="E3423">
        <v>39</v>
      </c>
      <c r="F3423" t="s">
        <v>411</v>
      </c>
      <c r="G3423" t="s">
        <v>115</v>
      </c>
      <c r="H3423" t="s">
        <v>4577</v>
      </c>
      <c r="I3423" s="1" t="d">
        <v>2020-06-16</v>
      </c>
      <c r="J3423" t="s">
        <v>7257</v>
      </c>
      <c r="K3423" s="17" t="s">
        <v>34</v>
      </c>
      <c r="L3423">
        <v>5</v>
      </c>
    </row>
    <row r="3424" spans="1:12" x14ac:dyDescent="0.25">
      <c r="A3424" t="s">
        <v>7258</v>
      </c>
      <c r="B3424" t="s">
        <v>1738</v>
      </c>
      <c r="C3424" t="s">
        <v>830</v>
      </c>
      <c r="D3424" t="s">
        <v>23</v>
      </c>
      <c r="E3424">
        <v>21</v>
      </c>
      <c r="G3424" t="s">
        <v>48</v>
      </c>
      <c r="H3424" t="s">
        <v>7259</v>
      </c>
      <c r="I3424" s="1" t="d">
        <v>2010-12-16</v>
      </c>
      <c r="J3424" t="s">
        <v>5472</v>
      </c>
      <c r="K3424" s="17" t="s">
        <v>100</v>
      </c>
      <c r="L3424">
        <v>2</v>
      </c>
    </row>
    <row r="3425" spans="1:12" x14ac:dyDescent="0.25">
      <c r="A3425" t="s">
        <v>7260</v>
      </c>
      <c r="B3425" t="s">
        <v>426</v>
      </c>
      <c r="C3425" t="s">
        <v>1039</v>
      </c>
      <c r="D3425" t="s">
        <v>9527</v>
      </c>
      <c r="E3425">
        <v>33</v>
      </c>
      <c r="F3425" t="s">
        <v>122</v>
      </c>
      <c r="G3425" t="s">
        <v>1130</v>
      </c>
      <c r="H3425">
        <v>56742</v>
      </c>
      <c r="I3425" s="1" t="d">
        <v>2015-02-04</v>
      </c>
      <c r="J3425" t="s">
        <v>929</v>
      </c>
      <c r="K3425" s="17" t="s">
        <v>34</v>
      </c>
      <c r="L3425">
        <v>4</v>
      </c>
    </row>
    <row r="3426" spans="1:12" x14ac:dyDescent="0.25">
      <c r="A3426" t="s">
        <v>7261</v>
      </c>
      <c r="B3426" t="s">
        <v>112</v>
      </c>
      <c r="C3426" t="s">
        <v>22</v>
      </c>
      <c r="D3426" t="s">
        <v>46</v>
      </c>
      <c r="E3426">
        <v>47</v>
      </c>
      <c r="F3426" t="s">
        <v>108</v>
      </c>
      <c r="G3426" t="s">
        <v>170</v>
      </c>
      <c r="H3426" s="2">
        <v>90791</v>
      </c>
      <c r="I3426" s="1" t="d">
        <v>2013-07-07</v>
      </c>
      <c r="J3426" t="s">
        <v>884</v>
      </c>
      <c r="K3426" s="17" t="s">
        <v>207</v>
      </c>
      <c r="L3426">
        <v>3</v>
      </c>
    </row>
    <row r="3427" spans="1:12" x14ac:dyDescent="0.25">
      <c r="A3427" t="s">
        <v>7262</v>
      </c>
      <c r="B3427" t="s">
        <v>5596</v>
      </c>
      <c r="C3427" t="s">
        <v>107</v>
      </c>
      <c r="D3427" t="s">
        <v>23</v>
      </c>
      <c r="E3427">
        <v>30</v>
      </c>
      <c r="F3427" t="s">
        <v>4397</v>
      </c>
      <c r="G3427" t="s">
        <v>231</v>
      </c>
      <c r="H3427" t="s">
        <v>7263</v>
      </c>
      <c r="I3427" s="1" t="d">
        <v>2022-09-26</v>
      </c>
      <c r="J3427" t="s">
        <v>3576</v>
      </c>
      <c r="K3427" s="17" t="s">
        <v>207</v>
      </c>
      <c r="L3427">
        <v>3</v>
      </c>
    </row>
    <row r="3428" spans="1:12" x14ac:dyDescent="0.25">
      <c r="A3428" t="s">
        <v>7264</v>
      </c>
      <c r="B3428" t="s">
        <v>315</v>
      </c>
      <c r="C3428" t="s">
        <v>552</v>
      </c>
      <c r="D3428" t="s">
        <v>46</v>
      </c>
      <c r="E3428">
        <v>31</v>
      </c>
      <c r="F3428" t="s">
        <v>169</v>
      </c>
      <c r="G3428" t="s">
        <v>351</v>
      </c>
      <c r="H3428" t="s">
        <v>7265</v>
      </c>
      <c r="I3428" s="1" t="d">
        <v>2022-02-02</v>
      </c>
      <c r="J3428" t="s">
        <v>5128</v>
      </c>
      <c r="K3428" s="17" t="s">
        <v>184</v>
      </c>
      <c r="L3428">
        <v>2</v>
      </c>
    </row>
    <row r="3429" spans="1:12" x14ac:dyDescent="0.25">
      <c r="A3429" t="s">
        <v>7266</v>
      </c>
      <c r="B3429" t="s">
        <v>102</v>
      </c>
      <c r="C3429" t="s">
        <v>405</v>
      </c>
      <c r="D3429" t="s">
        <v>46</v>
      </c>
      <c r="E3429">
        <v>40</v>
      </c>
      <c r="F3429" t="s">
        <v>230</v>
      </c>
      <c r="G3429" t="s">
        <v>337</v>
      </c>
      <c r="H3429" t="s">
        <v>7267</v>
      </c>
      <c r="J3429" t="s">
        <v>2615</v>
      </c>
      <c r="K3429" s="17" t="s">
        <v>100</v>
      </c>
      <c r="L3429">
        <v>2</v>
      </c>
    </row>
    <row r="3430" spans="1:12" x14ac:dyDescent="0.25">
      <c r="A3430" t="s">
        <v>7268</v>
      </c>
      <c r="B3430" t="s">
        <v>1096</v>
      </c>
      <c r="C3430" t="s">
        <v>416</v>
      </c>
      <c r="D3430" t="s">
        <v>23</v>
      </c>
      <c r="E3430">
        <v>39</v>
      </c>
      <c r="F3430" t="s">
        <v>269</v>
      </c>
      <c r="G3430" t="s">
        <v>337</v>
      </c>
      <c r="H3430" t="s">
        <v>7269</v>
      </c>
      <c r="I3430" s="1" t="d">
        <v>2007-10-03</v>
      </c>
      <c r="J3430" t="s">
        <v>1580</v>
      </c>
      <c r="K3430" s="17" t="s">
        <v>118</v>
      </c>
      <c r="L3430">
        <v>4</v>
      </c>
    </row>
    <row r="3431" spans="1:12" x14ac:dyDescent="0.25">
      <c r="A3431" t="s">
        <v>7270</v>
      </c>
      <c r="B3431" t="s">
        <v>1877</v>
      </c>
      <c r="C3431" t="s">
        <v>739</v>
      </c>
      <c r="D3431" t="s">
        <v>46</v>
      </c>
      <c r="E3431">
        <v>42</v>
      </c>
      <c r="F3431" t="s">
        <v>264</v>
      </c>
      <c r="G3431" t="s">
        <v>39</v>
      </c>
      <c r="H3431" t="s">
        <v>7271</v>
      </c>
      <c r="I3431" s="1" t="d">
        <v>2010-10-06</v>
      </c>
      <c r="J3431" t="s">
        <v>7272</v>
      </c>
      <c r="K3431" s="17" t="s">
        <v>42</v>
      </c>
      <c r="L3431">
        <v>4</v>
      </c>
    </row>
    <row r="3432" spans="1:12" x14ac:dyDescent="0.25">
      <c r="A3432" t="s">
        <v>7273</v>
      </c>
      <c r="B3432" t="s">
        <v>874</v>
      </c>
      <c r="C3432" t="s">
        <v>830</v>
      </c>
      <c r="D3432" t="s">
        <v>9527</v>
      </c>
      <c r="E3432">
        <v>43</v>
      </c>
      <c r="F3432" t="s">
        <v>865</v>
      </c>
      <c r="G3432" t="s">
        <v>328</v>
      </c>
      <c r="H3432" s="2">
        <v>40627</v>
      </c>
      <c r="I3432" s="1" t="d">
        <v>2019-09-10</v>
      </c>
      <c r="J3432" t="s">
        <v>2164</v>
      </c>
      <c r="K3432" s="17" t="s">
        <v>100</v>
      </c>
      <c r="L3432">
        <v>2</v>
      </c>
    </row>
    <row r="3433" spans="1:12" x14ac:dyDescent="0.25">
      <c r="A3433" t="s">
        <v>7274</v>
      </c>
      <c r="B3433" t="s">
        <v>174</v>
      </c>
      <c r="C3433" t="s">
        <v>7275</v>
      </c>
      <c r="D3433" t="s">
        <v>9527</v>
      </c>
      <c r="E3433">
        <v>39</v>
      </c>
      <c r="F3433" t="s">
        <v>258</v>
      </c>
      <c r="G3433" t="s">
        <v>141</v>
      </c>
      <c r="H3433" t="s">
        <v>7276</v>
      </c>
      <c r="I3433" s="1" t="d">
        <v>2015-09-20</v>
      </c>
      <c r="J3433" t="s">
        <v>178</v>
      </c>
      <c r="K3433" s="17" t="s">
        <v>27</v>
      </c>
      <c r="L3433">
        <v>3</v>
      </c>
    </row>
    <row r="3434" spans="1:12" x14ac:dyDescent="0.25">
      <c r="A3434" t="s">
        <v>7277</v>
      </c>
      <c r="B3434" t="s">
        <v>448</v>
      </c>
      <c r="C3434" t="s">
        <v>1030</v>
      </c>
      <c r="D3434" t="s">
        <v>23</v>
      </c>
      <c r="E3434">
        <v>32</v>
      </c>
      <c r="F3434" t="s">
        <v>417</v>
      </c>
      <c r="G3434" t="s">
        <v>39</v>
      </c>
      <c r="H3434" t="s">
        <v>7278</v>
      </c>
      <c r="I3434" s="1" t="d">
        <v>2013-05-18</v>
      </c>
      <c r="J3434" t="s">
        <v>7138</v>
      </c>
      <c r="K3434" s="17" t="s">
        <v>34</v>
      </c>
      <c r="L3434">
        <v>3</v>
      </c>
    </row>
    <row r="3435" spans="1:12" x14ac:dyDescent="0.25">
      <c r="A3435" t="s">
        <v>7279</v>
      </c>
      <c r="B3435" t="s">
        <v>2449</v>
      </c>
      <c r="C3435" t="s">
        <v>521</v>
      </c>
      <c r="D3435" t="s">
        <v>23</v>
      </c>
      <c r="E3435">
        <v>40</v>
      </c>
      <c r="F3435" t="s">
        <v>230</v>
      </c>
      <c r="G3435" t="s">
        <v>177</v>
      </c>
      <c r="H3435">
        <v>55157</v>
      </c>
      <c r="I3435" s="1" t="d">
        <v>2011-06-06</v>
      </c>
      <c r="J3435" t="s">
        <v>7280</v>
      </c>
      <c r="K3435" s="17" t="s">
        <v>100</v>
      </c>
      <c r="L3435">
        <v>3</v>
      </c>
    </row>
    <row r="3436" spans="1:12" x14ac:dyDescent="0.25">
      <c r="A3436" t="s">
        <v>7281</v>
      </c>
      <c r="B3436" t="s">
        <v>112</v>
      </c>
      <c r="C3436" t="s">
        <v>67</v>
      </c>
      <c r="D3436" t="s">
        <v>46</v>
      </c>
      <c r="E3436">
        <v>50</v>
      </c>
      <c r="F3436" t="s">
        <v>287</v>
      </c>
      <c r="G3436" t="s">
        <v>357</v>
      </c>
      <c r="H3436" s="2">
        <v>102295</v>
      </c>
      <c r="I3436" s="1" t="d">
        <v>2007-09-08</v>
      </c>
      <c r="J3436" t="s">
        <v>3105</v>
      </c>
      <c r="K3436" s="17" t="s">
        <v>42</v>
      </c>
      <c r="L3436">
        <v>5</v>
      </c>
    </row>
    <row r="3437" spans="1:12" x14ac:dyDescent="0.25">
      <c r="A3437" t="s">
        <v>7282</v>
      </c>
      <c r="B3437" t="s">
        <v>167</v>
      </c>
      <c r="C3437" t="s">
        <v>2242</v>
      </c>
      <c r="D3437" t="s">
        <v>46</v>
      </c>
      <c r="E3437">
        <v>38</v>
      </c>
      <c r="F3437" t="s">
        <v>2065</v>
      </c>
      <c r="G3437" t="s">
        <v>191</v>
      </c>
      <c r="H3437" s="2">
        <v>89071</v>
      </c>
      <c r="I3437" s="1" t="d">
        <v>2005-07-18</v>
      </c>
      <c r="J3437" t="s">
        <v>4393</v>
      </c>
      <c r="K3437" s="17" t="s">
        <v>184</v>
      </c>
      <c r="L3437">
        <v>3</v>
      </c>
    </row>
    <row r="3438" spans="1:12" x14ac:dyDescent="0.25">
      <c r="A3438" t="s">
        <v>7283</v>
      </c>
      <c r="B3438" t="s">
        <v>2491</v>
      </c>
      <c r="C3438" t="s">
        <v>318</v>
      </c>
      <c r="D3438" t="s">
        <v>23</v>
      </c>
      <c r="E3438">
        <v>51</v>
      </c>
      <c r="F3438" t="s">
        <v>3864</v>
      </c>
      <c r="G3438" t="s">
        <v>115</v>
      </c>
      <c r="H3438" s="2">
        <v>89230</v>
      </c>
      <c r="I3438" s="1" t="d">
        <v>2014-06-01</v>
      </c>
      <c r="J3438" t="s">
        <v>1965</v>
      </c>
      <c r="K3438" s="17" t="s">
        <v>149</v>
      </c>
      <c r="L3438">
        <v>3</v>
      </c>
    </row>
    <row r="3439" spans="1:12" x14ac:dyDescent="0.25">
      <c r="A3439" t="s">
        <v>7284</v>
      </c>
      <c r="B3439" t="s">
        <v>1241</v>
      </c>
      <c r="C3439" t="s">
        <v>1734</v>
      </c>
      <c r="D3439" t="s">
        <v>46</v>
      </c>
      <c r="E3439">
        <v>36</v>
      </c>
      <c r="F3439" t="s">
        <v>2065</v>
      </c>
      <c r="G3439" t="s">
        <v>69</v>
      </c>
      <c r="H3439" s="2">
        <v>106369</v>
      </c>
      <c r="I3439" s="1" t="d">
        <v>2018-04-04</v>
      </c>
      <c r="J3439" t="s">
        <v>1717</v>
      </c>
      <c r="K3439" s="17" t="s">
        <v>207</v>
      </c>
      <c r="L3439">
        <v>4</v>
      </c>
    </row>
    <row r="3440" spans="1:12" x14ac:dyDescent="0.25">
      <c r="A3440" t="s">
        <v>7285</v>
      </c>
      <c r="B3440" t="s">
        <v>1824</v>
      </c>
      <c r="C3440" t="s">
        <v>599</v>
      </c>
      <c r="D3440" t="s">
        <v>23</v>
      </c>
      <c r="E3440">
        <v>35</v>
      </c>
      <c r="F3440" t="s">
        <v>169</v>
      </c>
      <c r="G3440" t="s">
        <v>182</v>
      </c>
      <c r="I3440" s="1" t="d">
        <v>2022-02-21</v>
      </c>
      <c r="J3440" t="s">
        <v>6167</v>
      </c>
      <c r="K3440" s="17" t="s">
        <v>149</v>
      </c>
      <c r="L3440">
        <v>3</v>
      </c>
    </row>
    <row r="3441" spans="1:12" x14ac:dyDescent="0.25">
      <c r="A3441" t="s">
        <v>7286</v>
      </c>
      <c r="B3441" t="s">
        <v>456</v>
      </c>
      <c r="C3441" t="s">
        <v>869</v>
      </c>
      <c r="D3441" t="s">
        <v>46</v>
      </c>
      <c r="E3441">
        <v>40</v>
      </c>
      <c r="F3441" t="s">
        <v>122</v>
      </c>
      <c r="G3441" t="s">
        <v>115</v>
      </c>
      <c r="H3441" s="2">
        <v>64674</v>
      </c>
      <c r="I3441" s="1" t="d">
        <v>2017-08-30</v>
      </c>
      <c r="J3441" t="s">
        <v>5700</v>
      </c>
      <c r="K3441" s="17" t="s">
        <v>90</v>
      </c>
      <c r="L3441">
        <v>4</v>
      </c>
    </row>
    <row r="3442" spans="1:12" x14ac:dyDescent="0.25">
      <c r="A3442" t="s">
        <v>7287</v>
      </c>
      <c r="B3442" t="s">
        <v>7288</v>
      </c>
      <c r="C3442" t="s">
        <v>1343</v>
      </c>
      <c r="D3442" t="s">
        <v>46</v>
      </c>
      <c r="E3442">
        <v>34</v>
      </c>
      <c r="F3442" t="s">
        <v>75</v>
      </c>
      <c r="G3442" t="s">
        <v>69</v>
      </c>
      <c r="H3442" s="2">
        <v>66803</v>
      </c>
      <c r="I3442" s="1" t="d">
        <v>2021-10-11</v>
      </c>
      <c r="J3442" t="s">
        <v>6998</v>
      </c>
      <c r="K3442" s="17" t="s">
        <v>370</v>
      </c>
      <c r="L3442">
        <v>4</v>
      </c>
    </row>
    <row r="3443" spans="1:12" x14ac:dyDescent="0.25">
      <c r="A3443" t="s">
        <v>7289</v>
      </c>
      <c r="B3443" t="s">
        <v>659</v>
      </c>
      <c r="C3443" t="s">
        <v>286</v>
      </c>
      <c r="D3443" t="s">
        <v>23</v>
      </c>
      <c r="E3443">
        <v>44</v>
      </c>
      <c r="F3443" t="s">
        <v>2065</v>
      </c>
      <c r="G3443" t="s">
        <v>177</v>
      </c>
      <c r="H3443">
        <v>-84404</v>
      </c>
      <c r="I3443" s="1" t="d">
        <v>2023-12-19</v>
      </c>
      <c r="J3443" t="s">
        <v>7290</v>
      </c>
      <c r="K3443" s="17" t="s">
        <v>184</v>
      </c>
      <c r="L3443">
        <v>3</v>
      </c>
    </row>
    <row r="3444" spans="1:12" x14ac:dyDescent="0.25">
      <c r="A3444" t="s">
        <v>7291</v>
      </c>
      <c r="B3444" t="s">
        <v>548</v>
      </c>
      <c r="C3444" t="s">
        <v>567</v>
      </c>
      <c r="D3444" t="s">
        <v>23</v>
      </c>
      <c r="E3444">
        <v>37</v>
      </c>
      <c r="F3444" t="s">
        <v>216</v>
      </c>
      <c r="G3444" t="s">
        <v>212</v>
      </c>
      <c r="H3444" s="2">
        <v>65079</v>
      </c>
      <c r="I3444" s="1" t="d">
        <v>2019-06-10</v>
      </c>
      <c r="J3444" t="s">
        <v>187</v>
      </c>
      <c r="K3444" s="17" t="s">
        <v>184</v>
      </c>
      <c r="L3444">
        <v>3</v>
      </c>
    </row>
    <row r="3445" spans="1:12" x14ac:dyDescent="0.25">
      <c r="A3445" t="s">
        <v>7292</v>
      </c>
      <c r="B3445" t="s">
        <v>583</v>
      </c>
      <c r="C3445" t="s">
        <v>427</v>
      </c>
      <c r="D3445" t="s">
        <v>23</v>
      </c>
      <c r="E3445">
        <v>35</v>
      </c>
      <c r="F3445" t="s">
        <v>350</v>
      </c>
      <c r="G3445" t="s">
        <v>39</v>
      </c>
      <c r="H3445">
        <v>59645</v>
      </c>
      <c r="I3445" s="1" t="d">
        <v>2007-06-02</v>
      </c>
      <c r="J3445" t="s">
        <v>7293</v>
      </c>
      <c r="K3445" s="17" t="s">
        <v>50</v>
      </c>
      <c r="L3445">
        <v>3</v>
      </c>
    </row>
    <row r="3446" spans="1:12" x14ac:dyDescent="0.25">
      <c r="A3446" t="s">
        <v>7294</v>
      </c>
      <c r="B3446" t="s">
        <v>275</v>
      </c>
      <c r="C3446" t="s">
        <v>1356</v>
      </c>
      <c r="D3446" t="s">
        <v>46</v>
      </c>
      <c r="E3446">
        <v>44</v>
      </c>
      <c r="F3446" t="s">
        <v>411</v>
      </c>
      <c r="G3446" t="s">
        <v>641</v>
      </c>
      <c r="H3446">
        <v>50632</v>
      </c>
      <c r="I3446" s="1" t="d">
        <v>2018-03-08</v>
      </c>
      <c r="J3446" t="s">
        <v>298</v>
      </c>
      <c r="K3446" s="17" t="s">
        <v>184</v>
      </c>
      <c r="L3446">
        <v>2</v>
      </c>
    </row>
    <row r="3447" spans="1:12" x14ac:dyDescent="0.25">
      <c r="A3447" t="s">
        <v>7295</v>
      </c>
      <c r="B3447" t="s">
        <v>769</v>
      </c>
      <c r="C3447" t="s">
        <v>2860</v>
      </c>
      <c r="D3447" t="s">
        <v>23</v>
      </c>
      <c r="E3447">
        <v>37</v>
      </c>
      <c r="F3447" t="s">
        <v>24</v>
      </c>
      <c r="G3447" t="s">
        <v>177</v>
      </c>
      <c r="I3447" s="1" t="d">
        <v>2007-01-20</v>
      </c>
      <c r="J3447" t="s">
        <v>4766</v>
      </c>
      <c r="K3447" s="17" t="s">
        <v>58</v>
      </c>
      <c r="L3447">
        <v>5</v>
      </c>
    </row>
    <row r="3448" spans="1:12" x14ac:dyDescent="0.25">
      <c r="A3448" t="s">
        <v>7296</v>
      </c>
      <c r="B3448" t="s">
        <v>5193</v>
      </c>
      <c r="C3448" t="s">
        <v>1622</v>
      </c>
      <c r="D3448" t="s">
        <v>46</v>
      </c>
      <c r="E3448">
        <v>54</v>
      </c>
      <c r="G3448" t="s">
        <v>141</v>
      </c>
      <c r="H3448" s="2">
        <v>59295</v>
      </c>
      <c r="I3448" s="1" t="d">
        <v>2015-05-27</v>
      </c>
      <c r="J3448" t="s">
        <v>7297</v>
      </c>
      <c r="K3448" s="17" t="s">
        <v>149</v>
      </c>
      <c r="L3448">
        <v>5</v>
      </c>
    </row>
    <row r="3449" spans="1:12" x14ac:dyDescent="0.25">
      <c r="A3449" t="s">
        <v>7298</v>
      </c>
      <c r="B3449" t="s">
        <v>60</v>
      </c>
      <c r="C3449" t="s">
        <v>790</v>
      </c>
      <c r="D3449" t="s">
        <v>23</v>
      </c>
      <c r="E3449">
        <v>44</v>
      </c>
      <c r="G3449" t="s">
        <v>82</v>
      </c>
      <c r="H3449" t="s">
        <v>7299</v>
      </c>
      <c r="I3449" s="1" t="d">
        <v>2014-05-21</v>
      </c>
      <c r="J3449" t="s">
        <v>64</v>
      </c>
      <c r="K3449" s="17" t="s">
        <v>58</v>
      </c>
      <c r="L3449">
        <v>5</v>
      </c>
    </row>
    <row r="3450" spans="1:12" x14ac:dyDescent="0.25">
      <c r="A3450" t="s">
        <v>7300</v>
      </c>
      <c r="B3450" t="s">
        <v>6203</v>
      </c>
      <c r="C3450" t="s">
        <v>181</v>
      </c>
      <c r="D3450" t="s">
        <v>23</v>
      </c>
      <c r="E3450">
        <v>32</v>
      </c>
      <c r="F3450" t="s">
        <v>153</v>
      </c>
      <c r="G3450" t="s">
        <v>115</v>
      </c>
      <c r="H3450" s="2">
        <v>79545</v>
      </c>
      <c r="I3450" s="1" t="d">
        <v>2012-02-24</v>
      </c>
      <c r="J3450" t="s">
        <v>4802</v>
      </c>
      <c r="K3450" s="17" t="s">
        <v>50</v>
      </c>
      <c r="L3450">
        <v>3</v>
      </c>
    </row>
    <row r="3451" spans="1:12" x14ac:dyDescent="0.25">
      <c r="A3451" t="s">
        <v>7301</v>
      </c>
      <c r="B3451" t="s">
        <v>862</v>
      </c>
      <c r="C3451" t="s">
        <v>263</v>
      </c>
      <c r="D3451" t="s">
        <v>46</v>
      </c>
      <c r="E3451">
        <v>49</v>
      </c>
      <c r="F3451" t="s">
        <v>406</v>
      </c>
      <c r="G3451" t="s">
        <v>357</v>
      </c>
      <c r="H3451" t="s">
        <v>7302</v>
      </c>
      <c r="I3451" s="1" t="d">
        <v>2017-03-10</v>
      </c>
      <c r="J3451" t="s">
        <v>7303</v>
      </c>
      <c r="K3451" s="17" t="s">
        <v>71</v>
      </c>
      <c r="L3451">
        <v>3</v>
      </c>
    </row>
    <row r="3452" spans="1:12" x14ac:dyDescent="0.25">
      <c r="A3452" t="s">
        <v>7304</v>
      </c>
      <c r="B3452" t="s">
        <v>833</v>
      </c>
      <c r="C3452" t="s">
        <v>324</v>
      </c>
      <c r="D3452" t="s">
        <v>9527</v>
      </c>
      <c r="E3452">
        <v>36</v>
      </c>
      <c r="F3452" t="s">
        <v>38</v>
      </c>
      <c r="G3452" t="s">
        <v>1277</v>
      </c>
      <c r="H3452" t="s">
        <v>7305</v>
      </c>
      <c r="I3452" s="1" t="d">
        <v>2020-01-01</v>
      </c>
      <c r="J3452" t="s">
        <v>3949</v>
      </c>
      <c r="K3452" s="17" t="s">
        <v>149</v>
      </c>
      <c r="L3452">
        <v>3</v>
      </c>
    </row>
    <row r="3453" spans="1:12" x14ac:dyDescent="0.25">
      <c r="A3453" t="s">
        <v>7306</v>
      </c>
      <c r="B3453" t="s">
        <v>86</v>
      </c>
      <c r="C3453" t="s">
        <v>1576</v>
      </c>
      <c r="D3453" t="s">
        <v>9527</v>
      </c>
      <c r="E3453">
        <v>43</v>
      </c>
      <c r="F3453" t="s">
        <v>169</v>
      </c>
      <c r="G3453" t="s">
        <v>212</v>
      </c>
      <c r="H3453" t="s">
        <v>7307</v>
      </c>
      <c r="I3453" s="1" t="d">
        <v>2020-09-09</v>
      </c>
      <c r="J3453" t="s">
        <v>6512</v>
      </c>
      <c r="K3453" s="17" t="s">
        <v>27</v>
      </c>
      <c r="L3453">
        <v>3</v>
      </c>
    </row>
    <row r="3454" spans="1:12" x14ac:dyDescent="0.25">
      <c r="A3454" t="s">
        <v>7308</v>
      </c>
      <c r="B3454" t="s">
        <v>1512</v>
      </c>
      <c r="C3454" t="s">
        <v>4310</v>
      </c>
      <c r="D3454" t="s">
        <v>23</v>
      </c>
      <c r="E3454">
        <v>46</v>
      </c>
      <c r="F3454" t="s">
        <v>666</v>
      </c>
      <c r="G3454" t="s">
        <v>212</v>
      </c>
      <c r="H3454" t="s">
        <v>7309</v>
      </c>
      <c r="J3454" t="s">
        <v>6212</v>
      </c>
      <c r="K3454" s="17" t="s">
        <v>27</v>
      </c>
      <c r="L3454">
        <v>4</v>
      </c>
    </row>
    <row r="3455" spans="1:12" x14ac:dyDescent="0.25">
      <c r="A3455" t="s">
        <v>7310</v>
      </c>
      <c r="B3455" t="s">
        <v>4819</v>
      </c>
      <c r="C3455" t="s">
        <v>237</v>
      </c>
      <c r="D3455" t="s">
        <v>46</v>
      </c>
      <c r="E3455">
        <v>26</v>
      </c>
      <c r="F3455" t="s">
        <v>559</v>
      </c>
      <c r="G3455" t="s">
        <v>39</v>
      </c>
      <c r="I3455" s="1" t="d">
        <v>2012-03-09</v>
      </c>
      <c r="J3455" t="s">
        <v>1708</v>
      </c>
      <c r="K3455" s="17" t="s">
        <v>34</v>
      </c>
      <c r="L3455">
        <v>3</v>
      </c>
    </row>
    <row r="3456" spans="1:12" x14ac:dyDescent="0.25">
      <c r="A3456" t="s">
        <v>7311</v>
      </c>
      <c r="B3456" t="s">
        <v>1382</v>
      </c>
      <c r="C3456" t="s">
        <v>7312</v>
      </c>
      <c r="D3456" t="s">
        <v>46</v>
      </c>
      <c r="E3456">
        <v>29</v>
      </c>
      <c r="F3456" t="s">
        <v>373</v>
      </c>
      <c r="G3456" t="s">
        <v>526</v>
      </c>
      <c r="H3456" t="s">
        <v>7313</v>
      </c>
      <c r="I3456" s="1" t="d">
        <v>2019-08-24</v>
      </c>
      <c r="J3456" t="s">
        <v>3922</v>
      </c>
      <c r="K3456" s="17" t="s">
        <v>71</v>
      </c>
      <c r="L3456">
        <v>3</v>
      </c>
    </row>
    <row r="3457" spans="1:12" x14ac:dyDescent="0.25">
      <c r="A3457" t="s">
        <v>7314</v>
      </c>
      <c r="B3457" t="s">
        <v>394</v>
      </c>
      <c r="C3457" t="s">
        <v>758</v>
      </c>
      <c r="D3457" t="s">
        <v>23</v>
      </c>
      <c r="E3457">
        <v>50</v>
      </c>
      <c r="F3457" t="s">
        <v>411</v>
      </c>
      <c r="G3457" t="s">
        <v>283</v>
      </c>
      <c r="H3457">
        <v>102584</v>
      </c>
      <c r="I3457" s="1" t="d">
        <v>2005-10-20</v>
      </c>
      <c r="J3457" t="s">
        <v>952</v>
      </c>
      <c r="K3457" s="17" t="s">
        <v>90</v>
      </c>
      <c r="L3457">
        <v>3</v>
      </c>
    </row>
    <row r="3458" spans="1:12" x14ac:dyDescent="0.25">
      <c r="A3458" t="s">
        <v>7315</v>
      </c>
      <c r="B3458" t="s">
        <v>520</v>
      </c>
      <c r="C3458" t="s">
        <v>2562</v>
      </c>
      <c r="D3458" t="s">
        <v>23</v>
      </c>
      <c r="E3458">
        <v>34</v>
      </c>
      <c r="F3458" t="s">
        <v>1716</v>
      </c>
      <c r="G3458" t="s">
        <v>170</v>
      </c>
      <c r="H3458" t="s">
        <v>7316</v>
      </c>
      <c r="I3458" s="1" t="d">
        <v>2024-03-22</v>
      </c>
      <c r="J3458" t="s">
        <v>4035</v>
      </c>
      <c r="K3458" s="17" t="s">
        <v>42</v>
      </c>
      <c r="L3458">
        <v>4</v>
      </c>
    </row>
    <row r="3459" spans="1:12" x14ac:dyDescent="0.25">
      <c r="A3459" t="s">
        <v>7317</v>
      </c>
      <c r="B3459" t="s">
        <v>410</v>
      </c>
      <c r="C3459" t="s">
        <v>1517</v>
      </c>
      <c r="D3459" t="s">
        <v>46</v>
      </c>
      <c r="E3459">
        <v>37</v>
      </c>
      <c r="F3459" t="s">
        <v>146</v>
      </c>
      <c r="G3459" t="s">
        <v>16</v>
      </c>
      <c r="H3459" t="s">
        <v>7318</v>
      </c>
      <c r="I3459" s="1" t="d">
        <v>2013-09-10</v>
      </c>
      <c r="J3459" t="s">
        <v>7319</v>
      </c>
      <c r="K3459" s="17" t="s">
        <v>207</v>
      </c>
      <c r="L3459">
        <v>5</v>
      </c>
    </row>
    <row r="3460" spans="1:12" x14ac:dyDescent="0.25">
      <c r="A3460" t="s">
        <v>7320</v>
      </c>
      <c r="B3460" t="s">
        <v>2681</v>
      </c>
      <c r="C3460" t="s">
        <v>1622</v>
      </c>
      <c r="D3460" t="s">
        <v>9527</v>
      </c>
      <c r="E3460">
        <v>40</v>
      </c>
      <c r="F3460" t="s">
        <v>31</v>
      </c>
      <c r="G3460" t="s">
        <v>407</v>
      </c>
      <c r="H3460">
        <v>114174</v>
      </c>
      <c r="I3460" s="1" t="d">
        <v>2012-03-28</v>
      </c>
      <c r="J3460" t="s">
        <v>7321</v>
      </c>
      <c r="K3460" s="17" t="s">
        <v>149</v>
      </c>
      <c r="L3460">
        <v>1</v>
      </c>
    </row>
    <row r="3461" spans="1:12" x14ac:dyDescent="0.25">
      <c r="A3461" t="s">
        <v>7322</v>
      </c>
      <c r="B3461" t="s">
        <v>2449</v>
      </c>
      <c r="C3461" t="s">
        <v>699</v>
      </c>
      <c r="D3461" t="s">
        <v>9527</v>
      </c>
      <c r="E3461">
        <v>44</v>
      </c>
      <c r="F3461" t="s">
        <v>122</v>
      </c>
      <c r="G3461" t="s">
        <v>842</v>
      </c>
      <c r="I3461" s="1" t="d">
        <v>2024-11-06</v>
      </c>
      <c r="J3461" t="s">
        <v>700</v>
      </c>
      <c r="K3461" s="17" t="s">
        <v>42</v>
      </c>
      <c r="L3461">
        <v>3</v>
      </c>
    </row>
    <row r="3462" spans="1:12" x14ac:dyDescent="0.25">
      <c r="A3462" t="s">
        <v>7323</v>
      </c>
      <c r="B3462" t="s">
        <v>439</v>
      </c>
      <c r="C3462" t="s">
        <v>2874</v>
      </c>
      <c r="D3462" t="s">
        <v>9527</v>
      </c>
      <c r="E3462">
        <v>29</v>
      </c>
      <c r="F3462" t="s">
        <v>94</v>
      </c>
      <c r="G3462" t="s">
        <v>182</v>
      </c>
      <c r="H3462">
        <v>116142</v>
      </c>
      <c r="I3462" s="1" t="d">
        <v>2020-12-02</v>
      </c>
      <c r="J3462" t="s">
        <v>1830</v>
      </c>
      <c r="K3462" s="17" t="s">
        <v>118</v>
      </c>
      <c r="L3462">
        <v>3</v>
      </c>
    </row>
    <row r="3463" spans="1:12" x14ac:dyDescent="0.25">
      <c r="A3463" t="s">
        <v>7324</v>
      </c>
      <c r="B3463" t="s">
        <v>221</v>
      </c>
      <c r="C3463" t="s">
        <v>4284</v>
      </c>
      <c r="D3463" t="s">
        <v>46</v>
      </c>
      <c r="E3463">
        <v>49</v>
      </c>
      <c r="F3463" t="s">
        <v>649</v>
      </c>
      <c r="G3463" t="s">
        <v>39</v>
      </c>
      <c r="H3463" t="s">
        <v>7325</v>
      </c>
      <c r="I3463" s="1" t="d">
        <v>2024-01-18</v>
      </c>
      <c r="J3463" t="s">
        <v>693</v>
      </c>
      <c r="K3463" s="17" t="s">
        <v>90</v>
      </c>
      <c r="L3463">
        <v>3</v>
      </c>
    </row>
    <row r="3464" spans="1:12" x14ac:dyDescent="0.25">
      <c r="A3464" t="s">
        <v>7326</v>
      </c>
      <c r="B3464" t="s">
        <v>815</v>
      </c>
      <c r="C3464" t="s">
        <v>204</v>
      </c>
      <c r="D3464" t="s">
        <v>46</v>
      </c>
      <c r="E3464">
        <v>36</v>
      </c>
      <c r="F3464" t="s">
        <v>146</v>
      </c>
      <c r="G3464" t="s">
        <v>177</v>
      </c>
      <c r="H3464">
        <v>82936</v>
      </c>
      <c r="I3464" s="1" t="d">
        <v>2006-01-13</v>
      </c>
      <c r="J3464" t="s">
        <v>6788</v>
      </c>
      <c r="K3464" s="17" t="s">
        <v>42</v>
      </c>
      <c r="L3464">
        <v>3</v>
      </c>
    </row>
    <row r="3465" spans="1:12" x14ac:dyDescent="0.25">
      <c r="A3465" t="s">
        <v>7327</v>
      </c>
      <c r="B3465" t="s">
        <v>2856</v>
      </c>
      <c r="C3465" t="s">
        <v>3849</v>
      </c>
      <c r="D3465" t="s">
        <v>23</v>
      </c>
      <c r="E3465">
        <v>37</v>
      </c>
      <c r="F3465" t="s">
        <v>5826</v>
      </c>
      <c r="G3465" t="s">
        <v>170</v>
      </c>
      <c r="H3465" t="s">
        <v>753</v>
      </c>
      <c r="I3465" s="1" t="d">
        <v>2018-08-05</v>
      </c>
      <c r="J3465" t="s">
        <v>2442</v>
      </c>
      <c r="K3465" s="17" t="s">
        <v>50</v>
      </c>
      <c r="L3465">
        <v>3</v>
      </c>
    </row>
    <row r="3466" spans="1:12" x14ac:dyDescent="0.25">
      <c r="A3466" t="s">
        <v>7328</v>
      </c>
      <c r="B3466" t="s">
        <v>1689</v>
      </c>
      <c r="C3466" t="s">
        <v>710</v>
      </c>
      <c r="D3466" t="s">
        <v>46</v>
      </c>
      <c r="E3466">
        <v>32</v>
      </c>
      <c r="F3466" t="s">
        <v>200</v>
      </c>
      <c r="G3466" t="s">
        <v>191</v>
      </c>
      <c r="H3466">
        <v>79147</v>
      </c>
      <c r="I3466" s="1" t="d">
        <v>2007-12-18</v>
      </c>
      <c r="J3466" t="s">
        <v>5352</v>
      </c>
      <c r="K3466" s="17" t="s">
        <v>207</v>
      </c>
      <c r="L3466">
        <v>4</v>
      </c>
    </row>
    <row r="3467" spans="1:12" x14ac:dyDescent="0.25">
      <c r="A3467" t="s">
        <v>7329</v>
      </c>
      <c r="B3467" t="s">
        <v>874</v>
      </c>
      <c r="C3467" t="s">
        <v>1538</v>
      </c>
      <c r="D3467" t="s">
        <v>9527</v>
      </c>
      <c r="E3467">
        <v>47</v>
      </c>
      <c r="F3467" t="s">
        <v>108</v>
      </c>
      <c r="G3467" t="s">
        <v>16</v>
      </c>
      <c r="H3467" t="s">
        <v>7330</v>
      </c>
      <c r="I3467" s="1" t="d">
        <v>2016-01-21</v>
      </c>
      <c r="J3467" t="s">
        <v>7303</v>
      </c>
      <c r="K3467" s="17" t="s">
        <v>100</v>
      </c>
      <c r="L3467">
        <v>3</v>
      </c>
    </row>
    <row r="3468" spans="1:12" x14ac:dyDescent="0.25">
      <c r="A3468" t="s">
        <v>7331</v>
      </c>
      <c r="B3468" t="s">
        <v>999</v>
      </c>
      <c r="C3468" t="s">
        <v>1194</v>
      </c>
      <c r="D3468" t="s">
        <v>46</v>
      </c>
      <c r="E3468">
        <v>44</v>
      </c>
      <c r="F3468" t="s">
        <v>319</v>
      </c>
      <c r="G3468" t="s">
        <v>387</v>
      </c>
      <c r="I3468" s="1" t="d">
        <v>2009-01-17</v>
      </c>
      <c r="J3468" t="s">
        <v>3530</v>
      </c>
      <c r="K3468" s="17" t="s">
        <v>207</v>
      </c>
      <c r="L3468">
        <v>4</v>
      </c>
    </row>
    <row r="3469" spans="1:12" x14ac:dyDescent="0.25">
      <c r="A3469" t="s">
        <v>7332</v>
      </c>
      <c r="B3469" t="s">
        <v>36</v>
      </c>
      <c r="C3469" t="s">
        <v>512</v>
      </c>
      <c r="D3469" t="s">
        <v>23</v>
      </c>
      <c r="E3469">
        <v>51</v>
      </c>
      <c r="F3469" t="s">
        <v>108</v>
      </c>
      <c r="G3469" t="s">
        <v>48</v>
      </c>
      <c r="H3469" t="s">
        <v>7333</v>
      </c>
      <c r="J3469" t="s">
        <v>1299</v>
      </c>
      <c r="K3469" s="17" t="s">
        <v>118</v>
      </c>
      <c r="L3469">
        <v>4</v>
      </c>
    </row>
    <row r="3470" spans="1:12" x14ac:dyDescent="0.25">
      <c r="A3470" t="s">
        <v>7334</v>
      </c>
      <c r="B3470" t="s">
        <v>520</v>
      </c>
      <c r="C3470" t="s">
        <v>61</v>
      </c>
      <c r="D3470" t="s">
        <v>9527</v>
      </c>
      <c r="E3470">
        <v>38</v>
      </c>
      <c r="F3470" t="s">
        <v>211</v>
      </c>
      <c r="G3470" t="s">
        <v>351</v>
      </c>
      <c r="H3470" t="s">
        <v>7335</v>
      </c>
      <c r="I3470" s="1" t="d">
        <v>2012-08-03</v>
      </c>
      <c r="J3470" t="s">
        <v>4108</v>
      </c>
      <c r="K3470" s="17" t="s">
        <v>370</v>
      </c>
      <c r="L3470">
        <v>3</v>
      </c>
    </row>
    <row r="3471" spans="1:12" x14ac:dyDescent="0.25">
      <c r="A3471" t="s">
        <v>7336</v>
      </c>
      <c r="B3471" t="s">
        <v>1241</v>
      </c>
      <c r="C3471" t="s">
        <v>14</v>
      </c>
      <c r="D3471" t="s">
        <v>46</v>
      </c>
      <c r="E3471">
        <v>42</v>
      </c>
      <c r="F3471" t="s">
        <v>264</v>
      </c>
      <c r="G3471" t="s">
        <v>170</v>
      </c>
      <c r="I3471" s="1" t="d">
        <v>2023-09-30</v>
      </c>
      <c r="J3471" t="s">
        <v>4892</v>
      </c>
      <c r="K3471" s="17" t="s">
        <v>207</v>
      </c>
      <c r="L3471">
        <v>4</v>
      </c>
    </row>
    <row r="3472" spans="1:12" x14ac:dyDescent="0.25">
      <c r="A3472" t="s">
        <v>7337</v>
      </c>
      <c r="B3472" t="s">
        <v>248</v>
      </c>
      <c r="C3472" t="s">
        <v>474</v>
      </c>
      <c r="D3472" t="s">
        <v>9527</v>
      </c>
      <c r="E3472">
        <v>39</v>
      </c>
      <c r="F3472" t="s">
        <v>649</v>
      </c>
      <c r="G3472" t="s">
        <v>351</v>
      </c>
      <c r="H3472">
        <v>65616</v>
      </c>
      <c r="I3472" s="1" t="d">
        <v>2017-03-17</v>
      </c>
      <c r="J3472" t="s">
        <v>3220</v>
      </c>
      <c r="K3472" s="17" t="s">
        <v>149</v>
      </c>
      <c r="L3472">
        <v>3</v>
      </c>
    </row>
    <row r="3473" spans="1:12" x14ac:dyDescent="0.25">
      <c r="A3473" t="s">
        <v>7338</v>
      </c>
      <c r="B3473" t="s">
        <v>833</v>
      </c>
      <c r="C3473" t="s">
        <v>386</v>
      </c>
      <c r="D3473" t="s">
        <v>23</v>
      </c>
      <c r="E3473">
        <v>41</v>
      </c>
      <c r="G3473" t="s">
        <v>39</v>
      </c>
      <c r="H3473" t="s">
        <v>5434</v>
      </c>
      <c r="I3473" s="1" t="d">
        <v>2005-08-20</v>
      </c>
      <c r="J3473" t="s">
        <v>279</v>
      </c>
      <c r="K3473" s="17" t="s">
        <v>50</v>
      </c>
      <c r="L3473">
        <v>3</v>
      </c>
    </row>
    <row r="3474" spans="1:12" x14ac:dyDescent="0.25">
      <c r="A3474" t="s">
        <v>995</v>
      </c>
      <c r="B3474" t="s">
        <v>112</v>
      </c>
      <c r="C3474" t="s">
        <v>22</v>
      </c>
      <c r="D3474" t="s">
        <v>23</v>
      </c>
      <c r="E3474">
        <v>40</v>
      </c>
      <c r="F3474" t="s">
        <v>169</v>
      </c>
      <c r="G3474" t="s">
        <v>996</v>
      </c>
      <c r="H3474" t="s">
        <v>997</v>
      </c>
      <c r="I3474" s="1" t="d">
        <v>2006-04-03</v>
      </c>
      <c r="J3474" t="s">
        <v>884</v>
      </c>
      <c r="K3474" s="17" t="s">
        <v>42</v>
      </c>
      <c r="L3474">
        <v>4</v>
      </c>
    </row>
    <row r="3475" spans="1:12" x14ac:dyDescent="0.25">
      <c r="A3475" t="s">
        <v>7339</v>
      </c>
      <c r="B3475" t="s">
        <v>120</v>
      </c>
      <c r="C3475" t="s">
        <v>416</v>
      </c>
      <c r="D3475" t="s">
        <v>23</v>
      </c>
      <c r="E3475">
        <v>23</v>
      </c>
      <c r="F3475" t="s">
        <v>114</v>
      </c>
      <c r="G3475" t="s">
        <v>141</v>
      </c>
      <c r="H3475" t="s">
        <v>7340</v>
      </c>
      <c r="I3475" s="1" t="d">
        <v>2013-01-03</v>
      </c>
      <c r="J3475" t="s">
        <v>2841</v>
      </c>
      <c r="K3475" s="17" t="s">
        <v>34</v>
      </c>
      <c r="L3475">
        <v>3</v>
      </c>
    </row>
    <row r="3476" spans="1:12" x14ac:dyDescent="0.25">
      <c r="A3476" t="s">
        <v>7341</v>
      </c>
      <c r="B3476" t="s">
        <v>221</v>
      </c>
      <c r="C3476" t="s">
        <v>107</v>
      </c>
      <c r="D3476" t="s">
        <v>23</v>
      </c>
      <c r="E3476">
        <v>40</v>
      </c>
      <c r="F3476" t="s">
        <v>859</v>
      </c>
      <c r="G3476" t="s">
        <v>170</v>
      </c>
      <c r="I3476" s="1" t="d">
        <v>2012-01-08</v>
      </c>
      <c r="J3476" t="s">
        <v>5024</v>
      </c>
      <c r="K3476" s="17" t="s">
        <v>34</v>
      </c>
      <c r="L3476">
        <v>4</v>
      </c>
    </row>
    <row r="3477" spans="1:12" x14ac:dyDescent="0.25">
      <c r="A3477" t="s">
        <v>7342</v>
      </c>
      <c r="B3477" t="s">
        <v>1086</v>
      </c>
      <c r="C3477" t="s">
        <v>263</v>
      </c>
      <c r="D3477" t="s">
        <v>46</v>
      </c>
      <c r="E3477">
        <v>37</v>
      </c>
      <c r="F3477" t="s">
        <v>296</v>
      </c>
      <c r="G3477" t="s">
        <v>115</v>
      </c>
      <c r="I3477" s="1" t="d">
        <v>2022-08-05</v>
      </c>
      <c r="J3477" t="s">
        <v>4152</v>
      </c>
      <c r="K3477" s="17" t="s">
        <v>370</v>
      </c>
      <c r="L3477">
        <v>1</v>
      </c>
    </row>
    <row r="3478" spans="1:12" x14ac:dyDescent="0.25">
      <c r="A3478" t="s">
        <v>7343</v>
      </c>
      <c r="B3478" t="s">
        <v>670</v>
      </c>
      <c r="C3478" t="s">
        <v>135</v>
      </c>
      <c r="D3478" t="s">
        <v>9527</v>
      </c>
      <c r="E3478">
        <v>28</v>
      </c>
      <c r="F3478" t="s">
        <v>230</v>
      </c>
      <c r="G3478" t="s">
        <v>82</v>
      </c>
      <c r="H3478" s="2">
        <v>54232</v>
      </c>
      <c r="I3478" s="1" t="d">
        <v>2019-08-14</v>
      </c>
      <c r="J3478" t="s">
        <v>2634</v>
      </c>
      <c r="K3478" s="17" t="s">
        <v>118</v>
      </c>
      <c r="L3478">
        <v>3</v>
      </c>
    </row>
    <row r="3479" spans="1:12" x14ac:dyDescent="0.25">
      <c r="A3479" t="s">
        <v>7344</v>
      </c>
      <c r="B3479" t="s">
        <v>130</v>
      </c>
      <c r="C3479" t="s">
        <v>263</v>
      </c>
      <c r="D3479" t="s">
        <v>46</v>
      </c>
      <c r="E3479">
        <v>37</v>
      </c>
      <c r="F3479" t="s">
        <v>122</v>
      </c>
      <c r="G3479" t="s">
        <v>55</v>
      </c>
      <c r="H3479" t="s">
        <v>7345</v>
      </c>
      <c r="I3479" s="1" t="d">
        <v>2024-07-18</v>
      </c>
      <c r="J3479" t="s">
        <v>4795</v>
      </c>
      <c r="K3479" s="17" t="s">
        <v>58</v>
      </c>
      <c r="L3479">
        <v>3</v>
      </c>
    </row>
    <row r="3480" spans="1:12" x14ac:dyDescent="0.25">
      <c r="A3480" t="s">
        <v>7346</v>
      </c>
      <c r="B3480" t="s">
        <v>718</v>
      </c>
      <c r="C3480" t="s">
        <v>696</v>
      </c>
      <c r="D3480" t="s">
        <v>9527</v>
      </c>
      <c r="E3480">
        <v>39</v>
      </c>
      <c r="F3480" t="s">
        <v>200</v>
      </c>
      <c r="G3480" t="s">
        <v>177</v>
      </c>
      <c r="H3480">
        <v>999999</v>
      </c>
      <c r="I3480" s="1" t="d">
        <v>2023-12-06</v>
      </c>
      <c r="J3480" t="s">
        <v>856</v>
      </c>
      <c r="K3480" s="17" t="s">
        <v>27</v>
      </c>
      <c r="L3480">
        <v>4</v>
      </c>
    </row>
    <row r="3481" spans="1:12" x14ac:dyDescent="0.25">
      <c r="A3481" t="s">
        <v>7347</v>
      </c>
      <c r="B3481" t="s">
        <v>6738</v>
      </c>
      <c r="C3481" t="s">
        <v>961</v>
      </c>
      <c r="D3481" t="s">
        <v>46</v>
      </c>
      <c r="E3481">
        <v>38</v>
      </c>
      <c r="F3481" t="s">
        <v>146</v>
      </c>
      <c r="G3481" t="s">
        <v>115</v>
      </c>
      <c r="H3481" t="s">
        <v>7348</v>
      </c>
      <c r="I3481" s="1" t="d">
        <v>2007-05-27</v>
      </c>
      <c r="J3481" t="s">
        <v>2363</v>
      </c>
      <c r="K3481" s="17" t="s">
        <v>118</v>
      </c>
      <c r="L3481">
        <v>5</v>
      </c>
    </row>
    <row r="3482" spans="1:12" x14ac:dyDescent="0.25">
      <c r="A3482" t="s">
        <v>7349</v>
      </c>
      <c r="B3482" t="s">
        <v>709</v>
      </c>
      <c r="C3482" t="s">
        <v>599</v>
      </c>
      <c r="D3482" t="s">
        <v>9527</v>
      </c>
      <c r="E3482">
        <v>40</v>
      </c>
      <c r="F3482" t="s">
        <v>4095</v>
      </c>
      <c r="G3482" t="s">
        <v>55</v>
      </c>
      <c r="I3482" s="1" t="d">
        <v>2006-05-31</v>
      </c>
      <c r="J3482" t="s">
        <v>1603</v>
      </c>
      <c r="K3482" s="17" t="s">
        <v>19</v>
      </c>
      <c r="L3482">
        <v>4</v>
      </c>
    </row>
    <row r="3483" spans="1:12" x14ac:dyDescent="0.25">
      <c r="A3483" t="s">
        <v>7350</v>
      </c>
      <c r="B3483" t="s">
        <v>841</v>
      </c>
      <c r="C3483" t="s">
        <v>483</v>
      </c>
      <c r="D3483" t="s">
        <v>9527</v>
      </c>
      <c r="E3483">
        <v>37</v>
      </c>
      <c r="F3483" t="s">
        <v>211</v>
      </c>
      <c r="G3483" t="s">
        <v>217</v>
      </c>
      <c r="H3483">
        <v>87114</v>
      </c>
      <c r="I3483" s="1" t="d">
        <v>2023-01-30</v>
      </c>
      <c r="J3483" t="s">
        <v>4289</v>
      </c>
      <c r="K3483" s="17" t="s">
        <v>100</v>
      </c>
      <c r="L3483">
        <v>4</v>
      </c>
    </row>
    <row r="3484" spans="1:12" x14ac:dyDescent="0.25">
      <c r="A3484" t="s">
        <v>7351</v>
      </c>
      <c r="B3484" t="s">
        <v>470</v>
      </c>
      <c r="C3484" t="s">
        <v>45</v>
      </c>
      <c r="D3484" t="s">
        <v>9527</v>
      </c>
      <c r="E3484">
        <v>58</v>
      </c>
      <c r="F3484" t="s">
        <v>417</v>
      </c>
      <c r="G3484" t="s">
        <v>55</v>
      </c>
      <c r="I3484" s="1" t="d">
        <v>2013-12-27</v>
      </c>
      <c r="J3484" t="s">
        <v>4278</v>
      </c>
      <c r="K3484" s="17" t="s">
        <v>34</v>
      </c>
      <c r="L3484">
        <v>4</v>
      </c>
    </row>
    <row r="3485" spans="1:12" x14ac:dyDescent="0.25">
      <c r="A3485" t="s">
        <v>7352</v>
      </c>
      <c r="B3485" t="s">
        <v>1997</v>
      </c>
      <c r="C3485" t="s">
        <v>67</v>
      </c>
      <c r="D3485" t="s">
        <v>9527</v>
      </c>
      <c r="E3485">
        <v>35</v>
      </c>
      <c r="F3485" t="s">
        <v>94</v>
      </c>
      <c r="G3485" t="s">
        <v>82</v>
      </c>
      <c r="H3485" t="s">
        <v>7353</v>
      </c>
      <c r="I3485" s="1" t="d">
        <v>2022-09-04</v>
      </c>
      <c r="J3485" t="s">
        <v>5884</v>
      </c>
      <c r="K3485" s="17" t="s">
        <v>207</v>
      </c>
      <c r="L3485">
        <v>3</v>
      </c>
    </row>
    <row r="3486" spans="1:12" x14ac:dyDescent="0.25">
      <c r="A3486" t="s">
        <v>7354</v>
      </c>
      <c r="B3486" t="s">
        <v>120</v>
      </c>
      <c r="C3486" t="s">
        <v>1320</v>
      </c>
      <c r="D3486" t="s">
        <v>9527</v>
      </c>
      <c r="E3486">
        <v>50</v>
      </c>
      <c r="F3486" t="s">
        <v>399</v>
      </c>
      <c r="G3486" t="s">
        <v>69</v>
      </c>
      <c r="H3486" t="s">
        <v>7355</v>
      </c>
      <c r="I3486" s="1" t="d">
        <v>2011-06-27</v>
      </c>
      <c r="J3486" t="s">
        <v>241</v>
      </c>
      <c r="K3486" s="17" t="s">
        <v>50</v>
      </c>
      <c r="L3486">
        <v>1</v>
      </c>
    </row>
    <row r="3487" spans="1:12" x14ac:dyDescent="0.25">
      <c r="A3487" t="s">
        <v>7356</v>
      </c>
      <c r="B3487" t="s">
        <v>571</v>
      </c>
      <c r="C3487" t="s">
        <v>624</v>
      </c>
      <c r="D3487" t="s">
        <v>9527</v>
      </c>
      <c r="E3487">
        <v>37</v>
      </c>
      <c r="F3487" t="s">
        <v>126</v>
      </c>
      <c r="G3487" t="s">
        <v>526</v>
      </c>
      <c r="H3487" s="2">
        <v>68989</v>
      </c>
      <c r="I3487" s="1" t="d">
        <v>2005-12-18</v>
      </c>
      <c r="J3487" t="s">
        <v>6337</v>
      </c>
      <c r="K3487" s="17" t="s">
        <v>149</v>
      </c>
      <c r="L3487">
        <v>3</v>
      </c>
    </row>
    <row r="3488" spans="1:12" x14ac:dyDescent="0.25">
      <c r="A3488" t="s">
        <v>6905</v>
      </c>
      <c r="B3488" t="s">
        <v>2222</v>
      </c>
      <c r="C3488" t="s">
        <v>3982</v>
      </c>
      <c r="D3488" t="s">
        <v>23</v>
      </c>
      <c r="E3488">
        <v>41</v>
      </c>
      <c r="F3488" t="s">
        <v>68</v>
      </c>
      <c r="G3488" t="s">
        <v>115</v>
      </c>
      <c r="I3488" s="1" t="d">
        <v>2013-10-07</v>
      </c>
      <c r="J3488" t="s">
        <v>1019</v>
      </c>
      <c r="K3488" s="17" t="s">
        <v>58</v>
      </c>
      <c r="L3488">
        <v>5</v>
      </c>
    </row>
    <row r="3489" spans="1:12" x14ac:dyDescent="0.25">
      <c r="A3489" t="s">
        <v>7357</v>
      </c>
      <c r="B3489" t="s">
        <v>86</v>
      </c>
      <c r="C3489" t="s">
        <v>665</v>
      </c>
      <c r="D3489" t="s">
        <v>46</v>
      </c>
      <c r="E3489">
        <v>40</v>
      </c>
      <c r="G3489" t="s">
        <v>504</v>
      </c>
      <c r="H3489" t="s">
        <v>7358</v>
      </c>
      <c r="I3489" s="1" t="d">
        <v>2010-06-03</v>
      </c>
      <c r="J3489" t="s">
        <v>882</v>
      </c>
      <c r="K3489" s="17" t="s">
        <v>184</v>
      </c>
      <c r="L3489">
        <v>1</v>
      </c>
    </row>
    <row r="3490" spans="1:12" x14ac:dyDescent="0.25">
      <c r="A3490" t="s">
        <v>7359</v>
      </c>
      <c r="B3490" t="s">
        <v>914</v>
      </c>
      <c r="C3490" t="s">
        <v>898</v>
      </c>
      <c r="D3490" t="s">
        <v>46</v>
      </c>
      <c r="E3490">
        <v>35</v>
      </c>
      <c r="F3490" t="s">
        <v>94</v>
      </c>
      <c r="G3490" t="s">
        <v>39</v>
      </c>
      <c r="H3490" t="s">
        <v>7360</v>
      </c>
      <c r="I3490" s="1" t="d">
        <v>2009-05-11</v>
      </c>
      <c r="J3490" t="s">
        <v>2478</v>
      </c>
      <c r="K3490" s="17" t="s">
        <v>149</v>
      </c>
      <c r="L3490">
        <v>3</v>
      </c>
    </row>
    <row r="3491" spans="1:12" x14ac:dyDescent="0.25">
      <c r="A3491" t="s">
        <v>7361</v>
      </c>
      <c r="B3491" t="s">
        <v>833</v>
      </c>
      <c r="C3491" t="s">
        <v>168</v>
      </c>
      <c r="D3491" t="s">
        <v>46</v>
      </c>
      <c r="E3491">
        <v>35</v>
      </c>
      <c r="F3491" t="s">
        <v>153</v>
      </c>
      <c r="G3491" t="s">
        <v>170</v>
      </c>
      <c r="I3491" s="1" t="d">
        <v>2014-05-14</v>
      </c>
      <c r="J3491" t="s">
        <v>172</v>
      </c>
      <c r="K3491" s="17" t="s">
        <v>27</v>
      </c>
      <c r="L3491">
        <v>3</v>
      </c>
    </row>
    <row r="3492" spans="1:12" x14ac:dyDescent="0.25">
      <c r="A3492" t="s">
        <v>7362</v>
      </c>
      <c r="B3492" t="s">
        <v>394</v>
      </c>
      <c r="C3492" t="s">
        <v>324</v>
      </c>
      <c r="D3492" t="s">
        <v>9527</v>
      </c>
      <c r="E3492">
        <v>57</v>
      </c>
      <c r="F3492" t="s">
        <v>186</v>
      </c>
      <c r="G3492" t="s">
        <v>1215</v>
      </c>
      <c r="H3492">
        <v>95943</v>
      </c>
      <c r="I3492" s="1" t="d">
        <v>2013-11-25</v>
      </c>
      <c r="J3492" t="s">
        <v>952</v>
      </c>
      <c r="K3492" s="17" t="s">
        <v>184</v>
      </c>
      <c r="L3492">
        <v>4</v>
      </c>
    </row>
    <row r="3493" spans="1:12" x14ac:dyDescent="0.25">
      <c r="A3493" t="s">
        <v>7363</v>
      </c>
      <c r="B3493" t="s">
        <v>151</v>
      </c>
      <c r="C3493" t="s">
        <v>970</v>
      </c>
      <c r="D3493" t="s">
        <v>23</v>
      </c>
      <c r="E3493">
        <v>23</v>
      </c>
      <c r="F3493" t="s">
        <v>365</v>
      </c>
      <c r="G3493" t="s">
        <v>337</v>
      </c>
      <c r="I3493" s="1" t="d">
        <v>2023-03-29</v>
      </c>
      <c r="J3493" t="s">
        <v>480</v>
      </c>
      <c r="K3493" s="17" t="s">
        <v>370</v>
      </c>
      <c r="L3493">
        <v>4</v>
      </c>
    </row>
    <row r="3494" spans="1:12" x14ac:dyDescent="0.25">
      <c r="A3494" t="s">
        <v>7364</v>
      </c>
      <c r="B3494" t="s">
        <v>494</v>
      </c>
      <c r="C3494" t="s">
        <v>453</v>
      </c>
      <c r="D3494" t="s">
        <v>23</v>
      </c>
      <c r="E3494">
        <v>36</v>
      </c>
      <c r="F3494" t="s">
        <v>269</v>
      </c>
      <c r="G3494" t="s">
        <v>182</v>
      </c>
      <c r="H3494" t="s">
        <v>7365</v>
      </c>
      <c r="I3494" s="1" t="d">
        <v>2023-07-23</v>
      </c>
      <c r="J3494" t="s">
        <v>4551</v>
      </c>
      <c r="K3494" s="17" t="s">
        <v>34</v>
      </c>
      <c r="L3494">
        <v>4</v>
      </c>
    </row>
    <row r="3495" spans="1:12" x14ac:dyDescent="0.25">
      <c r="A3495" t="s">
        <v>5958</v>
      </c>
      <c r="B3495" t="s">
        <v>340</v>
      </c>
      <c r="C3495" t="s">
        <v>488</v>
      </c>
      <c r="D3495" t="s">
        <v>9527</v>
      </c>
      <c r="E3495">
        <v>47</v>
      </c>
      <c r="F3495" t="s">
        <v>186</v>
      </c>
      <c r="G3495" t="s">
        <v>115</v>
      </c>
      <c r="H3495" t="s">
        <v>7366</v>
      </c>
      <c r="I3495" s="1" t="d">
        <v>2023-07-23</v>
      </c>
      <c r="J3495" t="s">
        <v>197</v>
      </c>
      <c r="K3495" s="17" t="s">
        <v>34</v>
      </c>
      <c r="L3495">
        <v>2</v>
      </c>
    </row>
    <row r="3496" spans="1:12" x14ac:dyDescent="0.25">
      <c r="A3496" t="s">
        <v>7367</v>
      </c>
      <c r="B3496" t="s">
        <v>120</v>
      </c>
      <c r="C3496" t="s">
        <v>1657</v>
      </c>
      <c r="D3496" t="s">
        <v>23</v>
      </c>
      <c r="E3496">
        <v>60</v>
      </c>
      <c r="F3496" t="s">
        <v>114</v>
      </c>
      <c r="G3496" t="s">
        <v>526</v>
      </c>
      <c r="H3496" s="2">
        <v>82192</v>
      </c>
      <c r="I3496" s="1" t="d">
        <v>2014-12-26</v>
      </c>
      <c r="J3496" t="s">
        <v>4038</v>
      </c>
      <c r="K3496" s="17" t="s">
        <v>50</v>
      </c>
      <c r="L3496">
        <v>3</v>
      </c>
    </row>
    <row r="3497" spans="1:12" x14ac:dyDescent="0.25">
      <c r="A3497" t="s">
        <v>7368</v>
      </c>
      <c r="B3497" t="s">
        <v>769</v>
      </c>
      <c r="C3497" t="s">
        <v>1298</v>
      </c>
      <c r="D3497" t="s">
        <v>46</v>
      </c>
      <c r="E3497">
        <v>42</v>
      </c>
      <c r="F3497" t="s">
        <v>68</v>
      </c>
      <c r="G3497" t="s">
        <v>141</v>
      </c>
      <c r="H3497">
        <v>101456</v>
      </c>
      <c r="I3497" s="1" t="d">
        <v>2015-03-25</v>
      </c>
      <c r="J3497" t="s">
        <v>6293</v>
      </c>
      <c r="K3497" s="17" t="s">
        <v>50</v>
      </c>
      <c r="L3497">
        <v>3</v>
      </c>
    </row>
    <row r="3498" spans="1:12" x14ac:dyDescent="0.25">
      <c r="A3498" t="s">
        <v>7369</v>
      </c>
      <c r="B3498" t="s">
        <v>6467</v>
      </c>
      <c r="C3498" t="s">
        <v>324</v>
      </c>
      <c r="D3498" t="s">
        <v>23</v>
      </c>
      <c r="E3498">
        <v>37</v>
      </c>
      <c r="F3498" t="s">
        <v>666</v>
      </c>
      <c r="G3498" t="s">
        <v>357</v>
      </c>
      <c r="H3498">
        <v>62880</v>
      </c>
      <c r="I3498" s="1" t="d">
        <v>2008-05-12</v>
      </c>
      <c r="J3498" t="s">
        <v>2609</v>
      </c>
      <c r="K3498" s="17" t="s">
        <v>184</v>
      </c>
      <c r="L3498">
        <v>5</v>
      </c>
    </row>
    <row r="3499" spans="1:12" x14ac:dyDescent="0.25">
      <c r="A3499" t="s">
        <v>7370</v>
      </c>
      <c r="B3499" t="s">
        <v>448</v>
      </c>
      <c r="C3499" t="s">
        <v>74</v>
      </c>
      <c r="D3499" t="s">
        <v>23</v>
      </c>
      <c r="E3499">
        <v>30</v>
      </c>
      <c r="F3499" t="s">
        <v>1546</v>
      </c>
      <c r="G3499" t="s">
        <v>69</v>
      </c>
      <c r="H3499">
        <v>107607</v>
      </c>
      <c r="I3499" s="1" t="d">
        <v>2019-10-15</v>
      </c>
      <c r="J3499" t="s">
        <v>860</v>
      </c>
      <c r="K3499" s="17" t="s">
        <v>149</v>
      </c>
      <c r="L3499">
        <v>3</v>
      </c>
    </row>
    <row r="3500" spans="1:12" x14ac:dyDescent="0.25">
      <c r="A3500" t="s">
        <v>7371</v>
      </c>
      <c r="B3500" t="s">
        <v>1403</v>
      </c>
      <c r="C3500" t="s">
        <v>405</v>
      </c>
      <c r="D3500" t="s">
        <v>9527</v>
      </c>
      <c r="E3500">
        <v>34</v>
      </c>
      <c r="F3500" t="s">
        <v>190</v>
      </c>
      <c r="G3500" t="s">
        <v>170</v>
      </c>
      <c r="H3500" t="s">
        <v>7372</v>
      </c>
      <c r="I3500" s="1" t="d">
        <v>2019-08-04</v>
      </c>
      <c r="J3500" t="s">
        <v>7373</v>
      </c>
      <c r="K3500" s="17" t="s">
        <v>100</v>
      </c>
      <c r="L3500">
        <v>4</v>
      </c>
    </row>
    <row r="3501" spans="1:12" x14ac:dyDescent="0.25">
      <c r="A3501" t="s">
        <v>7374</v>
      </c>
      <c r="B3501" t="s">
        <v>281</v>
      </c>
      <c r="C3501" t="s">
        <v>121</v>
      </c>
      <c r="D3501" t="s">
        <v>46</v>
      </c>
      <c r="E3501">
        <v>36</v>
      </c>
      <c r="F3501" t="s">
        <v>68</v>
      </c>
      <c r="G3501" t="s">
        <v>48</v>
      </c>
      <c r="I3501" s="1" t="d">
        <v>2006-09-02</v>
      </c>
      <c r="J3501" t="s">
        <v>1466</v>
      </c>
      <c r="K3501" s="17" t="s">
        <v>184</v>
      </c>
      <c r="L3501">
        <v>3</v>
      </c>
    </row>
    <row r="3502" spans="1:12" x14ac:dyDescent="0.25">
      <c r="A3502" t="s">
        <v>7375</v>
      </c>
      <c r="B3502" t="s">
        <v>1481</v>
      </c>
      <c r="C3502" t="s">
        <v>181</v>
      </c>
      <c r="D3502" t="s">
        <v>23</v>
      </c>
      <c r="E3502">
        <v>21</v>
      </c>
      <c r="F3502" t="s">
        <v>253</v>
      </c>
      <c r="G3502" t="s">
        <v>48</v>
      </c>
      <c r="I3502" s="1" t="d">
        <v>2009-04-08</v>
      </c>
      <c r="J3502" t="s">
        <v>820</v>
      </c>
      <c r="K3502" s="17" t="s">
        <v>370</v>
      </c>
      <c r="L3502">
        <v>3</v>
      </c>
    </row>
    <row r="3503" spans="1:12" x14ac:dyDescent="0.25">
      <c r="A3503" t="s">
        <v>7376</v>
      </c>
      <c r="B3503" t="s">
        <v>37</v>
      </c>
      <c r="C3503" t="s">
        <v>7377</v>
      </c>
      <c r="D3503" t="s">
        <v>23</v>
      </c>
      <c r="E3503">
        <v>48</v>
      </c>
      <c r="F3503" t="s">
        <v>62</v>
      </c>
      <c r="G3503" t="s">
        <v>278</v>
      </c>
      <c r="H3503" t="s">
        <v>7378</v>
      </c>
      <c r="I3503" s="1" t="d">
        <v>2021-11-16</v>
      </c>
      <c r="J3503" t="s">
        <v>4150</v>
      </c>
      <c r="K3503" s="17" t="s">
        <v>207</v>
      </c>
      <c r="L3503">
        <v>2</v>
      </c>
    </row>
    <row r="3504" spans="1:12" x14ac:dyDescent="0.25">
      <c r="A3504" t="s">
        <v>7379</v>
      </c>
      <c r="B3504" t="s">
        <v>467</v>
      </c>
      <c r="C3504" t="s">
        <v>483</v>
      </c>
      <c r="D3504" t="s">
        <v>9527</v>
      </c>
      <c r="E3504">
        <v>40</v>
      </c>
      <c r="F3504" t="s">
        <v>146</v>
      </c>
      <c r="G3504" t="s">
        <v>39</v>
      </c>
      <c r="H3504" s="2">
        <v>93633</v>
      </c>
      <c r="I3504" s="1" t="d">
        <v>2015-09-16</v>
      </c>
      <c r="J3504" t="s">
        <v>6104</v>
      </c>
      <c r="K3504" s="17" t="s">
        <v>370</v>
      </c>
      <c r="L3504">
        <v>4</v>
      </c>
    </row>
    <row r="3505" spans="1:12" x14ac:dyDescent="0.25">
      <c r="A3505" t="s">
        <v>5313</v>
      </c>
      <c r="B3505" t="s">
        <v>594</v>
      </c>
      <c r="C3505" t="s">
        <v>74</v>
      </c>
      <c r="D3505" t="s">
        <v>23</v>
      </c>
      <c r="E3505">
        <v>34</v>
      </c>
      <c r="F3505" t="s">
        <v>1908</v>
      </c>
      <c r="G3505" t="s">
        <v>182</v>
      </c>
      <c r="H3505" t="s">
        <v>5314</v>
      </c>
      <c r="I3505" s="1" t="d">
        <v>2016-12-08</v>
      </c>
      <c r="J3505" t="s">
        <v>2781</v>
      </c>
      <c r="K3505" s="17" t="s">
        <v>184</v>
      </c>
      <c r="L3505">
        <v>3</v>
      </c>
    </row>
    <row r="3506" spans="1:12" x14ac:dyDescent="0.25">
      <c r="A3506" t="s">
        <v>7380</v>
      </c>
      <c r="B3506" t="s">
        <v>60</v>
      </c>
      <c r="C3506" t="s">
        <v>584</v>
      </c>
      <c r="D3506" t="s">
        <v>9527</v>
      </c>
      <c r="E3506">
        <v>32</v>
      </c>
      <c r="F3506" t="s">
        <v>649</v>
      </c>
      <c r="G3506" t="s">
        <v>1164</v>
      </c>
      <c r="I3506" s="1" t="d">
        <v>2009-10-15</v>
      </c>
      <c r="J3506" t="s">
        <v>4420</v>
      </c>
      <c r="K3506" s="17" t="s">
        <v>184</v>
      </c>
      <c r="L3506">
        <v>4</v>
      </c>
    </row>
    <row r="3507" spans="1:12" x14ac:dyDescent="0.25">
      <c r="A3507" t="s">
        <v>7381</v>
      </c>
      <c r="B3507" t="s">
        <v>5200</v>
      </c>
      <c r="C3507" t="s">
        <v>215</v>
      </c>
      <c r="D3507" t="s">
        <v>46</v>
      </c>
      <c r="E3507">
        <v>51</v>
      </c>
      <c r="F3507" t="s">
        <v>62</v>
      </c>
      <c r="G3507" t="s">
        <v>39</v>
      </c>
      <c r="H3507" s="2">
        <v>74620</v>
      </c>
      <c r="I3507" s="1" t="d">
        <v>2023-08-17</v>
      </c>
      <c r="J3507" t="s">
        <v>2599</v>
      </c>
      <c r="K3507" s="17" t="s">
        <v>370</v>
      </c>
      <c r="L3507">
        <v>5</v>
      </c>
    </row>
    <row r="3508" spans="1:12" x14ac:dyDescent="0.25">
      <c r="A3508" t="s">
        <v>7382</v>
      </c>
      <c r="B3508" t="s">
        <v>702</v>
      </c>
      <c r="C3508" t="s">
        <v>145</v>
      </c>
      <c r="D3508" t="s">
        <v>23</v>
      </c>
      <c r="E3508">
        <v>56</v>
      </c>
      <c r="F3508" t="s">
        <v>216</v>
      </c>
      <c r="G3508" t="s">
        <v>48</v>
      </c>
      <c r="H3508" t="s">
        <v>7383</v>
      </c>
      <c r="I3508" s="1" t="d">
        <v>2008-10-30</v>
      </c>
      <c r="J3508" t="s">
        <v>7384</v>
      </c>
      <c r="K3508" s="17" t="s">
        <v>118</v>
      </c>
      <c r="L3508">
        <v>3</v>
      </c>
    </row>
    <row r="3509" spans="1:12" x14ac:dyDescent="0.25">
      <c r="A3509" t="s">
        <v>7385</v>
      </c>
      <c r="B3509" t="s">
        <v>3087</v>
      </c>
      <c r="C3509" t="s">
        <v>181</v>
      </c>
      <c r="D3509" t="s">
        <v>46</v>
      </c>
      <c r="E3509">
        <v>27</v>
      </c>
      <c r="F3509" t="s">
        <v>356</v>
      </c>
      <c r="G3509" t="s">
        <v>7386</v>
      </c>
      <c r="H3509">
        <v>124627</v>
      </c>
      <c r="I3509" s="1" t="d">
        <v>2015-08-14</v>
      </c>
      <c r="J3509" t="s">
        <v>1597</v>
      </c>
      <c r="K3509" s="17" t="s">
        <v>58</v>
      </c>
      <c r="L3509">
        <v>4</v>
      </c>
    </row>
    <row r="3510" spans="1:12" x14ac:dyDescent="0.25">
      <c r="A3510" t="s">
        <v>7387</v>
      </c>
      <c r="B3510" t="s">
        <v>906</v>
      </c>
      <c r="C3510" t="s">
        <v>477</v>
      </c>
      <c r="D3510" t="s">
        <v>46</v>
      </c>
      <c r="E3510">
        <v>30</v>
      </c>
      <c r="G3510" t="s">
        <v>55</v>
      </c>
      <c r="H3510" t="s">
        <v>7388</v>
      </c>
      <c r="I3510" s="1" t="d">
        <v>2022-03-17</v>
      </c>
      <c r="J3510" t="s">
        <v>358</v>
      </c>
      <c r="K3510" s="17" t="s">
        <v>370</v>
      </c>
      <c r="L3510">
        <v>3</v>
      </c>
    </row>
    <row r="3511" spans="1:12" x14ac:dyDescent="0.25">
      <c r="A3511" t="s">
        <v>7389</v>
      </c>
      <c r="B3511" t="s">
        <v>44</v>
      </c>
      <c r="C3511" t="s">
        <v>395</v>
      </c>
      <c r="D3511" t="s">
        <v>46</v>
      </c>
      <c r="E3511">
        <v>34</v>
      </c>
      <c r="F3511" t="s">
        <v>169</v>
      </c>
      <c r="G3511" t="s">
        <v>115</v>
      </c>
      <c r="H3511">
        <v>65083</v>
      </c>
      <c r="I3511" s="1" t="d">
        <v>2024-07-27</v>
      </c>
      <c r="J3511" t="s">
        <v>1732</v>
      </c>
      <c r="K3511" s="17" t="s">
        <v>370</v>
      </c>
      <c r="L3511">
        <v>4</v>
      </c>
    </row>
    <row r="3512" spans="1:12" x14ac:dyDescent="0.25">
      <c r="A3512" t="s">
        <v>7390</v>
      </c>
      <c r="B3512" t="s">
        <v>60</v>
      </c>
      <c r="C3512" t="s">
        <v>624</v>
      </c>
      <c r="D3512" t="s">
        <v>46</v>
      </c>
      <c r="E3512">
        <v>21</v>
      </c>
      <c r="F3512" t="s">
        <v>373</v>
      </c>
      <c r="G3512" t="s">
        <v>191</v>
      </c>
      <c r="H3512" s="2">
        <v>73824</v>
      </c>
      <c r="I3512" s="1" t="d">
        <v>2011-11-12</v>
      </c>
      <c r="J3512" t="s">
        <v>4461</v>
      </c>
      <c r="K3512" s="17" t="s">
        <v>27</v>
      </c>
      <c r="L3512">
        <v>4</v>
      </c>
    </row>
    <row r="3513" spans="1:12" x14ac:dyDescent="0.25">
      <c r="A3513" t="s">
        <v>7391</v>
      </c>
      <c r="B3513" t="s">
        <v>404</v>
      </c>
      <c r="C3513" t="s">
        <v>324</v>
      </c>
      <c r="D3513" t="s">
        <v>46</v>
      </c>
      <c r="E3513">
        <v>50</v>
      </c>
      <c r="F3513" t="s">
        <v>126</v>
      </c>
      <c r="G3513" t="s">
        <v>170</v>
      </c>
      <c r="H3513" t="s">
        <v>7392</v>
      </c>
      <c r="I3513" s="1" t="d">
        <v>2018-09-01</v>
      </c>
      <c r="J3513" t="s">
        <v>1514</v>
      </c>
      <c r="K3513" s="17" t="s">
        <v>50</v>
      </c>
      <c r="L3513">
        <v>4</v>
      </c>
    </row>
    <row r="3514" spans="1:12" x14ac:dyDescent="0.25">
      <c r="A3514" t="s">
        <v>7393</v>
      </c>
      <c r="B3514" t="s">
        <v>448</v>
      </c>
      <c r="C3514" t="s">
        <v>457</v>
      </c>
      <c r="D3514" t="s">
        <v>9527</v>
      </c>
      <c r="E3514">
        <v>42</v>
      </c>
      <c r="F3514" t="s">
        <v>356</v>
      </c>
      <c r="G3514" t="s">
        <v>177</v>
      </c>
      <c r="I3514" s="1" t="d">
        <v>2005-07-23</v>
      </c>
      <c r="J3514" t="s">
        <v>7394</v>
      </c>
      <c r="K3514" s="17" t="s">
        <v>207</v>
      </c>
      <c r="L3514">
        <v>4</v>
      </c>
    </row>
    <row r="3515" spans="1:12" x14ac:dyDescent="0.25">
      <c r="A3515" t="s">
        <v>7395</v>
      </c>
      <c r="B3515" t="s">
        <v>130</v>
      </c>
      <c r="C3515" t="s">
        <v>395</v>
      </c>
      <c r="D3515" t="s">
        <v>23</v>
      </c>
      <c r="E3515">
        <v>46</v>
      </c>
      <c r="F3515" t="s">
        <v>108</v>
      </c>
      <c r="G3515" t="s">
        <v>39</v>
      </c>
      <c r="H3515" t="s">
        <v>7396</v>
      </c>
      <c r="I3515" s="1" t="d">
        <v>2019-07-23</v>
      </c>
      <c r="J3515" t="s">
        <v>2815</v>
      </c>
      <c r="K3515" s="17" t="s">
        <v>149</v>
      </c>
      <c r="L3515">
        <v>3</v>
      </c>
    </row>
    <row r="3516" spans="1:12" x14ac:dyDescent="0.25">
      <c r="A3516" t="s">
        <v>7397</v>
      </c>
      <c r="B3516" t="s">
        <v>571</v>
      </c>
      <c r="C3516" t="s">
        <v>699</v>
      </c>
      <c r="D3516" t="s">
        <v>9527</v>
      </c>
      <c r="E3516">
        <v>53</v>
      </c>
      <c r="F3516" t="s">
        <v>122</v>
      </c>
      <c r="G3516" t="s">
        <v>115</v>
      </c>
      <c r="H3516" t="s">
        <v>7398</v>
      </c>
      <c r="I3516" s="1" t="d">
        <v>2012-01-14</v>
      </c>
      <c r="J3516" t="s">
        <v>573</v>
      </c>
      <c r="K3516" s="17" t="s">
        <v>58</v>
      </c>
      <c r="L3516">
        <v>2</v>
      </c>
    </row>
    <row r="3517" spans="1:12" x14ac:dyDescent="0.25">
      <c r="A3517" t="s">
        <v>7399</v>
      </c>
      <c r="B3517" t="s">
        <v>1403</v>
      </c>
      <c r="C3517" t="s">
        <v>318</v>
      </c>
      <c r="D3517" t="s">
        <v>23</v>
      </c>
      <c r="E3517">
        <v>45</v>
      </c>
      <c r="F3517" t="s">
        <v>245</v>
      </c>
      <c r="G3517" t="s">
        <v>504</v>
      </c>
      <c r="H3517">
        <v>46967</v>
      </c>
      <c r="I3517" s="1" t="d">
        <v>2009-10-28</v>
      </c>
      <c r="J3517" t="s">
        <v>3893</v>
      </c>
      <c r="K3517" s="17" t="s">
        <v>149</v>
      </c>
      <c r="L3517">
        <v>4</v>
      </c>
    </row>
    <row r="3518" spans="1:12" x14ac:dyDescent="0.25">
      <c r="A3518" t="s">
        <v>7400</v>
      </c>
      <c r="B3518" t="s">
        <v>1086</v>
      </c>
      <c r="C3518" t="s">
        <v>4791</v>
      </c>
      <c r="D3518" t="s">
        <v>23</v>
      </c>
      <c r="E3518">
        <v>52</v>
      </c>
      <c r="F3518" t="s">
        <v>589</v>
      </c>
      <c r="G3518" t="s">
        <v>32</v>
      </c>
      <c r="H3518" t="s">
        <v>7401</v>
      </c>
      <c r="I3518" s="1" t="d">
        <v>2007-05-06</v>
      </c>
      <c r="J3518" t="s">
        <v>7402</v>
      </c>
      <c r="K3518" s="17" t="s">
        <v>27</v>
      </c>
      <c r="L3518">
        <v>2</v>
      </c>
    </row>
    <row r="3519" spans="1:12" x14ac:dyDescent="0.25">
      <c r="A3519" t="s">
        <v>7403</v>
      </c>
      <c r="B3519" t="s">
        <v>1241</v>
      </c>
      <c r="C3519" t="s">
        <v>377</v>
      </c>
      <c r="D3519" t="s">
        <v>9527</v>
      </c>
      <c r="E3519">
        <v>37</v>
      </c>
      <c r="F3519" t="s">
        <v>645</v>
      </c>
      <c r="G3519" t="s">
        <v>159</v>
      </c>
      <c r="H3519">
        <v>45933</v>
      </c>
      <c r="I3519" s="1" t="d">
        <v>2022-07-18</v>
      </c>
      <c r="J3519" t="s">
        <v>6450</v>
      </c>
      <c r="K3519" s="17" t="s">
        <v>207</v>
      </c>
      <c r="L3519">
        <v>4</v>
      </c>
    </row>
    <row r="3520" spans="1:12" x14ac:dyDescent="0.25">
      <c r="A3520" t="s">
        <v>7404</v>
      </c>
      <c r="B3520" t="s">
        <v>404</v>
      </c>
      <c r="C3520" t="s">
        <v>516</v>
      </c>
      <c r="D3520" t="s">
        <v>46</v>
      </c>
      <c r="E3520">
        <v>38</v>
      </c>
      <c r="G3520" t="s">
        <v>504</v>
      </c>
      <c r="I3520" s="1" t="d">
        <v>2009-03-12</v>
      </c>
      <c r="J3520" t="s">
        <v>408</v>
      </c>
      <c r="K3520" s="17" t="s">
        <v>58</v>
      </c>
      <c r="L3520">
        <v>4</v>
      </c>
    </row>
    <row r="3521" spans="1:12" x14ac:dyDescent="0.25">
      <c r="A3521" t="s">
        <v>7405</v>
      </c>
      <c r="B3521" t="s">
        <v>21</v>
      </c>
      <c r="C3521" t="s">
        <v>158</v>
      </c>
      <c r="D3521" t="s">
        <v>46</v>
      </c>
      <c r="E3521">
        <v>58</v>
      </c>
      <c r="F3521" t="s">
        <v>666</v>
      </c>
      <c r="G3521" t="s">
        <v>69</v>
      </c>
      <c r="H3521" t="s">
        <v>7406</v>
      </c>
      <c r="I3521" s="1" t="d">
        <v>2008-09-06</v>
      </c>
      <c r="J3521" t="s">
        <v>1588</v>
      </c>
      <c r="K3521" s="17" t="s">
        <v>27</v>
      </c>
      <c r="L3521">
        <v>3</v>
      </c>
    </row>
    <row r="3522" spans="1:12" x14ac:dyDescent="0.25">
      <c r="A3522" t="s">
        <v>7407</v>
      </c>
      <c r="B3522" t="s">
        <v>444</v>
      </c>
      <c r="C3522" t="s">
        <v>7408</v>
      </c>
      <c r="D3522" t="s">
        <v>23</v>
      </c>
      <c r="E3522">
        <v>35</v>
      </c>
      <c r="F3522" t="s">
        <v>2065</v>
      </c>
      <c r="G3522" t="s">
        <v>39</v>
      </c>
      <c r="H3522" t="s">
        <v>7409</v>
      </c>
      <c r="I3522" s="1" t="d">
        <v>2007-05-03</v>
      </c>
      <c r="J3522" t="s">
        <v>1135</v>
      </c>
      <c r="K3522" s="17" t="s">
        <v>50</v>
      </c>
      <c r="L3522">
        <v>5</v>
      </c>
    </row>
    <row r="3523" spans="1:12" x14ac:dyDescent="0.25">
      <c r="A3523" t="s">
        <v>7410</v>
      </c>
      <c r="B3523" t="s">
        <v>323</v>
      </c>
      <c r="C3523" t="s">
        <v>631</v>
      </c>
      <c r="D3523" t="s">
        <v>23</v>
      </c>
      <c r="E3523">
        <v>46</v>
      </c>
      <c r="F3523" t="s">
        <v>269</v>
      </c>
      <c r="G3523" t="s">
        <v>69</v>
      </c>
      <c r="H3523" s="2">
        <v>39837</v>
      </c>
      <c r="I3523" s="1" t="d">
        <v>2016-05-23</v>
      </c>
      <c r="J3523" t="s">
        <v>7411</v>
      </c>
      <c r="K3523" s="17" t="s">
        <v>19</v>
      </c>
      <c r="L3523">
        <v>4</v>
      </c>
    </row>
    <row r="3524" spans="1:12" x14ac:dyDescent="0.25">
      <c r="A3524" t="s">
        <v>7412</v>
      </c>
      <c r="B3524" t="s">
        <v>267</v>
      </c>
      <c r="C3524" t="s">
        <v>2860</v>
      </c>
      <c r="D3524" t="s">
        <v>46</v>
      </c>
      <c r="E3524">
        <v>37</v>
      </c>
      <c r="G3524" t="s">
        <v>82</v>
      </c>
      <c r="H3524" t="s">
        <v>7413</v>
      </c>
      <c r="I3524" s="1" t="d">
        <v>2014-03-30</v>
      </c>
      <c r="J3524" t="s">
        <v>1165</v>
      </c>
      <c r="K3524" s="17" t="s">
        <v>370</v>
      </c>
      <c r="L3524">
        <v>5</v>
      </c>
    </row>
    <row r="3525" spans="1:12" x14ac:dyDescent="0.25">
      <c r="A3525" t="s">
        <v>7414</v>
      </c>
      <c r="B3525" t="s">
        <v>120</v>
      </c>
      <c r="C3525" t="s">
        <v>988</v>
      </c>
      <c r="D3525" t="s">
        <v>46</v>
      </c>
      <c r="E3525">
        <v>37</v>
      </c>
      <c r="F3525" t="s">
        <v>258</v>
      </c>
      <c r="G3525" t="s">
        <v>82</v>
      </c>
      <c r="H3525">
        <v>41641</v>
      </c>
      <c r="I3525" s="1" t="d">
        <v>2022-07-15</v>
      </c>
      <c r="J3525" t="s">
        <v>4834</v>
      </c>
      <c r="K3525" s="17" t="s">
        <v>34</v>
      </c>
      <c r="L3525">
        <v>3</v>
      </c>
    </row>
    <row r="3526" spans="1:12" x14ac:dyDescent="0.25">
      <c r="A3526" t="s">
        <v>3267</v>
      </c>
      <c r="B3526" t="s">
        <v>664</v>
      </c>
      <c r="C3526" t="s">
        <v>1538</v>
      </c>
      <c r="D3526" t="s">
        <v>23</v>
      </c>
      <c r="E3526">
        <v>36</v>
      </c>
      <c r="F3526" t="s">
        <v>104</v>
      </c>
      <c r="G3526" t="s">
        <v>177</v>
      </c>
      <c r="H3526" t="s">
        <v>7415</v>
      </c>
      <c r="I3526" s="1" t="d">
        <v>2018-07-03</v>
      </c>
      <c r="J3526" t="s">
        <v>3268</v>
      </c>
      <c r="K3526" s="17" t="s">
        <v>42</v>
      </c>
      <c r="L3526">
        <v>3</v>
      </c>
    </row>
    <row r="3527" spans="1:12" x14ac:dyDescent="0.25">
      <c r="A3527" t="s">
        <v>7416</v>
      </c>
      <c r="B3527" t="s">
        <v>228</v>
      </c>
      <c r="C3527" t="s">
        <v>1622</v>
      </c>
      <c r="D3527" t="s">
        <v>46</v>
      </c>
      <c r="E3527">
        <v>21</v>
      </c>
      <c r="F3527" t="s">
        <v>190</v>
      </c>
      <c r="G3527" t="s">
        <v>115</v>
      </c>
      <c r="H3527" s="2">
        <v>67868</v>
      </c>
      <c r="I3527" s="1" t="d">
        <v>2009-11-20</v>
      </c>
      <c r="J3527" t="s">
        <v>232</v>
      </c>
      <c r="K3527" s="17" t="s">
        <v>100</v>
      </c>
      <c r="L3527">
        <v>3</v>
      </c>
    </row>
    <row r="3528" spans="1:12" x14ac:dyDescent="0.25">
      <c r="A3528" t="s">
        <v>7417</v>
      </c>
      <c r="B3528" t="s">
        <v>789</v>
      </c>
      <c r="C3528" t="s">
        <v>237</v>
      </c>
      <c r="D3528" t="s">
        <v>46</v>
      </c>
      <c r="E3528">
        <v>41</v>
      </c>
      <c r="F3528" t="s">
        <v>1546</v>
      </c>
      <c r="G3528" t="s">
        <v>48</v>
      </c>
      <c r="H3528" t="s">
        <v>7418</v>
      </c>
      <c r="I3528" s="1" t="d">
        <v>2007-01-13</v>
      </c>
      <c r="J3528" t="s">
        <v>2652</v>
      </c>
      <c r="K3528" s="17" t="s">
        <v>19</v>
      </c>
      <c r="L3528">
        <v>3</v>
      </c>
    </row>
    <row r="3529" spans="1:12" x14ac:dyDescent="0.25">
      <c r="A3529" t="s">
        <v>7419</v>
      </c>
      <c r="B3529" t="s">
        <v>139</v>
      </c>
      <c r="C3529" t="s">
        <v>3368</v>
      </c>
      <c r="D3529" t="s">
        <v>46</v>
      </c>
      <c r="E3529">
        <v>54</v>
      </c>
      <c r="F3529" t="s">
        <v>245</v>
      </c>
      <c r="G3529" t="s">
        <v>170</v>
      </c>
      <c r="H3529" t="s">
        <v>7420</v>
      </c>
      <c r="I3529" s="1" t="d">
        <v>2023-04-17</v>
      </c>
      <c r="J3529" t="s">
        <v>4136</v>
      </c>
      <c r="K3529" s="17" t="s">
        <v>34</v>
      </c>
      <c r="L3529">
        <v>3</v>
      </c>
    </row>
    <row r="3530" spans="1:12" x14ac:dyDescent="0.25">
      <c r="A3530" t="s">
        <v>7421</v>
      </c>
      <c r="B3530" t="s">
        <v>79</v>
      </c>
      <c r="C3530" t="s">
        <v>699</v>
      </c>
      <c r="D3530" t="s">
        <v>23</v>
      </c>
      <c r="E3530">
        <v>28</v>
      </c>
      <c r="F3530" t="s">
        <v>253</v>
      </c>
      <c r="G3530" t="s">
        <v>48</v>
      </c>
      <c r="H3530">
        <v>50890</v>
      </c>
      <c r="I3530" s="1" t="d">
        <v>2014-08-01</v>
      </c>
      <c r="J3530" t="s">
        <v>5868</v>
      </c>
      <c r="K3530" s="17" t="s">
        <v>118</v>
      </c>
      <c r="L3530">
        <v>3</v>
      </c>
    </row>
    <row r="3531" spans="1:12" x14ac:dyDescent="0.25">
      <c r="A3531" t="s">
        <v>7422</v>
      </c>
      <c r="B3531" t="s">
        <v>248</v>
      </c>
      <c r="C3531" t="s">
        <v>268</v>
      </c>
      <c r="D3531" t="s">
        <v>46</v>
      </c>
      <c r="E3531">
        <v>31</v>
      </c>
      <c r="F3531" t="s">
        <v>253</v>
      </c>
      <c r="G3531" t="s">
        <v>357</v>
      </c>
      <c r="I3531" s="1" t="d">
        <v>2005-09-11</v>
      </c>
      <c r="J3531" t="s">
        <v>2501</v>
      </c>
      <c r="K3531" s="17" t="s">
        <v>42</v>
      </c>
      <c r="L3531">
        <v>4</v>
      </c>
    </row>
    <row r="3532" spans="1:12" x14ac:dyDescent="0.25">
      <c r="A3532" t="s">
        <v>7423</v>
      </c>
      <c r="B3532" t="s">
        <v>5263</v>
      </c>
      <c r="C3532" t="s">
        <v>624</v>
      </c>
      <c r="D3532" t="s">
        <v>9527</v>
      </c>
      <c r="E3532">
        <v>21</v>
      </c>
      <c r="F3532" t="s">
        <v>200</v>
      </c>
      <c r="G3532" t="s">
        <v>82</v>
      </c>
      <c r="H3532" t="s">
        <v>7424</v>
      </c>
      <c r="I3532" s="1" t="d">
        <v>2018-03-02</v>
      </c>
      <c r="J3532" t="s">
        <v>4635</v>
      </c>
      <c r="K3532" s="17" t="s">
        <v>90</v>
      </c>
      <c r="L3532">
        <v>3</v>
      </c>
    </row>
    <row r="3533" spans="1:12" x14ac:dyDescent="0.25">
      <c r="A3533" t="s">
        <v>6419</v>
      </c>
      <c r="B3533" t="s">
        <v>368</v>
      </c>
      <c r="C3533" t="s">
        <v>140</v>
      </c>
      <c r="D3533" t="s">
        <v>46</v>
      </c>
      <c r="E3533">
        <v>57</v>
      </c>
      <c r="F3533" t="s">
        <v>104</v>
      </c>
      <c r="G3533" t="s">
        <v>115</v>
      </c>
      <c r="H3533" t="s">
        <v>7425</v>
      </c>
      <c r="I3533" s="1" t="d">
        <v>2021-10-27</v>
      </c>
      <c r="J3533" t="s">
        <v>513</v>
      </c>
      <c r="K3533" s="17" t="s">
        <v>118</v>
      </c>
      <c r="L3533">
        <v>4</v>
      </c>
    </row>
    <row r="3534" spans="1:12" x14ac:dyDescent="0.25">
      <c r="A3534" t="s">
        <v>7426</v>
      </c>
      <c r="B3534" t="s">
        <v>112</v>
      </c>
      <c r="C3534" t="s">
        <v>93</v>
      </c>
      <c r="D3534" t="s">
        <v>46</v>
      </c>
      <c r="E3534">
        <v>21</v>
      </c>
      <c r="F3534" t="s">
        <v>711</v>
      </c>
      <c r="G3534" t="s">
        <v>170</v>
      </c>
      <c r="H3534" t="s">
        <v>7427</v>
      </c>
      <c r="I3534" s="1" t="d">
        <v>2009-06-25</v>
      </c>
      <c r="J3534" t="s">
        <v>7428</v>
      </c>
      <c r="K3534" s="17" t="s">
        <v>42</v>
      </c>
      <c r="L3534">
        <v>3</v>
      </c>
    </row>
    <row r="3535" spans="1:12" x14ac:dyDescent="0.25">
      <c r="A3535" t="s">
        <v>7429</v>
      </c>
      <c r="B3535" t="s">
        <v>112</v>
      </c>
      <c r="C3535" t="s">
        <v>416</v>
      </c>
      <c r="D3535" t="s">
        <v>9527</v>
      </c>
      <c r="E3535">
        <v>32</v>
      </c>
      <c r="F3535" t="s">
        <v>296</v>
      </c>
      <c r="G3535" t="s">
        <v>231</v>
      </c>
      <c r="H3535" t="s">
        <v>7430</v>
      </c>
      <c r="I3535" s="1" t="d">
        <v>2009-12-20</v>
      </c>
      <c r="J3535" t="s">
        <v>7145</v>
      </c>
      <c r="K3535" s="17" t="s">
        <v>90</v>
      </c>
      <c r="L3535">
        <v>2</v>
      </c>
    </row>
    <row r="3536" spans="1:12" x14ac:dyDescent="0.25">
      <c r="A3536" t="s">
        <v>7431</v>
      </c>
      <c r="B3536" t="s">
        <v>1706</v>
      </c>
      <c r="C3536" t="s">
        <v>349</v>
      </c>
      <c r="D3536" t="s">
        <v>9527</v>
      </c>
      <c r="E3536">
        <v>53</v>
      </c>
      <c r="G3536" t="s">
        <v>82</v>
      </c>
      <c r="H3536" t="s">
        <v>7432</v>
      </c>
      <c r="I3536" s="1" t="d">
        <v>2024-10-13</v>
      </c>
      <c r="J3536" t="s">
        <v>1673</v>
      </c>
      <c r="K3536" s="17" t="s">
        <v>149</v>
      </c>
      <c r="L3536">
        <v>3</v>
      </c>
    </row>
    <row r="3537" spans="1:12" x14ac:dyDescent="0.25">
      <c r="A3537" t="s">
        <v>6318</v>
      </c>
      <c r="B3537" t="s">
        <v>162</v>
      </c>
      <c r="C3537" t="s">
        <v>631</v>
      </c>
      <c r="D3537" t="s">
        <v>9527</v>
      </c>
      <c r="E3537">
        <v>32</v>
      </c>
      <c r="F3537" t="s">
        <v>264</v>
      </c>
      <c r="G3537" t="s">
        <v>16</v>
      </c>
      <c r="H3537" t="s">
        <v>6319</v>
      </c>
      <c r="I3537" s="1" t="d">
        <v>2007-05-01</v>
      </c>
      <c r="J3537" t="s">
        <v>3059</v>
      </c>
      <c r="K3537" s="17" t="s">
        <v>207</v>
      </c>
      <c r="L3537">
        <v>4</v>
      </c>
    </row>
    <row r="3538" spans="1:12" x14ac:dyDescent="0.25">
      <c r="A3538" t="s">
        <v>7433</v>
      </c>
      <c r="B3538" t="s">
        <v>52</v>
      </c>
      <c r="C3538" t="s">
        <v>93</v>
      </c>
      <c r="D3538" t="s">
        <v>23</v>
      </c>
      <c r="E3538">
        <v>31</v>
      </c>
      <c r="F3538" t="s">
        <v>576</v>
      </c>
      <c r="G3538" t="s">
        <v>16</v>
      </c>
      <c r="H3538" t="s">
        <v>7434</v>
      </c>
      <c r="I3538" s="1" t="d">
        <v>2012-12-13</v>
      </c>
      <c r="J3538" t="s">
        <v>1633</v>
      </c>
      <c r="K3538" s="17" t="s">
        <v>149</v>
      </c>
      <c r="L3538">
        <v>3</v>
      </c>
    </row>
    <row r="3539" spans="1:12" x14ac:dyDescent="0.25">
      <c r="A3539" t="s">
        <v>5861</v>
      </c>
      <c r="B3539" t="s">
        <v>125</v>
      </c>
      <c r="C3539" t="s">
        <v>1442</v>
      </c>
      <c r="D3539" t="s">
        <v>23</v>
      </c>
      <c r="E3539">
        <v>32</v>
      </c>
      <c r="F3539" t="s">
        <v>104</v>
      </c>
      <c r="G3539" t="s">
        <v>458</v>
      </c>
      <c r="H3539">
        <v>66447</v>
      </c>
      <c r="I3539" s="1" t="d">
        <v>2012-04-29</v>
      </c>
      <c r="J3539" t="s">
        <v>1653</v>
      </c>
      <c r="K3539" s="17" t="s">
        <v>90</v>
      </c>
      <c r="L3539">
        <v>4</v>
      </c>
    </row>
    <row r="3540" spans="1:12" x14ac:dyDescent="0.25">
      <c r="A3540" t="s">
        <v>7435</v>
      </c>
      <c r="B3540" t="s">
        <v>2252</v>
      </c>
      <c r="C3540" t="s">
        <v>140</v>
      </c>
      <c r="D3540" t="s">
        <v>46</v>
      </c>
      <c r="E3540">
        <v>48</v>
      </c>
      <c r="F3540" t="s">
        <v>94</v>
      </c>
      <c r="G3540" t="s">
        <v>69</v>
      </c>
      <c r="H3540">
        <v>79850</v>
      </c>
      <c r="I3540" s="1" t="d">
        <v>2020-09-15</v>
      </c>
      <c r="J3540" t="s">
        <v>513</v>
      </c>
      <c r="K3540" s="17" t="s">
        <v>149</v>
      </c>
      <c r="L3540">
        <v>4</v>
      </c>
    </row>
    <row r="3541" spans="1:12" x14ac:dyDescent="0.25">
      <c r="A3541" t="s">
        <v>7436</v>
      </c>
      <c r="B3541" t="s">
        <v>174</v>
      </c>
      <c r="C3541" t="s">
        <v>766</v>
      </c>
      <c r="D3541" t="s">
        <v>46</v>
      </c>
      <c r="E3541">
        <v>23</v>
      </c>
      <c r="F3541" t="s">
        <v>559</v>
      </c>
      <c r="G3541" t="s">
        <v>88</v>
      </c>
      <c r="H3541">
        <v>103402</v>
      </c>
      <c r="I3541" s="1" t="d">
        <v>2014-03-02</v>
      </c>
      <c r="J3541" t="s">
        <v>5504</v>
      </c>
      <c r="K3541" s="17" t="s">
        <v>149</v>
      </c>
      <c r="L3541">
        <v>5</v>
      </c>
    </row>
    <row r="3542" spans="1:12" x14ac:dyDescent="0.25">
      <c r="A3542" t="s">
        <v>4222</v>
      </c>
      <c r="B3542" t="s">
        <v>993</v>
      </c>
      <c r="C3542" t="s">
        <v>1442</v>
      </c>
      <c r="D3542" t="s">
        <v>23</v>
      </c>
      <c r="E3542">
        <v>39</v>
      </c>
      <c r="F3542" t="s">
        <v>75</v>
      </c>
      <c r="G3542" t="s">
        <v>170</v>
      </c>
      <c r="H3542">
        <v>-62756</v>
      </c>
      <c r="I3542" s="1" t="d">
        <v>2008-05-20</v>
      </c>
      <c r="J3542" t="s">
        <v>2906</v>
      </c>
      <c r="K3542" s="17" t="s">
        <v>90</v>
      </c>
      <c r="L3542">
        <v>2</v>
      </c>
    </row>
    <row r="3543" spans="1:12" x14ac:dyDescent="0.25">
      <c r="A3543" t="s">
        <v>7437</v>
      </c>
      <c r="B3543" t="s">
        <v>66</v>
      </c>
      <c r="C3543" t="s">
        <v>1015</v>
      </c>
      <c r="D3543" t="s">
        <v>23</v>
      </c>
      <c r="E3543">
        <v>26</v>
      </c>
      <c r="F3543" t="s">
        <v>411</v>
      </c>
      <c r="G3543" t="s">
        <v>82</v>
      </c>
      <c r="H3543" s="2">
        <v>45039</v>
      </c>
      <c r="I3543" s="1" t="d">
        <v>2009-12-27</v>
      </c>
      <c r="J3543" t="s">
        <v>2276</v>
      </c>
      <c r="K3543" s="17" t="s">
        <v>370</v>
      </c>
      <c r="L3543">
        <v>3</v>
      </c>
    </row>
    <row r="3544" spans="1:12" x14ac:dyDescent="0.25">
      <c r="A3544" t="s">
        <v>7438</v>
      </c>
      <c r="B3544" t="s">
        <v>2697</v>
      </c>
      <c r="C3544" t="s">
        <v>2118</v>
      </c>
      <c r="D3544" t="s">
        <v>23</v>
      </c>
      <c r="E3544">
        <v>38</v>
      </c>
      <c r="F3544" t="s">
        <v>1116</v>
      </c>
      <c r="G3544" t="s">
        <v>217</v>
      </c>
      <c r="I3544" s="1" t="d">
        <v>2022-04-20</v>
      </c>
      <c r="J3544" t="s">
        <v>2025</v>
      </c>
      <c r="K3544" s="17" t="s">
        <v>184</v>
      </c>
      <c r="L3544">
        <v>3</v>
      </c>
    </row>
    <row r="3545" spans="1:12" x14ac:dyDescent="0.25">
      <c r="A3545" t="s">
        <v>7439</v>
      </c>
      <c r="B3545" t="s">
        <v>659</v>
      </c>
      <c r="C3545" t="s">
        <v>1298</v>
      </c>
      <c r="D3545" t="s">
        <v>9527</v>
      </c>
      <c r="E3545">
        <v>41</v>
      </c>
      <c r="F3545" t="s">
        <v>47</v>
      </c>
      <c r="G3545" t="s">
        <v>337</v>
      </c>
      <c r="H3545" t="s">
        <v>7440</v>
      </c>
      <c r="I3545" s="1" t="d">
        <v>2017-11-04</v>
      </c>
      <c r="J3545" t="s">
        <v>1296</v>
      </c>
      <c r="K3545" s="17" t="s">
        <v>118</v>
      </c>
      <c r="L3545">
        <v>4</v>
      </c>
    </row>
    <row r="3546" spans="1:12" x14ac:dyDescent="0.25">
      <c r="A3546" t="s">
        <v>7441</v>
      </c>
      <c r="B3546" t="s">
        <v>112</v>
      </c>
      <c r="C3546" t="s">
        <v>74</v>
      </c>
      <c r="D3546" t="s">
        <v>23</v>
      </c>
      <c r="E3546">
        <v>29</v>
      </c>
      <c r="F3546" t="s">
        <v>24</v>
      </c>
      <c r="G3546" t="s">
        <v>170</v>
      </c>
      <c r="H3546" t="s">
        <v>7442</v>
      </c>
      <c r="I3546" s="1" t="d">
        <v>2008-06-28</v>
      </c>
      <c r="J3546" t="s">
        <v>1025</v>
      </c>
      <c r="K3546" s="17" t="s">
        <v>370</v>
      </c>
      <c r="L3546">
        <v>3</v>
      </c>
    </row>
    <row r="3547" spans="1:12" x14ac:dyDescent="0.25">
      <c r="A3547" t="s">
        <v>7443</v>
      </c>
      <c r="B3547" t="s">
        <v>1301</v>
      </c>
      <c r="C3547" t="s">
        <v>1306</v>
      </c>
      <c r="D3547" t="s">
        <v>9527</v>
      </c>
      <c r="E3547">
        <v>54</v>
      </c>
      <c r="F3547" t="s">
        <v>1107</v>
      </c>
      <c r="G3547" t="s">
        <v>16</v>
      </c>
      <c r="H3547" s="2">
        <v>130657</v>
      </c>
      <c r="I3547" s="1" t="d">
        <v>2014-09-13</v>
      </c>
      <c r="J3547" t="s">
        <v>4020</v>
      </c>
      <c r="K3547" s="17" t="s">
        <v>207</v>
      </c>
      <c r="L3547">
        <v>2</v>
      </c>
    </row>
    <row r="3548" spans="1:12" x14ac:dyDescent="0.25">
      <c r="A3548" t="s">
        <v>7444</v>
      </c>
      <c r="B3548" t="s">
        <v>1336</v>
      </c>
      <c r="C3548" t="s">
        <v>521</v>
      </c>
      <c r="D3548" t="s">
        <v>46</v>
      </c>
      <c r="E3548">
        <v>34</v>
      </c>
      <c r="F3548" t="s">
        <v>108</v>
      </c>
      <c r="G3548" t="s">
        <v>297</v>
      </c>
      <c r="H3548" s="2">
        <v>158546</v>
      </c>
      <c r="I3548" s="1" t="d">
        <v>2012-09-09</v>
      </c>
      <c r="J3548" t="s">
        <v>2739</v>
      </c>
      <c r="K3548" s="17" t="s">
        <v>50</v>
      </c>
      <c r="L3548">
        <v>3</v>
      </c>
    </row>
    <row r="3549" spans="1:12" x14ac:dyDescent="0.25">
      <c r="A3549" t="s">
        <v>7445</v>
      </c>
      <c r="B3549" t="s">
        <v>44</v>
      </c>
      <c r="C3549" t="s">
        <v>244</v>
      </c>
      <c r="D3549" t="s">
        <v>23</v>
      </c>
      <c r="E3549">
        <v>51</v>
      </c>
      <c r="F3549" t="s">
        <v>918</v>
      </c>
      <c r="G3549" t="s">
        <v>217</v>
      </c>
      <c r="H3549">
        <v>103466</v>
      </c>
      <c r="I3549" s="1" t="d">
        <v>2015-03-17</v>
      </c>
      <c r="J3549" t="s">
        <v>7446</v>
      </c>
      <c r="K3549" s="17" t="s">
        <v>90</v>
      </c>
      <c r="L3549">
        <v>4</v>
      </c>
    </row>
    <row r="3550" spans="1:12" x14ac:dyDescent="0.25">
      <c r="A3550" t="s">
        <v>7447</v>
      </c>
      <c r="B3550" t="s">
        <v>112</v>
      </c>
      <c r="C3550" t="s">
        <v>805</v>
      </c>
      <c r="D3550" t="s">
        <v>46</v>
      </c>
      <c r="E3550">
        <v>37</v>
      </c>
      <c r="F3550" t="s">
        <v>417</v>
      </c>
      <c r="G3550" t="s">
        <v>55</v>
      </c>
      <c r="H3550" t="s">
        <v>7448</v>
      </c>
      <c r="I3550" s="1" t="d">
        <v>2016-03-24</v>
      </c>
      <c r="J3550" t="s">
        <v>117</v>
      </c>
      <c r="K3550" s="17" t="s">
        <v>90</v>
      </c>
      <c r="L3550">
        <v>3</v>
      </c>
    </row>
    <row r="3551" spans="1:12" x14ac:dyDescent="0.25">
      <c r="A3551" t="s">
        <v>7449</v>
      </c>
      <c r="B3551" t="s">
        <v>846</v>
      </c>
      <c r="C3551" t="s">
        <v>599</v>
      </c>
      <c r="D3551" t="s">
        <v>46</v>
      </c>
      <c r="E3551">
        <v>40</v>
      </c>
      <c r="F3551" t="s">
        <v>94</v>
      </c>
      <c r="G3551" t="s">
        <v>1164</v>
      </c>
      <c r="H3551" t="s">
        <v>7450</v>
      </c>
      <c r="I3551" s="1" t="d">
        <v>2018-01-02</v>
      </c>
      <c r="J3551" t="s">
        <v>4776</v>
      </c>
      <c r="K3551" s="17" t="s">
        <v>149</v>
      </c>
      <c r="L3551">
        <v>3</v>
      </c>
    </row>
    <row r="3552" spans="1:12" x14ac:dyDescent="0.25">
      <c r="A3552" t="s">
        <v>7451</v>
      </c>
      <c r="B3552" t="s">
        <v>120</v>
      </c>
      <c r="C3552" t="s">
        <v>827</v>
      </c>
      <c r="D3552" t="s">
        <v>9527</v>
      </c>
      <c r="E3552">
        <v>23</v>
      </c>
      <c r="F3552" t="s">
        <v>2820</v>
      </c>
      <c r="G3552" t="s">
        <v>526</v>
      </c>
      <c r="J3552" t="s">
        <v>3915</v>
      </c>
      <c r="K3552" s="17" t="s">
        <v>50</v>
      </c>
      <c r="L3552">
        <v>4</v>
      </c>
    </row>
    <row r="3553" spans="1:12" x14ac:dyDescent="0.25">
      <c r="A3553" t="s">
        <v>7452</v>
      </c>
      <c r="B3553" t="s">
        <v>846</v>
      </c>
      <c r="C3553" t="s">
        <v>268</v>
      </c>
      <c r="D3553" t="s">
        <v>46</v>
      </c>
      <c r="E3553">
        <v>26</v>
      </c>
      <c r="F3553" t="s">
        <v>1908</v>
      </c>
      <c r="G3553" t="s">
        <v>109</v>
      </c>
      <c r="H3553" s="2">
        <v>106101</v>
      </c>
      <c r="I3553" s="1" t="d">
        <v>2023-05-07</v>
      </c>
      <c r="J3553" t="s">
        <v>1348</v>
      </c>
      <c r="K3553" s="17" t="s">
        <v>34</v>
      </c>
      <c r="L3553">
        <v>4</v>
      </c>
    </row>
    <row r="3554" spans="1:12" x14ac:dyDescent="0.25">
      <c r="A3554" t="s">
        <v>7453</v>
      </c>
      <c r="B3554" t="s">
        <v>1784</v>
      </c>
      <c r="C3554" t="s">
        <v>584</v>
      </c>
      <c r="D3554" t="s">
        <v>46</v>
      </c>
      <c r="E3554">
        <v>30</v>
      </c>
      <c r="F3554" t="s">
        <v>422</v>
      </c>
      <c r="G3554" t="s">
        <v>526</v>
      </c>
      <c r="H3554" s="2">
        <v>72126</v>
      </c>
      <c r="I3554" s="1" t="d">
        <v>2008-01-02</v>
      </c>
      <c r="J3554" t="s">
        <v>1139</v>
      </c>
      <c r="K3554" s="17" t="s">
        <v>34</v>
      </c>
      <c r="L3554">
        <v>3</v>
      </c>
    </row>
    <row r="3555" spans="1:12" x14ac:dyDescent="0.25">
      <c r="A3555" t="s">
        <v>7454</v>
      </c>
      <c r="B3555" t="s">
        <v>29</v>
      </c>
      <c r="C3555" t="s">
        <v>624</v>
      </c>
      <c r="D3555" t="s">
        <v>9527</v>
      </c>
      <c r="E3555">
        <v>36</v>
      </c>
      <c r="F3555" t="s">
        <v>576</v>
      </c>
      <c r="G3555" t="s">
        <v>39</v>
      </c>
      <c r="H3555">
        <v>96951</v>
      </c>
      <c r="I3555" s="1" t="d">
        <v>2007-03-23</v>
      </c>
      <c r="J3555" t="s">
        <v>4457</v>
      </c>
      <c r="K3555" s="17" t="s">
        <v>149</v>
      </c>
      <c r="L3555">
        <v>3</v>
      </c>
    </row>
    <row r="3556" spans="1:12" x14ac:dyDescent="0.25">
      <c r="A3556" t="s">
        <v>7455</v>
      </c>
      <c r="B3556" t="s">
        <v>174</v>
      </c>
      <c r="C3556" t="s">
        <v>395</v>
      </c>
      <c r="D3556" t="s">
        <v>46</v>
      </c>
      <c r="E3556">
        <v>35</v>
      </c>
      <c r="F3556" t="s">
        <v>200</v>
      </c>
      <c r="G3556" t="s">
        <v>191</v>
      </c>
      <c r="H3556">
        <v>81740</v>
      </c>
      <c r="I3556" s="1" t="d">
        <v>2009-11-12</v>
      </c>
      <c r="J3556" t="s">
        <v>178</v>
      </c>
      <c r="K3556" s="17" t="s">
        <v>71</v>
      </c>
      <c r="L3556">
        <v>4</v>
      </c>
    </row>
    <row r="3557" spans="1:12" x14ac:dyDescent="0.25">
      <c r="A3557" t="s">
        <v>7456</v>
      </c>
      <c r="B3557" t="s">
        <v>426</v>
      </c>
      <c r="C3557" t="s">
        <v>805</v>
      </c>
      <c r="D3557" t="s">
        <v>46</v>
      </c>
      <c r="E3557">
        <v>45</v>
      </c>
      <c r="F3557" t="s">
        <v>411</v>
      </c>
      <c r="G3557" t="s">
        <v>82</v>
      </c>
      <c r="H3557" t="s">
        <v>7457</v>
      </c>
      <c r="I3557" s="1" t="d">
        <v>2016-11-27</v>
      </c>
      <c r="J3557" t="s">
        <v>6236</v>
      </c>
      <c r="K3557" s="17" t="s">
        <v>207</v>
      </c>
      <c r="L3557">
        <v>5</v>
      </c>
    </row>
    <row r="3558" spans="1:12" x14ac:dyDescent="0.25">
      <c r="A3558" t="s">
        <v>7458</v>
      </c>
      <c r="B3558" t="s">
        <v>311</v>
      </c>
      <c r="C3558" t="s">
        <v>3242</v>
      </c>
      <c r="D3558" t="s">
        <v>46</v>
      </c>
      <c r="E3558">
        <v>24</v>
      </c>
      <c r="F3558" t="s">
        <v>126</v>
      </c>
      <c r="G3558" t="s">
        <v>436</v>
      </c>
      <c r="H3558" s="2">
        <v>165012</v>
      </c>
      <c r="I3558" s="1" t="d">
        <v>2010-08-16</v>
      </c>
      <c r="J3558" t="s">
        <v>2219</v>
      </c>
      <c r="K3558" s="17" t="s">
        <v>34</v>
      </c>
      <c r="L3558">
        <v>1</v>
      </c>
    </row>
    <row r="3559" spans="1:12" x14ac:dyDescent="0.25">
      <c r="A3559" t="s">
        <v>7459</v>
      </c>
      <c r="B3559" t="s">
        <v>999</v>
      </c>
      <c r="C3559" t="s">
        <v>37</v>
      </c>
      <c r="D3559" t="s">
        <v>23</v>
      </c>
      <c r="E3559">
        <v>21</v>
      </c>
      <c r="F3559" t="s">
        <v>31</v>
      </c>
      <c r="G3559" t="s">
        <v>1285</v>
      </c>
      <c r="H3559">
        <v>49246</v>
      </c>
      <c r="I3559" s="1" t="d">
        <v>2018-10-29</v>
      </c>
      <c r="J3559" t="s">
        <v>2559</v>
      </c>
      <c r="K3559" s="17" t="s">
        <v>19</v>
      </c>
      <c r="L3559">
        <v>5</v>
      </c>
    </row>
    <row r="3560" spans="1:12" x14ac:dyDescent="0.25">
      <c r="A3560" t="s">
        <v>7460</v>
      </c>
      <c r="B3560" t="s">
        <v>833</v>
      </c>
      <c r="C3560" t="s">
        <v>268</v>
      </c>
      <c r="D3560" t="s">
        <v>23</v>
      </c>
      <c r="E3560">
        <v>39</v>
      </c>
      <c r="G3560" t="s">
        <v>170</v>
      </c>
      <c r="H3560" s="2">
        <v>57521</v>
      </c>
      <c r="I3560" s="1" t="d">
        <v>2024-04-26</v>
      </c>
      <c r="J3560" t="s">
        <v>3329</v>
      </c>
      <c r="K3560" s="17" t="s">
        <v>50</v>
      </c>
      <c r="L3560">
        <v>4</v>
      </c>
    </row>
    <row r="3561" spans="1:12" x14ac:dyDescent="0.25">
      <c r="A3561" t="s">
        <v>7461</v>
      </c>
      <c r="B3561" t="s">
        <v>2272</v>
      </c>
      <c r="C3561" t="s">
        <v>770</v>
      </c>
      <c r="D3561" t="s">
        <v>23</v>
      </c>
      <c r="E3561">
        <v>54</v>
      </c>
      <c r="G3561" t="s">
        <v>182</v>
      </c>
      <c r="H3561" t="s">
        <v>7462</v>
      </c>
      <c r="I3561" s="1" t="d">
        <v>2005-03-28</v>
      </c>
      <c r="J3561" t="s">
        <v>3223</v>
      </c>
      <c r="K3561" s="17" t="s">
        <v>34</v>
      </c>
      <c r="L3561">
        <v>4</v>
      </c>
    </row>
    <row r="3562" spans="1:12" x14ac:dyDescent="0.25">
      <c r="A3562" t="s">
        <v>7463</v>
      </c>
      <c r="B3562" t="s">
        <v>394</v>
      </c>
      <c r="C3562" t="s">
        <v>3293</v>
      </c>
      <c r="D3562" t="s">
        <v>46</v>
      </c>
      <c r="E3562">
        <v>49</v>
      </c>
      <c r="F3562" t="s">
        <v>68</v>
      </c>
      <c r="G3562" t="s">
        <v>337</v>
      </c>
      <c r="H3562" t="s">
        <v>7464</v>
      </c>
      <c r="I3562" s="1" t="d">
        <v>2021-02-17</v>
      </c>
      <c r="J3562" t="s">
        <v>396</v>
      </c>
      <c r="K3562" s="17" t="s">
        <v>90</v>
      </c>
      <c r="L3562">
        <v>4</v>
      </c>
    </row>
    <row r="3563" spans="1:12" x14ac:dyDescent="0.25">
      <c r="A3563" t="s">
        <v>7465</v>
      </c>
      <c r="B3563" t="s">
        <v>1769</v>
      </c>
      <c r="C3563" t="s">
        <v>1356</v>
      </c>
      <c r="D3563" t="s">
        <v>46</v>
      </c>
      <c r="E3563">
        <v>32</v>
      </c>
      <c r="F3563" t="s">
        <v>196</v>
      </c>
      <c r="G3563" t="s">
        <v>458</v>
      </c>
      <c r="H3563">
        <v>45462</v>
      </c>
      <c r="I3563" s="1" t="d">
        <v>2017-03-18</v>
      </c>
      <c r="J3563" t="s">
        <v>3312</v>
      </c>
      <c r="K3563" s="17" t="s">
        <v>19</v>
      </c>
      <c r="L3563">
        <v>2</v>
      </c>
    </row>
    <row r="3564" spans="1:12" x14ac:dyDescent="0.25">
      <c r="A3564" t="s">
        <v>7466</v>
      </c>
      <c r="B3564" t="s">
        <v>139</v>
      </c>
      <c r="C3564" t="s">
        <v>318</v>
      </c>
      <c r="D3564" t="s">
        <v>9527</v>
      </c>
      <c r="E3564">
        <v>31</v>
      </c>
      <c r="G3564" t="s">
        <v>641</v>
      </c>
      <c r="H3564" t="s">
        <v>7467</v>
      </c>
      <c r="I3564" s="1" t="d">
        <v>2009-01-17</v>
      </c>
      <c r="J3564" t="s">
        <v>635</v>
      </c>
      <c r="K3564" s="17" t="s">
        <v>90</v>
      </c>
      <c r="L3564">
        <v>4</v>
      </c>
    </row>
    <row r="3565" spans="1:12" x14ac:dyDescent="0.25">
      <c r="A3565" t="s">
        <v>7468</v>
      </c>
      <c r="B3565" t="s">
        <v>520</v>
      </c>
      <c r="C3565" t="s">
        <v>158</v>
      </c>
      <c r="D3565" t="s">
        <v>9527</v>
      </c>
      <c r="E3565">
        <v>63</v>
      </c>
      <c r="F3565" t="s">
        <v>319</v>
      </c>
      <c r="G3565" t="s">
        <v>182</v>
      </c>
      <c r="H3565" t="s">
        <v>7469</v>
      </c>
      <c r="I3565" s="1" t="d">
        <v>2010-06-12</v>
      </c>
      <c r="J3565" t="s">
        <v>1201</v>
      </c>
      <c r="K3565" s="17" t="s">
        <v>118</v>
      </c>
      <c r="L3565">
        <v>5</v>
      </c>
    </row>
    <row r="3566" spans="1:12" x14ac:dyDescent="0.25">
      <c r="A3566" t="s">
        <v>7470</v>
      </c>
      <c r="B3566" t="s">
        <v>86</v>
      </c>
      <c r="C3566" t="s">
        <v>869</v>
      </c>
      <c r="D3566" t="s">
        <v>46</v>
      </c>
      <c r="E3566">
        <v>42</v>
      </c>
      <c r="F3566" t="s">
        <v>114</v>
      </c>
      <c r="G3566" t="s">
        <v>69</v>
      </c>
      <c r="H3566">
        <v>99876</v>
      </c>
      <c r="I3566" s="1" t="d">
        <v>2012-07-25</v>
      </c>
      <c r="J3566" t="s">
        <v>7471</v>
      </c>
      <c r="K3566" s="17" t="s">
        <v>34</v>
      </c>
      <c r="L3566">
        <v>3</v>
      </c>
    </row>
    <row r="3567" spans="1:12" x14ac:dyDescent="0.25">
      <c r="A3567" t="s">
        <v>7472</v>
      </c>
      <c r="B3567" t="s">
        <v>7473</v>
      </c>
      <c r="C3567" t="s">
        <v>766</v>
      </c>
      <c r="D3567" t="s">
        <v>46</v>
      </c>
      <c r="E3567">
        <v>36</v>
      </c>
      <c r="G3567" t="s">
        <v>205</v>
      </c>
      <c r="I3567" s="1" t="d">
        <v>2020-08-05</v>
      </c>
      <c r="J3567" t="s">
        <v>7474</v>
      </c>
      <c r="K3567" s="17" t="s">
        <v>58</v>
      </c>
      <c r="L3567">
        <v>4</v>
      </c>
    </row>
    <row r="3568" spans="1:12" x14ac:dyDescent="0.25">
      <c r="A3568" t="s">
        <v>4560</v>
      </c>
      <c r="B3568" t="s">
        <v>228</v>
      </c>
      <c r="C3568" t="s">
        <v>103</v>
      </c>
      <c r="D3568" t="s">
        <v>23</v>
      </c>
      <c r="E3568">
        <v>47</v>
      </c>
      <c r="F3568" t="s">
        <v>411</v>
      </c>
      <c r="G3568" t="s">
        <v>82</v>
      </c>
      <c r="H3568" t="s">
        <v>4561</v>
      </c>
      <c r="I3568" s="1" t="d">
        <v>2022-12-07</v>
      </c>
      <c r="J3568" t="s">
        <v>57</v>
      </c>
      <c r="K3568" s="17" t="s">
        <v>149</v>
      </c>
      <c r="L3568">
        <v>3</v>
      </c>
    </row>
    <row r="3569" spans="1:12" x14ac:dyDescent="0.25">
      <c r="A3569" t="s">
        <v>7475</v>
      </c>
      <c r="B3569" t="s">
        <v>804</v>
      </c>
      <c r="C3569" t="s">
        <v>291</v>
      </c>
      <c r="D3569" t="s">
        <v>23</v>
      </c>
      <c r="E3569">
        <v>39</v>
      </c>
      <c r="F3569" t="s">
        <v>47</v>
      </c>
      <c r="G3569" t="s">
        <v>69</v>
      </c>
      <c r="H3569" t="s">
        <v>7476</v>
      </c>
      <c r="I3569" s="1" t="d">
        <v>2014-11-25</v>
      </c>
      <c r="J3569" t="s">
        <v>2285</v>
      </c>
      <c r="K3569" s="17" t="s">
        <v>50</v>
      </c>
      <c r="L3569">
        <v>3</v>
      </c>
    </row>
    <row r="3570" spans="1:12" x14ac:dyDescent="0.25">
      <c r="A3570" t="s">
        <v>7477</v>
      </c>
      <c r="B3570" t="s">
        <v>4839</v>
      </c>
      <c r="C3570" t="s">
        <v>22</v>
      </c>
      <c r="D3570" t="s">
        <v>23</v>
      </c>
      <c r="E3570">
        <v>32</v>
      </c>
      <c r="G3570" t="s">
        <v>177</v>
      </c>
      <c r="H3570" t="s">
        <v>7478</v>
      </c>
      <c r="J3570" t="s">
        <v>2166</v>
      </c>
      <c r="K3570" s="17" t="s">
        <v>100</v>
      </c>
      <c r="L3570">
        <v>3</v>
      </c>
    </row>
    <row r="3571" spans="1:12" x14ac:dyDescent="0.25">
      <c r="A3571" t="s">
        <v>7479</v>
      </c>
      <c r="B3571" t="s">
        <v>79</v>
      </c>
      <c r="C3571" t="s">
        <v>966</v>
      </c>
      <c r="D3571" t="s">
        <v>23</v>
      </c>
      <c r="E3571">
        <v>42</v>
      </c>
      <c r="F3571" t="s">
        <v>269</v>
      </c>
      <c r="G3571" t="s">
        <v>217</v>
      </c>
      <c r="H3571" t="s">
        <v>7480</v>
      </c>
      <c r="I3571" s="1" t="d">
        <v>2016-12-03</v>
      </c>
      <c r="J3571" t="s">
        <v>4627</v>
      </c>
      <c r="K3571" s="17" t="s">
        <v>50</v>
      </c>
      <c r="L3571">
        <v>4</v>
      </c>
    </row>
    <row r="3572" spans="1:12" x14ac:dyDescent="0.25">
      <c r="A3572" t="s">
        <v>7111</v>
      </c>
      <c r="B3572" t="s">
        <v>139</v>
      </c>
      <c r="C3572" t="s">
        <v>739</v>
      </c>
      <c r="D3572" t="s">
        <v>9527</v>
      </c>
      <c r="E3572">
        <v>24</v>
      </c>
      <c r="F3572" t="s">
        <v>216</v>
      </c>
      <c r="G3572" t="s">
        <v>82</v>
      </c>
      <c r="H3572" s="2">
        <v>57662</v>
      </c>
      <c r="I3572" s="1" t="d">
        <v>2024-02-25</v>
      </c>
      <c r="J3572" t="s">
        <v>6901</v>
      </c>
      <c r="K3572" s="17" t="s">
        <v>19</v>
      </c>
      <c r="L3572">
        <v>3</v>
      </c>
    </row>
    <row r="3573" spans="1:12" x14ac:dyDescent="0.25">
      <c r="A3573" t="s">
        <v>7481</v>
      </c>
      <c r="B3573" t="s">
        <v>426</v>
      </c>
      <c r="C3573" t="s">
        <v>624</v>
      </c>
      <c r="D3573" t="s">
        <v>9527</v>
      </c>
      <c r="E3573">
        <v>39</v>
      </c>
      <c r="F3573" t="s">
        <v>253</v>
      </c>
      <c r="G3573" t="s">
        <v>170</v>
      </c>
      <c r="H3573">
        <v>58696</v>
      </c>
      <c r="I3573" s="1" t="d">
        <v>2024-05-19</v>
      </c>
      <c r="J3573" t="s">
        <v>2990</v>
      </c>
      <c r="K3573" s="17" t="s">
        <v>27</v>
      </c>
      <c r="L3573">
        <v>4</v>
      </c>
    </row>
    <row r="3574" spans="1:12" x14ac:dyDescent="0.25">
      <c r="A3574" t="s">
        <v>7482</v>
      </c>
      <c r="B3574" t="s">
        <v>659</v>
      </c>
      <c r="C3574" t="s">
        <v>1052</v>
      </c>
      <c r="D3574" t="s">
        <v>9527</v>
      </c>
      <c r="E3574">
        <v>23</v>
      </c>
      <c r="F3574" t="s">
        <v>54</v>
      </c>
      <c r="G3574" t="s">
        <v>39</v>
      </c>
      <c r="H3574" s="2">
        <v>66083</v>
      </c>
      <c r="I3574" s="1" t="d">
        <v>2021-10-21</v>
      </c>
      <c r="J3574" t="s">
        <v>628</v>
      </c>
      <c r="K3574" s="17" t="s">
        <v>50</v>
      </c>
      <c r="L3574">
        <v>3</v>
      </c>
    </row>
    <row r="3575" spans="1:12" x14ac:dyDescent="0.25">
      <c r="A3575" t="s">
        <v>7483</v>
      </c>
      <c r="B3575" t="s">
        <v>563</v>
      </c>
      <c r="C3575" t="s">
        <v>61</v>
      </c>
      <c r="D3575" t="s">
        <v>9527</v>
      </c>
      <c r="E3575">
        <v>39</v>
      </c>
      <c r="F3575" t="s">
        <v>319</v>
      </c>
      <c r="G3575" t="s">
        <v>191</v>
      </c>
      <c r="H3575">
        <v>49123</v>
      </c>
      <c r="I3575" s="1" t="d">
        <v>2015-10-14</v>
      </c>
      <c r="J3575" t="s">
        <v>3838</v>
      </c>
      <c r="K3575" s="17" t="s">
        <v>71</v>
      </c>
      <c r="L3575">
        <v>4</v>
      </c>
    </row>
    <row r="3576" spans="1:12" x14ac:dyDescent="0.25">
      <c r="A3576" t="s">
        <v>7484</v>
      </c>
      <c r="B3576" t="s">
        <v>4865</v>
      </c>
      <c r="C3576" t="s">
        <v>483</v>
      </c>
      <c r="D3576" t="s">
        <v>9527</v>
      </c>
      <c r="E3576">
        <v>32</v>
      </c>
      <c r="F3576" t="s">
        <v>68</v>
      </c>
      <c r="G3576" t="s">
        <v>782</v>
      </c>
      <c r="H3576" t="s">
        <v>7485</v>
      </c>
      <c r="I3576" s="1" t="d">
        <v>2009-04-16</v>
      </c>
      <c r="J3576" t="s">
        <v>925</v>
      </c>
      <c r="K3576" s="17" t="s">
        <v>27</v>
      </c>
      <c r="L3576">
        <v>3</v>
      </c>
    </row>
    <row r="3577" spans="1:12" x14ac:dyDescent="0.25">
      <c r="A3577" t="s">
        <v>7486</v>
      </c>
      <c r="B3577" t="s">
        <v>86</v>
      </c>
      <c r="C3577" t="s">
        <v>237</v>
      </c>
      <c r="D3577" t="s">
        <v>46</v>
      </c>
      <c r="E3577">
        <v>38</v>
      </c>
      <c r="F3577" t="s">
        <v>645</v>
      </c>
      <c r="G3577" t="s">
        <v>170</v>
      </c>
      <c r="H3577" s="2">
        <v>37438</v>
      </c>
      <c r="I3577" s="1" t="d">
        <v>2013-01-20</v>
      </c>
      <c r="J3577" t="s">
        <v>592</v>
      </c>
      <c r="K3577" s="17" t="s">
        <v>184</v>
      </c>
      <c r="L3577">
        <v>3</v>
      </c>
    </row>
    <row r="3578" spans="1:12" x14ac:dyDescent="0.25">
      <c r="A3578" t="s">
        <v>7487</v>
      </c>
      <c r="B3578" t="s">
        <v>130</v>
      </c>
      <c r="C3578" t="s">
        <v>827</v>
      </c>
      <c r="D3578" t="s">
        <v>46</v>
      </c>
      <c r="E3578">
        <v>36</v>
      </c>
      <c r="F3578" t="s">
        <v>216</v>
      </c>
      <c r="G3578" t="s">
        <v>115</v>
      </c>
      <c r="H3578" t="s">
        <v>7488</v>
      </c>
      <c r="I3578" s="1" t="d">
        <v>2009-12-13</v>
      </c>
      <c r="J3578" t="s">
        <v>3092</v>
      </c>
      <c r="K3578" s="17" t="s">
        <v>42</v>
      </c>
      <c r="L3578">
        <v>4</v>
      </c>
    </row>
    <row r="3579" spans="1:12" x14ac:dyDescent="0.25">
      <c r="A3579" t="s">
        <v>7489</v>
      </c>
      <c r="B3579" t="s">
        <v>1647</v>
      </c>
      <c r="C3579" t="s">
        <v>2300</v>
      </c>
      <c r="D3579" t="s">
        <v>46</v>
      </c>
      <c r="E3579">
        <v>30</v>
      </c>
      <c r="F3579" t="s">
        <v>2604</v>
      </c>
      <c r="G3579" t="s">
        <v>39</v>
      </c>
      <c r="H3579" t="s">
        <v>7490</v>
      </c>
      <c r="I3579" s="1" t="d">
        <v>2007-09-28</v>
      </c>
      <c r="J3579" t="s">
        <v>7491</v>
      </c>
      <c r="K3579" s="17" t="s">
        <v>34</v>
      </c>
      <c r="L3579">
        <v>4</v>
      </c>
    </row>
    <row r="3580" spans="1:12" x14ac:dyDescent="0.25">
      <c r="A3580" t="s">
        <v>7492</v>
      </c>
      <c r="B3580" t="s">
        <v>670</v>
      </c>
      <c r="C3580" t="s">
        <v>1881</v>
      </c>
      <c r="D3580" t="s">
        <v>46</v>
      </c>
      <c r="E3580">
        <v>52</v>
      </c>
      <c r="F3580" t="s">
        <v>859</v>
      </c>
      <c r="G3580" t="s">
        <v>32</v>
      </c>
      <c r="H3580" s="2">
        <v>59038</v>
      </c>
      <c r="I3580" s="1" t="d">
        <v>2005-02-12</v>
      </c>
      <c r="J3580" t="s">
        <v>3624</v>
      </c>
      <c r="K3580" s="17" t="s">
        <v>90</v>
      </c>
      <c r="L3580">
        <v>5</v>
      </c>
    </row>
    <row r="3581" spans="1:12" x14ac:dyDescent="0.25">
      <c r="A3581" t="s">
        <v>7493</v>
      </c>
      <c r="B3581" t="s">
        <v>112</v>
      </c>
      <c r="C3581" t="s">
        <v>988</v>
      </c>
      <c r="D3581" t="s">
        <v>9527</v>
      </c>
      <c r="E3581">
        <v>63</v>
      </c>
      <c r="F3581" t="s">
        <v>153</v>
      </c>
      <c r="G3581" t="s">
        <v>170</v>
      </c>
      <c r="H3581" t="s">
        <v>7494</v>
      </c>
      <c r="I3581" s="1" t="d">
        <v>2007-12-24</v>
      </c>
      <c r="J3581" t="s">
        <v>7495</v>
      </c>
      <c r="K3581" s="17" t="s">
        <v>42</v>
      </c>
      <c r="L3581">
        <v>4</v>
      </c>
    </row>
    <row r="3582" spans="1:12" x14ac:dyDescent="0.25">
      <c r="A3582" t="s">
        <v>1453</v>
      </c>
      <c r="B3582" t="s">
        <v>1162</v>
      </c>
      <c r="C3582" t="s">
        <v>809</v>
      </c>
      <c r="D3582" t="s">
        <v>23</v>
      </c>
      <c r="E3582">
        <v>46</v>
      </c>
      <c r="F3582" t="s">
        <v>1116</v>
      </c>
      <c r="G3582" t="s">
        <v>177</v>
      </c>
      <c r="I3582" s="1" t="d">
        <v>2009-02-25</v>
      </c>
      <c r="J3582" t="s">
        <v>374</v>
      </c>
      <c r="K3582" s="17" t="s">
        <v>184</v>
      </c>
      <c r="L3582">
        <v>5</v>
      </c>
    </row>
    <row r="3583" spans="1:12" x14ac:dyDescent="0.25">
      <c r="A3583" t="s">
        <v>7496</v>
      </c>
      <c r="B3583" t="s">
        <v>29</v>
      </c>
      <c r="C3583" t="s">
        <v>268</v>
      </c>
      <c r="D3583" t="s">
        <v>9527</v>
      </c>
      <c r="E3583">
        <v>22</v>
      </c>
      <c r="F3583" t="s">
        <v>253</v>
      </c>
      <c r="G3583" t="s">
        <v>278</v>
      </c>
      <c r="H3583">
        <v>105450</v>
      </c>
      <c r="I3583" s="1" t="d">
        <v>2021-01-16</v>
      </c>
      <c r="J3583" t="s">
        <v>2501</v>
      </c>
      <c r="K3583" s="17" t="s">
        <v>90</v>
      </c>
      <c r="L3583">
        <v>5</v>
      </c>
    </row>
    <row r="3584" spans="1:12" x14ac:dyDescent="0.25">
      <c r="A3584" t="s">
        <v>2353</v>
      </c>
      <c r="B3584" t="s">
        <v>670</v>
      </c>
      <c r="C3584" t="s">
        <v>747</v>
      </c>
      <c r="D3584" t="s">
        <v>23</v>
      </c>
      <c r="E3584">
        <v>54</v>
      </c>
      <c r="F3584" t="s">
        <v>2065</v>
      </c>
      <c r="G3584" t="s">
        <v>16</v>
      </c>
      <c r="H3584">
        <v>100277</v>
      </c>
      <c r="I3584" s="1" t="d">
        <v>2011-05-01</v>
      </c>
      <c r="J3584" t="s">
        <v>2355</v>
      </c>
      <c r="K3584" s="17" t="s">
        <v>370</v>
      </c>
      <c r="L3584">
        <v>3</v>
      </c>
    </row>
    <row r="3585" spans="1:12" x14ac:dyDescent="0.25">
      <c r="A3585" t="s">
        <v>7497</v>
      </c>
      <c r="B3585" t="s">
        <v>6039</v>
      </c>
      <c r="C3585" t="s">
        <v>229</v>
      </c>
      <c r="D3585" t="s">
        <v>23</v>
      </c>
      <c r="E3585">
        <v>42</v>
      </c>
      <c r="F3585" t="s">
        <v>422</v>
      </c>
      <c r="G3585" t="s">
        <v>288</v>
      </c>
      <c r="H3585" t="s">
        <v>7498</v>
      </c>
      <c r="I3585" s="1" t="d">
        <v>2009-01-28</v>
      </c>
      <c r="J3585" t="s">
        <v>1926</v>
      </c>
      <c r="K3585" s="17" t="s">
        <v>58</v>
      </c>
      <c r="L3585">
        <v>1</v>
      </c>
    </row>
    <row r="3586" spans="1:12" x14ac:dyDescent="0.25">
      <c r="A3586" t="s">
        <v>7499</v>
      </c>
      <c r="B3586" t="s">
        <v>906</v>
      </c>
      <c r="C3586" t="s">
        <v>2231</v>
      </c>
      <c r="D3586" t="s">
        <v>23</v>
      </c>
      <c r="E3586">
        <v>51</v>
      </c>
      <c r="F3586" t="s">
        <v>258</v>
      </c>
      <c r="G3586" t="s">
        <v>337</v>
      </c>
      <c r="I3586" s="1" t="d">
        <v>2012-06-08</v>
      </c>
      <c r="J3586" t="s">
        <v>3885</v>
      </c>
      <c r="K3586" s="17" t="s">
        <v>184</v>
      </c>
      <c r="L3586">
        <v>3</v>
      </c>
    </row>
    <row r="3587" spans="1:12" x14ac:dyDescent="0.25">
      <c r="A3587" t="s">
        <v>3356</v>
      </c>
      <c r="B3587" t="s">
        <v>7500</v>
      </c>
      <c r="C3587" t="s">
        <v>555</v>
      </c>
      <c r="D3587" t="s">
        <v>46</v>
      </c>
      <c r="E3587">
        <v>44</v>
      </c>
      <c r="F3587" t="s">
        <v>576</v>
      </c>
      <c r="G3587" t="s">
        <v>337</v>
      </c>
      <c r="H3587">
        <v>81168</v>
      </c>
      <c r="I3587" s="1" t="d">
        <v>2019-02-11</v>
      </c>
      <c r="J3587" t="s">
        <v>860</v>
      </c>
      <c r="K3587" s="17" t="s">
        <v>149</v>
      </c>
      <c r="L3587">
        <v>3</v>
      </c>
    </row>
    <row r="3588" spans="1:12" x14ac:dyDescent="0.25">
      <c r="A3588" t="s">
        <v>7501</v>
      </c>
      <c r="B3588" t="s">
        <v>79</v>
      </c>
      <c r="C3588" t="s">
        <v>1306</v>
      </c>
      <c r="D3588" t="s">
        <v>23</v>
      </c>
      <c r="E3588">
        <v>43</v>
      </c>
      <c r="F3588" t="s">
        <v>258</v>
      </c>
      <c r="G3588" t="s">
        <v>115</v>
      </c>
      <c r="I3588" s="1" t="d">
        <v>2008-03-24</v>
      </c>
      <c r="J3588" t="s">
        <v>528</v>
      </c>
      <c r="K3588" s="17" t="s">
        <v>184</v>
      </c>
      <c r="L3588">
        <v>4</v>
      </c>
    </row>
    <row r="3589" spans="1:12" x14ac:dyDescent="0.25">
      <c r="A3589" t="s">
        <v>7502</v>
      </c>
      <c r="B3589" t="s">
        <v>826</v>
      </c>
      <c r="C3589" t="s">
        <v>4310</v>
      </c>
      <c r="D3589" t="s">
        <v>46</v>
      </c>
      <c r="E3589">
        <v>21</v>
      </c>
      <c r="F3589" t="s">
        <v>15</v>
      </c>
      <c r="G3589" t="s">
        <v>328</v>
      </c>
      <c r="I3589" s="1" t="d">
        <v>2020-07-20</v>
      </c>
      <c r="J3589" t="s">
        <v>6212</v>
      </c>
      <c r="K3589" s="17" t="s">
        <v>50</v>
      </c>
      <c r="L3589">
        <v>3</v>
      </c>
    </row>
    <row r="3590" spans="1:12" x14ac:dyDescent="0.25">
      <c r="A3590" t="s">
        <v>7503</v>
      </c>
      <c r="B3590" t="s">
        <v>4718</v>
      </c>
      <c r="C3590" t="s">
        <v>6391</v>
      </c>
      <c r="D3590" t="s">
        <v>9527</v>
      </c>
      <c r="E3590">
        <v>55</v>
      </c>
      <c r="F3590" t="s">
        <v>645</v>
      </c>
      <c r="G3590" t="s">
        <v>69</v>
      </c>
      <c r="I3590" s="1" t="d">
        <v>2024-02-22</v>
      </c>
      <c r="J3590" t="s">
        <v>4697</v>
      </c>
      <c r="K3590" s="17" t="s">
        <v>34</v>
      </c>
      <c r="L3590">
        <v>4</v>
      </c>
    </row>
    <row r="3591" spans="1:12" x14ac:dyDescent="0.25">
      <c r="A3591" t="s">
        <v>7504</v>
      </c>
      <c r="B3591" t="s">
        <v>52</v>
      </c>
      <c r="C3591" t="s">
        <v>3998</v>
      </c>
      <c r="D3591" t="s">
        <v>9527</v>
      </c>
      <c r="E3591">
        <v>56</v>
      </c>
      <c r="F3591" t="s">
        <v>114</v>
      </c>
      <c r="G3591" t="s">
        <v>39</v>
      </c>
      <c r="H3591" t="s">
        <v>7505</v>
      </c>
      <c r="I3591" s="1" t="d">
        <v>2008-05-25</v>
      </c>
      <c r="J3591" t="s">
        <v>4158</v>
      </c>
      <c r="K3591" s="17" t="s">
        <v>370</v>
      </c>
      <c r="L3591">
        <v>4</v>
      </c>
    </row>
    <row r="3592" spans="1:12" x14ac:dyDescent="0.25">
      <c r="A3592" t="s">
        <v>7506</v>
      </c>
      <c r="B3592" t="s">
        <v>4839</v>
      </c>
      <c r="C3592" t="s">
        <v>7507</v>
      </c>
      <c r="D3592" t="s">
        <v>9527</v>
      </c>
      <c r="E3592">
        <v>33</v>
      </c>
      <c r="F3592" t="s">
        <v>5998</v>
      </c>
      <c r="G3592" t="s">
        <v>88</v>
      </c>
      <c r="I3592" s="1" t="d">
        <v>2020-03-17</v>
      </c>
      <c r="J3592" t="s">
        <v>2256</v>
      </c>
      <c r="K3592" s="17" t="s">
        <v>90</v>
      </c>
      <c r="L3592">
        <v>5</v>
      </c>
    </row>
    <row r="3593" spans="1:12" x14ac:dyDescent="0.25">
      <c r="A3593" t="s">
        <v>7508</v>
      </c>
      <c r="B3593" t="s">
        <v>21</v>
      </c>
      <c r="C3593" t="s">
        <v>204</v>
      </c>
      <c r="D3593" t="s">
        <v>46</v>
      </c>
      <c r="E3593">
        <v>28</v>
      </c>
      <c r="F3593" t="s">
        <v>350</v>
      </c>
      <c r="G3593" t="s">
        <v>205</v>
      </c>
      <c r="H3593" t="s">
        <v>7509</v>
      </c>
      <c r="I3593" s="1" t="d">
        <v>2013-12-11</v>
      </c>
      <c r="J3593" t="s">
        <v>896</v>
      </c>
      <c r="K3593" s="17" t="s">
        <v>71</v>
      </c>
      <c r="L3593">
        <v>3</v>
      </c>
    </row>
    <row r="3594" spans="1:12" x14ac:dyDescent="0.25">
      <c r="A3594" t="s">
        <v>7510</v>
      </c>
      <c r="B3594" t="s">
        <v>151</v>
      </c>
      <c r="C3594" t="s">
        <v>332</v>
      </c>
      <c r="D3594" t="s">
        <v>46</v>
      </c>
      <c r="E3594">
        <v>21</v>
      </c>
      <c r="F3594" t="s">
        <v>24</v>
      </c>
      <c r="G3594" t="s">
        <v>1329</v>
      </c>
      <c r="I3594" s="1" t="d">
        <v>2018-04-16</v>
      </c>
      <c r="J3594" t="s">
        <v>2739</v>
      </c>
      <c r="K3594" s="17" t="s">
        <v>370</v>
      </c>
      <c r="L3594">
        <v>3</v>
      </c>
    </row>
    <row r="3595" spans="1:12" x14ac:dyDescent="0.25">
      <c r="A3595" t="s">
        <v>7511</v>
      </c>
      <c r="B3595" t="s">
        <v>21</v>
      </c>
      <c r="C3595" t="s">
        <v>67</v>
      </c>
      <c r="D3595" t="s">
        <v>46</v>
      </c>
      <c r="E3595">
        <v>37</v>
      </c>
      <c r="F3595" t="s">
        <v>411</v>
      </c>
      <c r="G3595" t="s">
        <v>170</v>
      </c>
      <c r="H3595" t="s">
        <v>7512</v>
      </c>
      <c r="I3595" s="1" t="d">
        <v>2019-05-07</v>
      </c>
      <c r="J3595" t="s">
        <v>7513</v>
      </c>
      <c r="K3595" s="17" t="s">
        <v>42</v>
      </c>
      <c r="L3595">
        <v>5</v>
      </c>
    </row>
    <row r="3596" spans="1:12" x14ac:dyDescent="0.25">
      <c r="A3596" t="s">
        <v>7514</v>
      </c>
      <c r="B3596" t="s">
        <v>1051</v>
      </c>
      <c r="C3596" t="s">
        <v>830</v>
      </c>
      <c r="D3596" t="s">
        <v>46</v>
      </c>
      <c r="E3596">
        <v>36</v>
      </c>
      <c r="F3596" t="s">
        <v>153</v>
      </c>
      <c r="G3596" t="s">
        <v>39</v>
      </c>
      <c r="H3596">
        <v>73698</v>
      </c>
      <c r="I3596" s="1" t="d">
        <v>2007-06-29</v>
      </c>
      <c r="J3596" t="s">
        <v>1580</v>
      </c>
      <c r="K3596" s="17" t="s">
        <v>71</v>
      </c>
      <c r="L3596">
        <v>3</v>
      </c>
    </row>
    <row r="3597" spans="1:12" x14ac:dyDescent="0.25">
      <c r="A3597" t="s">
        <v>7515</v>
      </c>
      <c r="B3597" t="s">
        <v>199</v>
      </c>
      <c r="C3597" t="s">
        <v>474</v>
      </c>
      <c r="D3597" t="s">
        <v>9527</v>
      </c>
      <c r="E3597">
        <v>37</v>
      </c>
      <c r="F3597" t="s">
        <v>1716</v>
      </c>
      <c r="G3597" t="s">
        <v>217</v>
      </c>
      <c r="I3597" s="1" t="d">
        <v>2006-01-11</v>
      </c>
      <c r="J3597" t="s">
        <v>4744</v>
      </c>
      <c r="K3597" s="17" t="s">
        <v>118</v>
      </c>
      <c r="L3597">
        <v>3</v>
      </c>
    </row>
    <row r="3598" spans="1:12" x14ac:dyDescent="0.25">
      <c r="A3598" t="s">
        <v>7516</v>
      </c>
      <c r="B3598" t="s">
        <v>6203</v>
      </c>
      <c r="C3598" t="s">
        <v>386</v>
      </c>
      <c r="D3598" t="s">
        <v>9527</v>
      </c>
      <c r="E3598">
        <v>35</v>
      </c>
      <c r="F3598" t="s">
        <v>75</v>
      </c>
      <c r="G3598" t="s">
        <v>407</v>
      </c>
      <c r="H3598" s="2">
        <v>209150</v>
      </c>
      <c r="I3598" s="1" t="d">
        <v>2012-10-04</v>
      </c>
      <c r="J3598" t="s">
        <v>279</v>
      </c>
      <c r="K3598" s="17" t="s">
        <v>149</v>
      </c>
      <c r="L3598">
        <v>4</v>
      </c>
    </row>
    <row r="3599" spans="1:12" x14ac:dyDescent="0.25">
      <c r="A3599" t="s">
        <v>7517</v>
      </c>
      <c r="B3599" t="s">
        <v>1086</v>
      </c>
      <c r="C3599" t="s">
        <v>516</v>
      </c>
      <c r="D3599" t="s">
        <v>23</v>
      </c>
      <c r="E3599">
        <v>67</v>
      </c>
      <c r="F3599" t="s">
        <v>54</v>
      </c>
      <c r="G3599" t="s">
        <v>63</v>
      </c>
      <c r="H3599" t="s">
        <v>7518</v>
      </c>
      <c r="I3599" s="1" t="d">
        <v>2007-07-22</v>
      </c>
      <c r="J3599" t="s">
        <v>2457</v>
      </c>
      <c r="K3599" s="17" t="s">
        <v>118</v>
      </c>
      <c r="L3599">
        <v>3</v>
      </c>
    </row>
    <row r="3600" spans="1:12" x14ac:dyDescent="0.25">
      <c r="A3600" t="s">
        <v>7519</v>
      </c>
      <c r="B3600" t="s">
        <v>833</v>
      </c>
      <c r="C3600" t="s">
        <v>483</v>
      </c>
      <c r="D3600" t="s">
        <v>23</v>
      </c>
      <c r="E3600">
        <v>53</v>
      </c>
      <c r="F3600" t="s">
        <v>319</v>
      </c>
      <c r="G3600" t="s">
        <v>351</v>
      </c>
      <c r="I3600" s="1" t="d">
        <v>2007-12-09</v>
      </c>
      <c r="J3600" t="s">
        <v>172</v>
      </c>
      <c r="K3600" s="17" t="s">
        <v>370</v>
      </c>
      <c r="L3600">
        <v>4</v>
      </c>
    </row>
    <row r="3601" spans="1:12" x14ac:dyDescent="0.25">
      <c r="A3601" t="s">
        <v>7520</v>
      </c>
      <c r="B3601" t="s">
        <v>999</v>
      </c>
      <c r="C3601" t="s">
        <v>1770</v>
      </c>
      <c r="D3601" t="s">
        <v>46</v>
      </c>
      <c r="E3601">
        <v>38</v>
      </c>
      <c r="F3601" t="s">
        <v>196</v>
      </c>
      <c r="G3601" t="s">
        <v>170</v>
      </c>
      <c r="H3601" s="2">
        <v>44723</v>
      </c>
      <c r="I3601" s="1" t="d">
        <v>2010-07-24</v>
      </c>
      <c r="J3601" t="s">
        <v>374</v>
      </c>
      <c r="K3601" s="17" t="s">
        <v>118</v>
      </c>
      <c r="L3601">
        <v>5</v>
      </c>
    </row>
    <row r="3602" spans="1:12" x14ac:dyDescent="0.25">
      <c r="A3602" t="s">
        <v>7521</v>
      </c>
      <c r="B3602" t="s">
        <v>134</v>
      </c>
      <c r="C3602" t="s">
        <v>540</v>
      </c>
      <c r="D3602" t="s">
        <v>46</v>
      </c>
      <c r="E3602">
        <v>40</v>
      </c>
      <c r="F3602" t="s">
        <v>3316</v>
      </c>
      <c r="G3602" t="s">
        <v>69</v>
      </c>
      <c r="H3602" t="s">
        <v>7522</v>
      </c>
      <c r="I3602" s="1" t="d">
        <v>2013-05-20</v>
      </c>
      <c r="J3602" t="s">
        <v>4139</v>
      </c>
      <c r="K3602" s="17" t="s">
        <v>19</v>
      </c>
      <c r="L3602">
        <v>4</v>
      </c>
    </row>
    <row r="3603" spans="1:12" x14ac:dyDescent="0.25">
      <c r="A3603" t="s">
        <v>7523</v>
      </c>
      <c r="B3603" t="s">
        <v>7524</v>
      </c>
      <c r="C3603" t="s">
        <v>1030</v>
      </c>
      <c r="D3603" t="s">
        <v>9527</v>
      </c>
      <c r="E3603">
        <v>37</v>
      </c>
      <c r="F3603" t="s">
        <v>319</v>
      </c>
      <c r="G3603" t="s">
        <v>115</v>
      </c>
      <c r="H3603">
        <v>62098</v>
      </c>
      <c r="I3603" s="1" t="d">
        <v>2019-09-02</v>
      </c>
      <c r="J3603" t="s">
        <v>492</v>
      </c>
      <c r="K3603" s="17" t="s">
        <v>184</v>
      </c>
      <c r="L3603">
        <v>5</v>
      </c>
    </row>
    <row r="3604" spans="1:12" x14ac:dyDescent="0.25">
      <c r="A3604" t="s">
        <v>7525</v>
      </c>
      <c r="B3604" t="s">
        <v>1336</v>
      </c>
      <c r="C3604" t="s">
        <v>1377</v>
      </c>
      <c r="D3604" t="s">
        <v>23</v>
      </c>
      <c r="E3604">
        <v>40</v>
      </c>
      <c r="F3604" t="s">
        <v>645</v>
      </c>
      <c r="G3604" t="s">
        <v>82</v>
      </c>
      <c r="H3604" t="s">
        <v>7526</v>
      </c>
      <c r="I3604" s="1" t="d">
        <v>2013-04-12</v>
      </c>
      <c r="J3604" t="s">
        <v>4650</v>
      </c>
      <c r="K3604" s="17" t="s">
        <v>184</v>
      </c>
      <c r="L3604">
        <v>4</v>
      </c>
    </row>
    <row r="3605" spans="1:12" x14ac:dyDescent="0.25">
      <c r="A3605" t="s">
        <v>7527</v>
      </c>
      <c r="B3605" t="s">
        <v>66</v>
      </c>
      <c r="C3605" t="s">
        <v>858</v>
      </c>
      <c r="D3605" t="s">
        <v>9527</v>
      </c>
      <c r="E3605">
        <v>44</v>
      </c>
      <c r="F3605" t="s">
        <v>2029</v>
      </c>
      <c r="G3605" t="s">
        <v>337</v>
      </c>
      <c r="H3605">
        <v>55938</v>
      </c>
      <c r="I3605" s="1" t="d">
        <v>2009-06-24</v>
      </c>
      <c r="J3605" t="s">
        <v>6962</v>
      </c>
      <c r="K3605" s="17" t="s">
        <v>370</v>
      </c>
      <c r="L3605">
        <v>3</v>
      </c>
    </row>
    <row r="3606" spans="1:12" x14ac:dyDescent="0.25">
      <c r="A3606" t="s">
        <v>7528</v>
      </c>
      <c r="B3606" t="s">
        <v>652</v>
      </c>
      <c r="C3606" t="s">
        <v>395</v>
      </c>
      <c r="D3606" t="s">
        <v>23</v>
      </c>
      <c r="E3606">
        <v>51</v>
      </c>
      <c r="F3606" t="s">
        <v>559</v>
      </c>
      <c r="G3606" t="s">
        <v>177</v>
      </c>
      <c r="H3606">
        <v>89342</v>
      </c>
      <c r="I3606" s="1" t="d">
        <v>2009-11-11</v>
      </c>
      <c r="J3606" t="s">
        <v>697</v>
      </c>
      <c r="K3606" s="17" t="s">
        <v>184</v>
      </c>
      <c r="L3606">
        <v>4</v>
      </c>
    </row>
    <row r="3607" spans="1:12" x14ac:dyDescent="0.25">
      <c r="A3607" t="s">
        <v>7529</v>
      </c>
      <c r="B3607" t="s">
        <v>2409</v>
      </c>
      <c r="C3607" t="s">
        <v>1442</v>
      </c>
      <c r="D3607" t="s">
        <v>9527</v>
      </c>
      <c r="E3607">
        <v>33</v>
      </c>
      <c r="F3607" t="s">
        <v>253</v>
      </c>
      <c r="G3607" t="s">
        <v>337</v>
      </c>
      <c r="H3607" t="s">
        <v>7530</v>
      </c>
      <c r="J3607" t="s">
        <v>7531</v>
      </c>
      <c r="K3607" s="17" t="s">
        <v>34</v>
      </c>
      <c r="L3607">
        <v>5</v>
      </c>
    </row>
    <row r="3608" spans="1:12" x14ac:dyDescent="0.25">
      <c r="A3608" t="s">
        <v>7532</v>
      </c>
      <c r="B3608" t="s">
        <v>1877</v>
      </c>
      <c r="C3608" t="s">
        <v>181</v>
      </c>
      <c r="D3608" t="s">
        <v>9527</v>
      </c>
      <c r="E3608">
        <v>53</v>
      </c>
      <c r="F3608" t="s">
        <v>81</v>
      </c>
      <c r="G3608" t="s">
        <v>82</v>
      </c>
      <c r="H3608" s="2">
        <v>49002</v>
      </c>
      <c r="I3608" s="1" t="d">
        <v>2018-03-22</v>
      </c>
      <c r="J3608" t="s">
        <v>1239</v>
      </c>
      <c r="K3608" s="17" t="s">
        <v>42</v>
      </c>
      <c r="L3608">
        <v>3</v>
      </c>
    </row>
    <row r="3609" spans="1:12" x14ac:dyDescent="0.25">
      <c r="A3609" t="s">
        <v>3328</v>
      </c>
      <c r="B3609" t="s">
        <v>167</v>
      </c>
      <c r="C3609" t="s">
        <v>268</v>
      </c>
      <c r="D3609" t="s">
        <v>23</v>
      </c>
      <c r="E3609">
        <v>24</v>
      </c>
      <c r="F3609" t="s">
        <v>1983</v>
      </c>
      <c r="G3609" t="s">
        <v>423</v>
      </c>
      <c r="H3609">
        <v>56152</v>
      </c>
      <c r="I3609" s="1" t="d">
        <v>2012-08-29</v>
      </c>
      <c r="J3609" t="s">
        <v>3329</v>
      </c>
      <c r="K3609" s="17" t="s">
        <v>71</v>
      </c>
      <c r="L3609">
        <v>4</v>
      </c>
    </row>
    <row r="3610" spans="1:12" x14ac:dyDescent="0.25">
      <c r="A3610" t="s">
        <v>7533</v>
      </c>
      <c r="B3610" t="s">
        <v>680</v>
      </c>
      <c r="C3610" t="s">
        <v>1538</v>
      </c>
      <c r="D3610" t="s">
        <v>23</v>
      </c>
      <c r="E3610">
        <v>41</v>
      </c>
      <c r="F3610" t="s">
        <v>108</v>
      </c>
      <c r="G3610" t="s">
        <v>141</v>
      </c>
      <c r="I3610" s="1" t="d">
        <v>2010-01-28</v>
      </c>
      <c r="J3610" t="s">
        <v>7534</v>
      </c>
      <c r="K3610" s="17" t="s">
        <v>149</v>
      </c>
      <c r="L3610">
        <v>1</v>
      </c>
    </row>
    <row r="3611" spans="1:12" x14ac:dyDescent="0.25">
      <c r="A3611" t="s">
        <v>7535</v>
      </c>
      <c r="B3611" t="s">
        <v>789</v>
      </c>
      <c r="C3611" t="s">
        <v>696</v>
      </c>
      <c r="D3611" t="s">
        <v>9527</v>
      </c>
      <c r="E3611">
        <v>39</v>
      </c>
      <c r="F3611" t="s">
        <v>126</v>
      </c>
      <c r="G3611" t="s">
        <v>337</v>
      </c>
      <c r="H3611" s="2">
        <v>68903</v>
      </c>
      <c r="I3611" s="1" t="d">
        <v>2021-11-18</v>
      </c>
      <c r="J3611" t="s">
        <v>6553</v>
      </c>
      <c r="K3611" s="17" t="s">
        <v>42</v>
      </c>
      <c r="L3611">
        <v>3</v>
      </c>
    </row>
    <row r="3612" spans="1:12" x14ac:dyDescent="0.25">
      <c r="A3612" t="s">
        <v>7536</v>
      </c>
      <c r="B3612" t="s">
        <v>520</v>
      </c>
      <c r="C3612" t="s">
        <v>107</v>
      </c>
      <c r="D3612" t="s">
        <v>9527</v>
      </c>
      <c r="E3612">
        <v>35</v>
      </c>
      <c r="F3612" t="s">
        <v>2065</v>
      </c>
      <c r="G3612" t="s">
        <v>82</v>
      </c>
      <c r="H3612">
        <v>64404</v>
      </c>
      <c r="I3612" s="1" t="d">
        <v>2016-02-01</v>
      </c>
      <c r="J3612" t="s">
        <v>1693</v>
      </c>
      <c r="K3612" s="17" t="s">
        <v>58</v>
      </c>
      <c r="L3612">
        <v>4</v>
      </c>
    </row>
    <row r="3613" spans="1:12" x14ac:dyDescent="0.25">
      <c r="A3613" t="s">
        <v>7537</v>
      </c>
      <c r="B3613" t="s">
        <v>120</v>
      </c>
      <c r="C3613" t="s">
        <v>318</v>
      </c>
      <c r="D3613" t="s">
        <v>23</v>
      </c>
      <c r="E3613">
        <v>30</v>
      </c>
      <c r="F3613" t="s">
        <v>559</v>
      </c>
      <c r="G3613" t="s">
        <v>141</v>
      </c>
      <c r="H3613" t="s">
        <v>7538</v>
      </c>
      <c r="I3613" s="1" t="d">
        <v>2005-12-03</v>
      </c>
      <c r="J3613" t="s">
        <v>4730</v>
      </c>
      <c r="K3613" s="17" t="s">
        <v>100</v>
      </c>
      <c r="L3613">
        <v>4</v>
      </c>
    </row>
    <row r="3614" spans="1:12" x14ac:dyDescent="0.25">
      <c r="A3614" t="s">
        <v>7539</v>
      </c>
      <c r="B3614" t="s">
        <v>162</v>
      </c>
      <c r="C3614" t="s">
        <v>121</v>
      </c>
      <c r="D3614" t="s">
        <v>46</v>
      </c>
      <c r="E3614">
        <v>30</v>
      </c>
      <c r="F3614" t="s">
        <v>411</v>
      </c>
      <c r="G3614" t="s">
        <v>177</v>
      </c>
      <c r="H3614" t="s">
        <v>7540</v>
      </c>
      <c r="I3614" s="1" t="d">
        <v>2018-02-08</v>
      </c>
      <c r="J3614" t="s">
        <v>602</v>
      </c>
      <c r="K3614" s="17" t="s">
        <v>118</v>
      </c>
      <c r="L3614">
        <v>3</v>
      </c>
    </row>
    <row r="3615" spans="1:12" x14ac:dyDescent="0.25">
      <c r="A3615" t="s">
        <v>2840</v>
      </c>
      <c r="B3615" t="s">
        <v>1769</v>
      </c>
      <c r="C3615" t="s">
        <v>665</v>
      </c>
      <c r="D3615" t="s">
        <v>9527</v>
      </c>
      <c r="E3615">
        <v>44</v>
      </c>
      <c r="F3615" t="s">
        <v>153</v>
      </c>
      <c r="G3615" t="s">
        <v>458</v>
      </c>
      <c r="H3615" t="s">
        <v>7541</v>
      </c>
      <c r="I3615" s="1" t="d">
        <v>2009-11-26</v>
      </c>
      <c r="J3615" t="s">
        <v>2841</v>
      </c>
      <c r="K3615" s="17" t="s">
        <v>207</v>
      </c>
      <c r="L3615">
        <v>2</v>
      </c>
    </row>
    <row r="3616" spans="1:12" x14ac:dyDescent="0.25">
      <c r="A3616" t="s">
        <v>7542</v>
      </c>
      <c r="B3616" t="s">
        <v>906</v>
      </c>
      <c r="C3616" t="s">
        <v>1794</v>
      </c>
      <c r="D3616" t="s">
        <v>9527</v>
      </c>
      <c r="E3616">
        <v>29</v>
      </c>
      <c r="F3616" t="s">
        <v>68</v>
      </c>
      <c r="G3616" t="s">
        <v>7543</v>
      </c>
      <c r="I3616" s="1" t="d">
        <v>2018-01-07</v>
      </c>
      <c r="J3616" t="s">
        <v>1081</v>
      </c>
      <c r="K3616" s="17" t="s">
        <v>50</v>
      </c>
      <c r="L3616">
        <v>3</v>
      </c>
    </row>
    <row r="3617" spans="1:12" x14ac:dyDescent="0.25">
      <c r="A3617" t="s">
        <v>5306</v>
      </c>
      <c r="B3617" t="s">
        <v>394</v>
      </c>
      <c r="C3617" t="s">
        <v>2292</v>
      </c>
      <c r="D3617" t="s">
        <v>46</v>
      </c>
      <c r="E3617">
        <v>51</v>
      </c>
      <c r="F3617" t="s">
        <v>153</v>
      </c>
      <c r="G3617" t="s">
        <v>217</v>
      </c>
      <c r="H3617" t="s">
        <v>5308</v>
      </c>
      <c r="I3617" s="1" t="d">
        <v>2017-07-25</v>
      </c>
      <c r="J3617" t="s">
        <v>3728</v>
      </c>
      <c r="K3617" s="17" t="s">
        <v>118</v>
      </c>
      <c r="L3617">
        <v>4</v>
      </c>
    </row>
    <row r="3618" spans="1:12" x14ac:dyDescent="0.25">
      <c r="A3618" t="s">
        <v>7544</v>
      </c>
      <c r="B3618" t="s">
        <v>448</v>
      </c>
      <c r="C3618" t="s">
        <v>847</v>
      </c>
      <c r="D3618" t="s">
        <v>23</v>
      </c>
      <c r="E3618">
        <v>43</v>
      </c>
      <c r="F3618" t="s">
        <v>264</v>
      </c>
      <c r="G3618" t="s">
        <v>3253</v>
      </c>
      <c r="H3618">
        <v>131119</v>
      </c>
      <c r="I3618" s="1" t="d">
        <v>2006-01-23</v>
      </c>
      <c r="J3618" t="s">
        <v>2930</v>
      </c>
      <c r="K3618" s="17" t="s">
        <v>58</v>
      </c>
      <c r="L3618">
        <v>3</v>
      </c>
    </row>
    <row r="3619" spans="1:12" x14ac:dyDescent="0.25">
      <c r="A3619" t="s">
        <v>7545</v>
      </c>
      <c r="B3619" t="s">
        <v>936</v>
      </c>
      <c r="C3619" t="s">
        <v>739</v>
      </c>
      <c r="D3619" t="s">
        <v>46</v>
      </c>
      <c r="E3619">
        <v>35</v>
      </c>
      <c r="F3619" t="s">
        <v>200</v>
      </c>
      <c r="G3619" t="s">
        <v>39</v>
      </c>
      <c r="H3619" t="s">
        <v>7546</v>
      </c>
      <c r="I3619" s="1" t="d">
        <v>2009-03-25</v>
      </c>
      <c r="J3619" t="s">
        <v>3825</v>
      </c>
      <c r="K3619" s="17" t="s">
        <v>207</v>
      </c>
      <c r="L3619">
        <v>5</v>
      </c>
    </row>
    <row r="3620" spans="1:12" x14ac:dyDescent="0.25">
      <c r="A3620" t="s">
        <v>7547</v>
      </c>
      <c r="B3620" t="s">
        <v>221</v>
      </c>
      <c r="C3620" t="s">
        <v>135</v>
      </c>
      <c r="D3620" t="s">
        <v>23</v>
      </c>
      <c r="E3620">
        <v>55</v>
      </c>
      <c r="F3620" t="s">
        <v>411</v>
      </c>
      <c r="G3620" t="s">
        <v>82</v>
      </c>
      <c r="H3620" t="s">
        <v>7548</v>
      </c>
      <c r="I3620" s="1" t="d">
        <v>2015-04-03</v>
      </c>
      <c r="J3620" t="s">
        <v>578</v>
      </c>
      <c r="K3620" s="17" t="s">
        <v>90</v>
      </c>
      <c r="L3620">
        <v>4</v>
      </c>
    </row>
    <row r="3621" spans="1:12" x14ac:dyDescent="0.25">
      <c r="A3621" t="s">
        <v>7549</v>
      </c>
      <c r="B3621" t="s">
        <v>151</v>
      </c>
      <c r="C3621" t="s">
        <v>37</v>
      </c>
      <c r="D3621" t="s">
        <v>23</v>
      </c>
      <c r="E3621">
        <v>40</v>
      </c>
      <c r="F3621" t="s">
        <v>68</v>
      </c>
      <c r="G3621" t="s">
        <v>351</v>
      </c>
      <c r="H3621">
        <v>79541</v>
      </c>
      <c r="I3621" s="1" t="d">
        <v>2020-10-01</v>
      </c>
      <c r="J3621" t="s">
        <v>7550</v>
      </c>
      <c r="K3621" s="17" t="s">
        <v>184</v>
      </c>
      <c r="L3621">
        <v>3</v>
      </c>
    </row>
    <row r="3622" spans="1:12" x14ac:dyDescent="0.25">
      <c r="A3622" t="s">
        <v>2378</v>
      </c>
      <c r="B3622" t="s">
        <v>945</v>
      </c>
      <c r="C3622" t="s">
        <v>660</v>
      </c>
      <c r="D3622" t="s">
        <v>9527</v>
      </c>
      <c r="E3622">
        <v>21</v>
      </c>
      <c r="F3622" t="s">
        <v>153</v>
      </c>
      <c r="G3622" t="s">
        <v>48</v>
      </c>
      <c r="H3622" t="s">
        <v>7551</v>
      </c>
      <c r="I3622" s="1" t="d">
        <v>2009-09-19</v>
      </c>
      <c r="J3622" t="s">
        <v>2381</v>
      </c>
      <c r="K3622" s="17" t="s">
        <v>149</v>
      </c>
      <c r="L3622">
        <v>3</v>
      </c>
    </row>
    <row r="3623" spans="1:12" x14ac:dyDescent="0.25">
      <c r="A3623" t="s">
        <v>7552</v>
      </c>
      <c r="B3623" t="s">
        <v>945</v>
      </c>
      <c r="C3623" t="s">
        <v>1734</v>
      </c>
      <c r="D3623" t="s">
        <v>46</v>
      </c>
      <c r="E3623">
        <v>33</v>
      </c>
      <c r="F3623" t="s">
        <v>649</v>
      </c>
      <c r="G3623" t="s">
        <v>115</v>
      </c>
      <c r="H3623">
        <v>76701</v>
      </c>
      <c r="I3623" s="1" t="d">
        <v>2023-12-17</v>
      </c>
      <c r="J3623" t="s">
        <v>3472</v>
      </c>
      <c r="K3623" s="17" t="s">
        <v>50</v>
      </c>
      <c r="L3623">
        <v>3</v>
      </c>
    </row>
    <row r="3624" spans="1:12" x14ac:dyDescent="0.25">
      <c r="A3624" t="s">
        <v>7553</v>
      </c>
      <c r="B3624" t="s">
        <v>520</v>
      </c>
      <c r="C3624" t="s">
        <v>851</v>
      </c>
      <c r="D3624" t="s">
        <v>9527</v>
      </c>
      <c r="E3624">
        <v>35</v>
      </c>
      <c r="F3624" t="s">
        <v>422</v>
      </c>
      <c r="G3624" t="s">
        <v>170</v>
      </c>
      <c r="H3624" s="2">
        <v>75888</v>
      </c>
      <c r="I3624" s="1" t="d">
        <v>2018-05-10</v>
      </c>
      <c r="J3624" t="s">
        <v>3496</v>
      </c>
      <c r="K3624" s="17" t="s">
        <v>71</v>
      </c>
      <c r="L3624">
        <v>4</v>
      </c>
    </row>
    <row r="3625" spans="1:12" x14ac:dyDescent="0.25">
      <c r="A3625" t="s">
        <v>7554</v>
      </c>
      <c r="B3625" t="s">
        <v>881</v>
      </c>
      <c r="C3625" t="s">
        <v>37</v>
      </c>
      <c r="D3625" t="s">
        <v>23</v>
      </c>
      <c r="E3625">
        <v>40</v>
      </c>
      <c r="G3625" t="s">
        <v>177</v>
      </c>
      <c r="I3625" s="1" t="d">
        <v>2019-11-22</v>
      </c>
      <c r="J3625" t="s">
        <v>89</v>
      </c>
      <c r="K3625" s="17" t="s">
        <v>34</v>
      </c>
      <c r="L3625">
        <v>5</v>
      </c>
    </row>
    <row r="3626" spans="1:12" x14ac:dyDescent="0.25">
      <c r="A3626" t="s">
        <v>7555</v>
      </c>
      <c r="B3626" t="s">
        <v>456</v>
      </c>
      <c r="C3626" t="s">
        <v>140</v>
      </c>
      <c r="D3626" t="s">
        <v>9527</v>
      </c>
      <c r="E3626">
        <v>43</v>
      </c>
      <c r="F3626" t="s">
        <v>94</v>
      </c>
      <c r="G3626" t="s">
        <v>182</v>
      </c>
      <c r="H3626" s="2">
        <v>128517</v>
      </c>
      <c r="I3626" s="1" t="d">
        <v>2012-06-13</v>
      </c>
      <c r="J3626" t="s">
        <v>1745</v>
      </c>
      <c r="K3626" s="17" t="s">
        <v>34</v>
      </c>
      <c r="L3626">
        <v>3</v>
      </c>
    </row>
    <row r="3627" spans="1:12" x14ac:dyDescent="0.25">
      <c r="A3627" t="s">
        <v>7556</v>
      </c>
      <c r="B3627" t="s">
        <v>448</v>
      </c>
      <c r="C3627" t="s">
        <v>1608</v>
      </c>
      <c r="D3627" t="s">
        <v>23</v>
      </c>
      <c r="E3627">
        <v>37</v>
      </c>
      <c r="F3627" t="s">
        <v>296</v>
      </c>
      <c r="G3627" t="s">
        <v>115</v>
      </c>
      <c r="H3627" t="s">
        <v>7557</v>
      </c>
      <c r="I3627" s="1" t="d">
        <v>2019-11-09</v>
      </c>
      <c r="J3627" t="s">
        <v>3925</v>
      </c>
      <c r="K3627" s="17" t="s">
        <v>370</v>
      </c>
      <c r="L3627">
        <v>3</v>
      </c>
    </row>
    <row r="3628" spans="1:12" x14ac:dyDescent="0.25">
      <c r="A3628" t="s">
        <v>7558</v>
      </c>
      <c r="B3628" t="s">
        <v>563</v>
      </c>
      <c r="C3628" t="s">
        <v>1428</v>
      </c>
      <c r="D3628" t="s">
        <v>46</v>
      </c>
      <c r="E3628">
        <v>21</v>
      </c>
      <c r="F3628" t="s">
        <v>146</v>
      </c>
      <c r="G3628" t="s">
        <v>63</v>
      </c>
      <c r="H3628" t="s">
        <v>7559</v>
      </c>
      <c r="I3628" s="1" t="d">
        <v>2024-05-12</v>
      </c>
      <c r="J3628" t="s">
        <v>1264</v>
      </c>
      <c r="K3628" s="17" t="s">
        <v>71</v>
      </c>
      <c r="L3628">
        <v>3</v>
      </c>
    </row>
    <row r="3629" spans="1:12" x14ac:dyDescent="0.25">
      <c r="A3629" t="s">
        <v>7560</v>
      </c>
      <c r="B3629" t="s">
        <v>102</v>
      </c>
      <c r="C3629" t="s">
        <v>1248</v>
      </c>
      <c r="D3629" t="s">
        <v>9527</v>
      </c>
      <c r="E3629">
        <v>30</v>
      </c>
      <c r="F3629" t="s">
        <v>196</v>
      </c>
      <c r="G3629" t="s">
        <v>115</v>
      </c>
      <c r="H3629" t="s">
        <v>7561</v>
      </c>
      <c r="I3629" s="1" t="d">
        <v>2007-09-27</v>
      </c>
      <c r="J3629" t="s">
        <v>6722</v>
      </c>
      <c r="K3629" s="17" t="s">
        <v>58</v>
      </c>
      <c r="L3629">
        <v>4</v>
      </c>
    </row>
    <row r="3630" spans="1:12" x14ac:dyDescent="0.25">
      <c r="A3630" t="s">
        <v>7562</v>
      </c>
      <c r="B3630" t="s">
        <v>151</v>
      </c>
      <c r="C3630" t="s">
        <v>5039</v>
      </c>
      <c r="D3630" t="s">
        <v>46</v>
      </c>
      <c r="E3630">
        <v>42</v>
      </c>
      <c r="G3630" t="s">
        <v>115</v>
      </c>
      <c r="I3630" s="1" t="d">
        <v>2020-08-15</v>
      </c>
      <c r="J3630" t="s">
        <v>6817</v>
      </c>
      <c r="K3630" s="17" t="s">
        <v>90</v>
      </c>
      <c r="L3630">
        <v>3</v>
      </c>
    </row>
    <row r="3631" spans="1:12" x14ac:dyDescent="0.25">
      <c r="A3631" t="s">
        <v>7563</v>
      </c>
      <c r="B3631" t="s">
        <v>52</v>
      </c>
      <c r="C3631" t="s">
        <v>4769</v>
      </c>
      <c r="D3631" t="s">
        <v>23</v>
      </c>
      <c r="E3631">
        <v>40</v>
      </c>
      <c r="F3631" t="s">
        <v>31</v>
      </c>
      <c r="G3631" t="s">
        <v>55</v>
      </c>
      <c r="H3631">
        <v>41481</v>
      </c>
      <c r="J3631" t="s">
        <v>192</v>
      </c>
      <c r="K3631" s="17" t="s">
        <v>71</v>
      </c>
      <c r="L3631">
        <v>5</v>
      </c>
    </row>
    <row r="3632" spans="1:12" x14ac:dyDescent="0.25">
      <c r="A3632" t="s">
        <v>7564</v>
      </c>
      <c r="B3632" t="s">
        <v>199</v>
      </c>
      <c r="C3632" t="s">
        <v>377</v>
      </c>
      <c r="D3632" t="s">
        <v>23</v>
      </c>
      <c r="E3632">
        <v>50</v>
      </c>
      <c r="F3632" t="s">
        <v>196</v>
      </c>
      <c r="G3632" t="s">
        <v>191</v>
      </c>
      <c r="H3632">
        <v>43854</v>
      </c>
      <c r="I3632" s="1" t="d">
        <v>2021-02-26</v>
      </c>
      <c r="J3632" t="s">
        <v>2742</v>
      </c>
      <c r="K3632" s="17" t="s">
        <v>184</v>
      </c>
      <c r="L3632">
        <v>3</v>
      </c>
    </row>
    <row r="3633" spans="1:12" x14ac:dyDescent="0.25">
      <c r="A3633" t="s">
        <v>7565</v>
      </c>
      <c r="B3633" t="s">
        <v>833</v>
      </c>
      <c r="C3633" t="s">
        <v>1564</v>
      </c>
      <c r="D3633" t="s">
        <v>46</v>
      </c>
      <c r="E3633">
        <v>25</v>
      </c>
      <c r="F3633" t="s">
        <v>4095</v>
      </c>
      <c r="G3633" t="s">
        <v>69</v>
      </c>
      <c r="H3633" t="s">
        <v>7566</v>
      </c>
      <c r="I3633" s="1" t="d">
        <v>2011-07-25</v>
      </c>
      <c r="J3633" t="s">
        <v>3329</v>
      </c>
      <c r="K3633" s="17" t="s">
        <v>370</v>
      </c>
      <c r="L3633">
        <v>5</v>
      </c>
    </row>
    <row r="3634" spans="1:12" x14ac:dyDescent="0.25">
      <c r="A3634" t="s">
        <v>7567</v>
      </c>
      <c r="B3634" t="s">
        <v>1437</v>
      </c>
      <c r="C3634" t="s">
        <v>107</v>
      </c>
      <c r="D3634" t="s">
        <v>46</v>
      </c>
      <c r="E3634">
        <v>44</v>
      </c>
      <c r="F3634" t="s">
        <v>68</v>
      </c>
      <c r="G3634" t="s">
        <v>48</v>
      </c>
      <c r="H3634" t="s">
        <v>7568</v>
      </c>
      <c r="I3634" s="1" t="d">
        <v>2016-02-05</v>
      </c>
      <c r="J3634" t="s">
        <v>1366</v>
      </c>
      <c r="K3634" s="17" t="s">
        <v>370</v>
      </c>
      <c r="L3634">
        <v>4</v>
      </c>
    </row>
    <row r="3635" spans="1:12" x14ac:dyDescent="0.25">
      <c r="A3635" t="s">
        <v>7569</v>
      </c>
      <c r="B3635" t="s">
        <v>1051</v>
      </c>
      <c r="C3635" t="s">
        <v>488</v>
      </c>
      <c r="D3635" t="s">
        <v>23</v>
      </c>
      <c r="E3635">
        <v>49</v>
      </c>
      <c r="F3635" t="s">
        <v>859</v>
      </c>
      <c r="G3635" t="s">
        <v>212</v>
      </c>
      <c r="I3635" s="1" t="d">
        <v>2005-02-21</v>
      </c>
      <c r="J3635" t="s">
        <v>2278</v>
      </c>
      <c r="K3635" s="17" t="s">
        <v>100</v>
      </c>
      <c r="L3635">
        <v>5</v>
      </c>
    </row>
    <row r="3636" spans="1:12" x14ac:dyDescent="0.25">
      <c r="A3636" t="s">
        <v>7570</v>
      </c>
      <c r="B3636" t="s">
        <v>482</v>
      </c>
      <c r="C3636" t="s">
        <v>1010</v>
      </c>
      <c r="D3636" t="s">
        <v>9527</v>
      </c>
      <c r="E3636">
        <v>21</v>
      </c>
      <c r="F3636" t="s">
        <v>666</v>
      </c>
      <c r="G3636" t="s">
        <v>39</v>
      </c>
      <c r="H3636" t="s">
        <v>7571</v>
      </c>
      <c r="I3636" s="1" t="d">
        <v>2012-02-29</v>
      </c>
      <c r="J3636" t="s">
        <v>7572</v>
      </c>
      <c r="K3636" s="17" t="s">
        <v>27</v>
      </c>
      <c r="L3636">
        <v>5</v>
      </c>
    </row>
    <row r="3637" spans="1:12" x14ac:dyDescent="0.25">
      <c r="A3637" t="s">
        <v>7573</v>
      </c>
      <c r="B3637" t="s">
        <v>267</v>
      </c>
      <c r="C3637" t="s">
        <v>790</v>
      </c>
      <c r="D3637" t="s">
        <v>46</v>
      </c>
      <c r="E3637">
        <v>42</v>
      </c>
      <c r="F3637" t="s">
        <v>3101</v>
      </c>
      <c r="G3637" t="s">
        <v>177</v>
      </c>
      <c r="H3637" s="2">
        <v>80224</v>
      </c>
      <c r="I3637" s="1" t="d">
        <v>2014-02-21</v>
      </c>
      <c r="J3637" t="s">
        <v>374</v>
      </c>
      <c r="K3637" s="17" t="s">
        <v>100</v>
      </c>
      <c r="L3637">
        <v>2</v>
      </c>
    </row>
    <row r="3638" spans="1:12" x14ac:dyDescent="0.25">
      <c r="A3638" t="s">
        <v>7574</v>
      </c>
      <c r="B3638" t="s">
        <v>130</v>
      </c>
      <c r="C3638" t="s">
        <v>631</v>
      </c>
      <c r="D3638" t="s">
        <v>46</v>
      </c>
      <c r="E3638">
        <v>42</v>
      </c>
      <c r="F3638" t="s">
        <v>211</v>
      </c>
      <c r="G3638" t="s">
        <v>1277</v>
      </c>
      <c r="H3638" t="s">
        <v>7575</v>
      </c>
      <c r="I3638" s="1" t="d">
        <v>2007-02-16</v>
      </c>
      <c r="J3638" t="s">
        <v>2760</v>
      </c>
      <c r="K3638" s="17" t="s">
        <v>90</v>
      </c>
      <c r="L3638">
        <v>3</v>
      </c>
    </row>
    <row r="3639" spans="1:12" x14ac:dyDescent="0.25">
      <c r="A3639" t="s">
        <v>7576</v>
      </c>
      <c r="B3639" t="s">
        <v>906</v>
      </c>
      <c r="C3639" t="s">
        <v>1052</v>
      </c>
      <c r="D3639" t="s">
        <v>23</v>
      </c>
      <c r="E3639">
        <v>27</v>
      </c>
      <c r="F3639" t="s">
        <v>522</v>
      </c>
      <c r="G3639" t="s">
        <v>177</v>
      </c>
      <c r="I3639" s="1" t="d">
        <v>2007-01-11</v>
      </c>
      <c r="J3639" t="s">
        <v>2073</v>
      </c>
      <c r="K3639" s="17" t="s">
        <v>50</v>
      </c>
      <c r="L3639">
        <v>4</v>
      </c>
    </row>
    <row r="3640" spans="1:12" x14ac:dyDescent="0.25">
      <c r="A3640" t="s">
        <v>7577</v>
      </c>
      <c r="B3640" t="s">
        <v>66</v>
      </c>
      <c r="C3640" t="s">
        <v>1964</v>
      </c>
      <c r="D3640" t="s">
        <v>46</v>
      </c>
      <c r="E3640">
        <v>38</v>
      </c>
      <c r="F3640" t="s">
        <v>15</v>
      </c>
      <c r="G3640" t="s">
        <v>16</v>
      </c>
      <c r="H3640" t="s">
        <v>7578</v>
      </c>
      <c r="I3640" s="1" t="d">
        <v>2018-05-18</v>
      </c>
      <c r="J3640" t="s">
        <v>5873</v>
      </c>
      <c r="K3640" s="17" t="s">
        <v>71</v>
      </c>
      <c r="L3640">
        <v>4</v>
      </c>
    </row>
    <row r="3641" spans="1:12" x14ac:dyDescent="0.25">
      <c r="A3641" t="s">
        <v>7579</v>
      </c>
      <c r="B3641" t="s">
        <v>728</v>
      </c>
      <c r="C3641" t="s">
        <v>318</v>
      </c>
      <c r="D3641" t="s">
        <v>9527</v>
      </c>
      <c r="E3641">
        <v>52</v>
      </c>
      <c r="F3641" t="s">
        <v>1839</v>
      </c>
      <c r="G3641" t="s">
        <v>82</v>
      </c>
      <c r="H3641" t="s">
        <v>7580</v>
      </c>
      <c r="I3641" s="1" t="d">
        <v>2020-02-01</v>
      </c>
      <c r="J3641" t="s">
        <v>1585</v>
      </c>
      <c r="K3641" s="17" t="s">
        <v>71</v>
      </c>
      <c r="L3641">
        <v>3</v>
      </c>
    </row>
    <row r="3642" spans="1:12" x14ac:dyDescent="0.25">
      <c r="A3642" t="s">
        <v>7581</v>
      </c>
      <c r="B3642" t="s">
        <v>993</v>
      </c>
      <c r="C3642" t="s">
        <v>1794</v>
      </c>
      <c r="D3642" t="s">
        <v>23</v>
      </c>
      <c r="E3642">
        <v>39</v>
      </c>
      <c r="F3642" t="s">
        <v>200</v>
      </c>
      <c r="G3642" t="s">
        <v>526</v>
      </c>
      <c r="H3642" t="s">
        <v>7582</v>
      </c>
      <c r="I3642" s="1" t="d">
        <v>2010-07-20</v>
      </c>
      <c r="J3642" t="s">
        <v>6193</v>
      </c>
      <c r="K3642" s="17" t="s">
        <v>27</v>
      </c>
      <c r="L3642">
        <v>3</v>
      </c>
    </row>
    <row r="3643" spans="1:12" x14ac:dyDescent="0.25">
      <c r="A3643" t="s">
        <v>7583</v>
      </c>
      <c r="B3643" t="s">
        <v>2272</v>
      </c>
      <c r="C3643" t="s">
        <v>1258</v>
      </c>
      <c r="D3643" t="s">
        <v>9527</v>
      </c>
      <c r="E3643">
        <v>58</v>
      </c>
      <c r="F3643" t="s">
        <v>31</v>
      </c>
      <c r="G3643" t="s">
        <v>16</v>
      </c>
      <c r="H3643" t="s">
        <v>7584</v>
      </c>
      <c r="I3643" s="1" t="d">
        <v>2019-05-29</v>
      </c>
      <c r="J3643" t="s">
        <v>1420</v>
      </c>
      <c r="K3643" s="17" t="s">
        <v>50</v>
      </c>
      <c r="L3643">
        <v>2</v>
      </c>
    </row>
    <row r="3644" spans="1:12" x14ac:dyDescent="0.25">
      <c r="A3644" t="s">
        <v>7585</v>
      </c>
      <c r="B3644" t="s">
        <v>1181</v>
      </c>
      <c r="C3644" t="s">
        <v>555</v>
      </c>
      <c r="D3644" t="s">
        <v>23</v>
      </c>
      <c r="E3644">
        <v>46</v>
      </c>
      <c r="F3644" t="s">
        <v>984</v>
      </c>
      <c r="G3644" t="s">
        <v>39</v>
      </c>
      <c r="H3644" s="2">
        <v>61288</v>
      </c>
      <c r="I3644" s="1" t="d">
        <v>2024-01-14</v>
      </c>
      <c r="J3644" t="s">
        <v>1185</v>
      </c>
      <c r="K3644" s="17" t="s">
        <v>90</v>
      </c>
      <c r="L3644">
        <v>4</v>
      </c>
    </row>
    <row r="3645" spans="1:12" x14ac:dyDescent="0.25">
      <c r="A3645" t="s">
        <v>7586</v>
      </c>
      <c r="B3645" t="s">
        <v>355</v>
      </c>
      <c r="C3645" t="s">
        <v>1576</v>
      </c>
      <c r="D3645" t="s">
        <v>23</v>
      </c>
      <c r="E3645">
        <v>21</v>
      </c>
      <c r="F3645" t="s">
        <v>559</v>
      </c>
      <c r="G3645" t="s">
        <v>48</v>
      </c>
      <c r="H3645">
        <v>86848</v>
      </c>
      <c r="I3645" s="1" t="d">
        <v>2021-12-17</v>
      </c>
      <c r="J3645" t="s">
        <v>1613</v>
      </c>
      <c r="K3645" s="17" t="s">
        <v>58</v>
      </c>
      <c r="L3645">
        <v>5</v>
      </c>
    </row>
    <row r="3646" spans="1:12" x14ac:dyDescent="0.25">
      <c r="A3646" t="s">
        <v>7587</v>
      </c>
      <c r="B3646" t="s">
        <v>6384</v>
      </c>
      <c r="C3646" t="s">
        <v>966</v>
      </c>
      <c r="D3646" t="s">
        <v>23</v>
      </c>
      <c r="E3646">
        <v>52</v>
      </c>
      <c r="F3646" t="s">
        <v>589</v>
      </c>
      <c r="G3646" t="s">
        <v>127</v>
      </c>
      <c r="H3646" s="2">
        <v>70190</v>
      </c>
      <c r="I3646" s="1" t="d">
        <v>2020-11-11</v>
      </c>
      <c r="J3646" t="s">
        <v>1623</v>
      </c>
      <c r="K3646" s="17" t="s">
        <v>184</v>
      </c>
      <c r="L3646">
        <v>4</v>
      </c>
    </row>
    <row r="3647" spans="1:12" x14ac:dyDescent="0.25">
      <c r="A3647" t="s">
        <v>7588</v>
      </c>
      <c r="B3647" t="s">
        <v>470</v>
      </c>
      <c r="C3647" t="s">
        <v>395</v>
      </c>
      <c r="D3647" t="s">
        <v>9527</v>
      </c>
      <c r="E3647">
        <v>31</v>
      </c>
      <c r="F3647" t="s">
        <v>2065</v>
      </c>
      <c r="G3647" t="s">
        <v>82</v>
      </c>
      <c r="I3647" s="1" t="d">
        <v>2014-03-11</v>
      </c>
      <c r="J3647" t="s">
        <v>2081</v>
      </c>
      <c r="K3647" s="17" t="s">
        <v>34</v>
      </c>
      <c r="L3647">
        <v>4</v>
      </c>
    </row>
    <row r="3648" spans="1:12" x14ac:dyDescent="0.25">
      <c r="A3648" t="s">
        <v>7589</v>
      </c>
      <c r="B3648" t="s">
        <v>1051</v>
      </c>
      <c r="C3648" t="s">
        <v>1442</v>
      </c>
      <c r="D3648" t="s">
        <v>23</v>
      </c>
      <c r="E3648">
        <v>32</v>
      </c>
      <c r="F3648" t="s">
        <v>122</v>
      </c>
      <c r="G3648" t="s">
        <v>842</v>
      </c>
      <c r="H3648" s="2">
        <v>83452</v>
      </c>
      <c r="I3648" s="1" t="d">
        <v>2021-01-22</v>
      </c>
      <c r="J3648" t="s">
        <v>3452</v>
      </c>
      <c r="K3648" s="17" t="s">
        <v>149</v>
      </c>
      <c r="L3648">
        <v>3</v>
      </c>
    </row>
    <row r="3649" spans="1:12" x14ac:dyDescent="0.25">
      <c r="A3649" t="s">
        <v>7590</v>
      </c>
      <c r="B3649" t="s">
        <v>1769</v>
      </c>
      <c r="C3649" t="s">
        <v>405</v>
      </c>
      <c r="D3649" t="s">
        <v>9527</v>
      </c>
      <c r="E3649">
        <v>45</v>
      </c>
      <c r="F3649" t="s">
        <v>186</v>
      </c>
      <c r="G3649" t="s">
        <v>39</v>
      </c>
      <c r="I3649" s="1" t="d">
        <v>2024-10-01</v>
      </c>
      <c r="J3649" t="s">
        <v>4401</v>
      </c>
      <c r="K3649" s="17" t="s">
        <v>27</v>
      </c>
      <c r="L3649">
        <v>4</v>
      </c>
    </row>
    <row r="3650" spans="1:12" x14ac:dyDescent="0.25">
      <c r="A3650" t="s">
        <v>7591</v>
      </c>
      <c r="B3650" t="s">
        <v>203</v>
      </c>
      <c r="C3650" t="s">
        <v>1205</v>
      </c>
      <c r="D3650" t="s">
        <v>46</v>
      </c>
      <c r="E3650">
        <v>50</v>
      </c>
      <c r="F3650" t="s">
        <v>176</v>
      </c>
      <c r="G3650" t="s">
        <v>170</v>
      </c>
      <c r="H3650">
        <v>53273</v>
      </c>
      <c r="I3650" s="1" t="d">
        <v>2021-01-04</v>
      </c>
      <c r="J3650" t="s">
        <v>3286</v>
      </c>
      <c r="K3650" s="17" t="s">
        <v>90</v>
      </c>
      <c r="L3650">
        <v>4</v>
      </c>
    </row>
    <row r="3651" spans="1:12" x14ac:dyDescent="0.25">
      <c r="A3651" t="s">
        <v>7592</v>
      </c>
      <c r="B3651" t="s">
        <v>36</v>
      </c>
      <c r="C3651" t="s">
        <v>665</v>
      </c>
      <c r="D3651" t="s">
        <v>23</v>
      </c>
      <c r="E3651">
        <v>34</v>
      </c>
      <c r="F3651" t="s">
        <v>104</v>
      </c>
      <c r="G3651" t="s">
        <v>115</v>
      </c>
      <c r="H3651" t="s">
        <v>7593</v>
      </c>
      <c r="I3651" s="1" t="d">
        <v>2020-01-08</v>
      </c>
      <c r="J3651" t="s">
        <v>7185</v>
      </c>
      <c r="K3651" s="17" t="s">
        <v>100</v>
      </c>
      <c r="L3651">
        <v>3</v>
      </c>
    </row>
    <row r="3652" spans="1:12" x14ac:dyDescent="0.25">
      <c r="A3652" t="s">
        <v>7594</v>
      </c>
      <c r="B3652" t="s">
        <v>404</v>
      </c>
      <c r="C3652" t="s">
        <v>140</v>
      </c>
      <c r="D3652" t="s">
        <v>9527</v>
      </c>
      <c r="E3652">
        <v>42</v>
      </c>
      <c r="F3652" t="s">
        <v>2707</v>
      </c>
      <c r="G3652" t="s">
        <v>16</v>
      </c>
      <c r="H3652" s="2">
        <v>68300</v>
      </c>
      <c r="I3652" s="1" t="d">
        <v>2024-03-16</v>
      </c>
      <c r="J3652" t="s">
        <v>1948</v>
      </c>
      <c r="K3652" s="17" t="s">
        <v>370</v>
      </c>
      <c r="L3652">
        <v>4</v>
      </c>
    </row>
    <row r="3653" spans="1:12" x14ac:dyDescent="0.25">
      <c r="A3653" t="s">
        <v>7595</v>
      </c>
      <c r="B3653" t="s">
        <v>1706</v>
      </c>
      <c r="C3653" t="s">
        <v>107</v>
      </c>
      <c r="D3653" t="s">
        <v>46</v>
      </c>
      <c r="E3653">
        <v>21</v>
      </c>
      <c r="F3653" t="s">
        <v>356</v>
      </c>
      <c r="G3653" t="s">
        <v>3253</v>
      </c>
      <c r="H3653" t="s">
        <v>7596</v>
      </c>
      <c r="I3653" s="1" t="d">
        <v>2024-10-25</v>
      </c>
      <c r="J3653" t="s">
        <v>4705</v>
      </c>
      <c r="K3653" s="17" t="s">
        <v>58</v>
      </c>
      <c r="L3653">
        <v>3</v>
      </c>
    </row>
    <row r="3654" spans="1:12" x14ac:dyDescent="0.25">
      <c r="A3654" t="s">
        <v>7597</v>
      </c>
      <c r="B3654" t="s">
        <v>157</v>
      </c>
      <c r="C3654" t="s">
        <v>1576</v>
      </c>
      <c r="D3654" t="s">
        <v>46</v>
      </c>
      <c r="E3654">
        <v>38</v>
      </c>
      <c r="F3654" t="s">
        <v>94</v>
      </c>
      <c r="G3654" t="s">
        <v>88</v>
      </c>
      <c r="H3654" t="s">
        <v>7598</v>
      </c>
      <c r="I3654" s="1" t="d">
        <v>2005-05-14</v>
      </c>
      <c r="J3654" t="s">
        <v>1008</v>
      </c>
      <c r="K3654" s="17" t="s">
        <v>58</v>
      </c>
      <c r="L3654">
        <v>4</v>
      </c>
    </row>
    <row r="3655" spans="1:12" x14ac:dyDescent="0.25">
      <c r="A3655" t="s">
        <v>7599</v>
      </c>
      <c r="B3655" t="s">
        <v>670</v>
      </c>
      <c r="C3655" t="s">
        <v>37</v>
      </c>
      <c r="D3655" t="s">
        <v>46</v>
      </c>
      <c r="E3655">
        <v>21</v>
      </c>
      <c r="F3655" t="s">
        <v>216</v>
      </c>
      <c r="G3655" t="s">
        <v>159</v>
      </c>
      <c r="H3655" t="s">
        <v>7600</v>
      </c>
      <c r="I3655" s="1" t="d">
        <v>2015-11-19</v>
      </c>
      <c r="J3655" t="s">
        <v>2359</v>
      </c>
      <c r="K3655" s="17" t="s">
        <v>100</v>
      </c>
      <c r="L3655">
        <v>4</v>
      </c>
    </row>
    <row r="3656" spans="1:12" x14ac:dyDescent="0.25">
      <c r="A3656" t="s">
        <v>7601</v>
      </c>
      <c r="B3656" t="s">
        <v>1051</v>
      </c>
      <c r="C3656" t="s">
        <v>7602</v>
      </c>
      <c r="D3656" t="s">
        <v>46</v>
      </c>
      <c r="E3656">
        <v>39</v>
      </c>
      <c r="F3656" t="s">
        <v>31</v>
      </c>
      <c r="G3656" t="s">
        <v>996</v>
      </c>
      <c r="H3656" t="s">
        <v>7603</v>
      </c>
      <c r="I3656" s="1" t="d">
        <v>2020-06-05</v>
      </c>
      <c r="J3656" t="s">
        <v>4776</v>
      </c>
      <c r="K3656" s="17" t="s">
        <v>50</v>
      </c>
      <c r="L3656">
        <v>4</v>
      </c>
    </row>
    <row r="3657" spans="1:12" x14ac:dyDescent="0.25">
      <c r="A3657" t="s">
        <v>7604</v>
      </c>
      <c r="B3657" t="s">
        <v>2197</v>
      </c>
      <c r="C3657" t="s">
        <v>1377</v>
      </c>
      <c r="D3657" t="s">
        <v>23</v>
      </c>
      <c r="E3657">
        <v>33</v>
      </c>
      <c r="F3657" t="s">
        <v>918</v>
      </c>
      <c r="G3657" t="s">
        <v>115</v>
      </c>
      <c r="H3657" t="s">
        <v>7605</v>
      </c>
      <c r="I3657" s="1" t="d">
        <v>2012-09-10</v>
      </c>
      <c r="J3657" t="s">
        <v>6901</v>
      </c>
      <c r="K3657" s="17" t="s">
        <v>370</v>
      </c>
      <c r="L3657">
        <v>3</v>
      </c>
    </row>
    <row r="3658" spans="1:12" x14ac:dyDescent="0.25">
      <c r="A3658" t="s">
        <v>7606</v>
      </c>
      <c r="B3658" t="s">
        <v>7500</v>
      </c>
      <c r="C3658" t="s">
        <v>531</v>
      </c>
      <c r="D3658" t="s">
        <v>23</v>
      </c>
      <c r="E3658">
        <v>44</v>
      </c>
      <c r="G3658" t="s">
        <v>115</v>
      </c>
      <c r="H3658" t="s">
        <v>7607</v>
      </c>
      <c r="J3658" t="s">
        <v>646</v>
      </c>
      <c r="K3658" s="17" t="s">
        <v>58</v>
      </c>
      <c r="L3658">
        <v>5</v>
      </c>
    </row>
    <row r="3659" spans="1:12" x14ac:dyDescent="0.25">
      <c r="A3659" t="s">
        <v>7608</v>
      </c>
      <c r="B3659" t="s">
        <v>630</v>
      </c>
      <c r="C3659" t="s">
        <v>22</v>
      </c>
      <c r="D3659" t="s">
        <v>9527</v>
      </c>
      <c r="E3659">
        <v>57</v>
      </c>
      <c r="F3659" t="s">
        <v>2065</v>
      </c>
      <c r="G3659" t="s">
        <v>217</v>
      </c>
      <c r="H3659" t="s">
        <v>7609</v>
      </c>
      <c r="I3659" s="1" t="d">
        <v>2014-12-26</v>
      </c>
      <c r="J3659" t="s">
        <v>3123</v>
      </c>
      <c r="K3659" s="17" t="s">
        <v>19</v>
      </c>
      <c r="L3659">
        <v>4</v>
      </c>
    </row>
    <row r="3660" spans="1:12" x14ac:dyDescent="0.25">
      <c r="A3660" t="s">
        <v>7610</v>
      </c>
      <c r="B3660" t="s">
        <v>426</v>
      </c>
      <c r="C3660" t="s">
        <v>395</v>
      </c>
      <c r="D3660" t="s">
        <v>46</v>
      </c>
      <c r="E3660">
        <v>52</v>
      </c>
      <c r="F3660" t="s">
        <v>422</v>
      </c>
      <c r="G3660" t="s">
        <v>82</v>
      </c>
      <c r="I3660" s="1" t="d">
        <v>2007-10-05</v>
      </c>
      <c r="J3660" t="s">
        <v>7611</v>
      </c>
      <c r="K3660" s="17" t="s">
        <v>100</v>
      </c>
      <c r="L3660">
        <v>3</v>
      </c>
    </row>
    <row r="3661" spans="1:12" x14ac:dyDescent="0.25">
      <c r="A3661" t="s">
        <v>7612</v>
      </c>
      <c r="B3661" t="s">
        <v>520</v>
      </c>
      <c r="C3661" t="s">
        <v>462</v>
      </c>
      <c r="D3661" t="s">
        <v>9527</v>
      </c>
      <c r="E3661">
        <v>37</v>
      </c>
      <c r="F3661" t="s">
        <v>211</v>
      </c>
      <c r="G3661" t="s">
        <v>39</v>
      </c>
      <c r="H3661" s="2">
        <v>55480</v>
      </c>
      <c r="J3661" t="s">
        <v>3496</v>
      </c>
      <c r="K3661" s="17" t="s">
        <v>71</v>
      </c>
      <c r="L3661">
        <v>4</v>
      </c>
    </row>
    <row r="3662" spans="1:12" x14ac:dyDescent="0.25">
      <c r="A3662" t="s">
        <v>7613</v>
      </c>
      <c r="B3662" t="s">
        <v>1312</v>
      </c>
      <c r="C3662" t="s">
        <v>5561</v>
      </c>
      <c r="D3662" t="s">
        <v>46</v>
      </c>
      <c r="E3662">
        <v>34</v>
      </c>
      <c r="F3662" t="s">
        <v>62</v>
      </c>
      <c r="G3662" t="s">
        <v>88</v>
      </c>
      <c r="H3662" t="s">
        <v>7614</v>
      </c>
      <c r="J3662" t="s">
        <v>1978</v>
      </c>
      <c r="K3662" s="17" t="s">
        <v>27</v>
      </c>
      <c r="L3662">
        <v>4</v>
      </c>
    </row>
    <row r="3663" spans="1:12" x14ac:dyDescent="0.25">
      <c r="A3663" t="s">
        <v>3025</v>
      </c>
      <c r="B3663" t="s">
        <v>79</v>
      </c>
      <c r="C3663" t="s">
        <v>2300</v>
      </c>
      <c r="D3663" t="s">
        <v>46</v>
      </c>
      <c r="E3663">
        <v>42</v>
      </c>
      <c r="F3663" t="s">
        <v>169</v>
      </c>
      <c r="G3663" t="s">
        <v>82</v>
      </c>
      <c r="H3663" s="2">
        <v>52190</v>
      </c>
      <c r="I3663" s="1" t="d">
        <v>2016-04-27</v>
      </c>
      <c r="J3663" t="s">
        <v>3026</v>
      </c>
      <c r="K3663" s="17" t="s">
        <v>370</v>
      </c>
      <c r="L3663">
        <v>4</v>
      </c>
    </row>
    <row r="3664" spans="1:12" x14ac:dyDescent="0.25">
      <c r="A3664" t="s">
        <v>7615</v>
      </c>
      <c r="B3664" t="s">
        <v>901</v>
      </c>
      <c r="C3664" t="s">
        <v>1030</v>
      </c>
      <c r="D3664" t="s">
        <v>9527</v>
      </c>
      <c r="E3664">
        <v>42</v>
      </c>
      <c r="F3664" t="s">
        <v>7616</v>
      </c>
      <c r="G3664" t="s">
        <v>278</v>
      </c>
      <c r="H3664" t="s">
        <v>7617</v>
      </c>
      <c r="I3664" s="1" t="d">
        <v>2008-12-05</v>
      </c>
      <c r="J3664" t="s">
        <v>1934</v>
      </c>
      <c r="K3664" s="17" t="s">
        <v>34</v>
      </c>
      <c r="L3664">
        <v>3</v>
      </c>
    </row>
    <row r="3665" spans="1:12" x14ac:dyDescent="0.25">
      <c r="A3665" t="s">
        <v>7618</v>
      </c>
      <c r="B3665" t="s">
        <v>323</v>
      </c>
      <c r="C3665" t="s">
        <v>135</v>
      </c>
      <c r="D3665" t="s">
        <v>23</v>
      </c>
      <c r="E3665">
        <v>26</v>
      </c>
      <c r="F3665" t="s">
        <v>589</v>
      </c>
      <c r="G3665" t="s">
        <v>231</v>
      </c>
      <c r="H3665" t="s">
        <v>7619</v>
      </c>
      <c r="I3665" s="1" t="d">
        <v>2006-11-29</v>
      </c>
      <c r="J3665" t="s">
        <v>1135</v>
      </c>
      <c r="K3665" s="17" t="s">
        <v>90</v>
      </c>
      <c r="L3665">
        <v>4</v>
      </c>
    </row>
    <row r="3666" spans="1:12" x14ac:dyDescent="0.25">
      <c r="A3666" t="s">
        <v>7620</v>
      </c>
      <c r="B3666" t="s">
        <v>21</v>
      </c>
      <c r="C3666" t="s">
        <v>37</v>
      </c>
      <c r="D3666" t="s">
        <v>46</v>
      </c>
      <c r="E3666">
        <v>22</v>
      </c>
      <c r="F3666" t="s">
        <v>1214</v>
      </c>
      <c r="G3666" t="s">
        <v>159</v>
      </c>
      <c r="H3666" t="s">
        <v>7621</v>
      </c>
      <c r="I3666" s="1" t="d">
        <v>2019-12-29</v>
      </c>
      <c r="J3666" t="s">
        <v>1049</v>
      </c>
      <c r="K3666" s="17" t="s">
        <v>27</v>
      </c>
      <c r="L3666">
        <v>4</v>
      </c>
    </row>
    <row r="3667" spans="1:12" x14ac:dyDescent="0.25">
      <c r="A3667" t="s">
        <v>7622</v>
      </c>
      <c r="B3667" t="s">
        <v>993</v>
      </c>
      <c r="C3667" t="s">
        <v>427</v>
      </c>
      <c r="D3667" t="s">
        <v>9527</v>
      </c>
      <c r="E3667">
        <v>27</v>
      </c>
      <c r="F3667" t="s">
        <v>68</v>
      </c>
      <c r="G3667" t="s">
        <v>378</v>
      </c>
      <c r="H3667" t="s">
        <v>7623</v>
      </c>
      <c r="I3667" s="1" t="d">
        <v>2010-07-22</v>
      </c>
      <c r="J3667" t="s">
        <v>5890</v>
      </c>
      <c r="K3667" s="17" t="s">
        <v>19</v>
      </c>
      <c r="L3667">
        <v>3</v>
      </c>
    </row>
    <row r="3668" spans="1:12" x14ac:dyDescent="0.25">
      <c r="A3668" t="s">
        <v>7624</v>
      </c>
      <c r="B3668" t="s">
        <v>5263</v>
      </c>
      <c r="C3668" t="s">
        <v>103</v>
      </c>
      <c r="D3668" t="s">
        <v>9527</v>
      </c>
      <c r="E3668">
        <v>40</v>
      </c>
      <c r="G3668" t="s">
        <v>159</v>
      </c>
      <c r="H3668" t="s">
        <v>7625</v>
      </c>
      <c r="I3668" s="1" t="d">
        <v>2006-01-03</v>
      </c>
      <c r="J3668" t="s">
        <v>4060</v>
      </c>
      <c r="K3668" s="17" t="s">
        <v>90</v>
      </c>
      <c r="L3668">
        <v>5</v>
      </c>
    </row>
    <row r="3669" spans="1:12" x14ac:dyDescent="0.25">
      <c r="A3669" t="s">
        <v>7562</v>
      </c>
      <c r="B3669" t="s">
        <v>151</v>
      </c>
      <c r="C3669" t="s">
        <v>145</v>
      </c>
      <c r="D3669" t="s">
        <v>46</v>
      </c>
      <c r="E3669">
        <v>42</v>
      </c>
      <c r="F3669" t="s">
        <v>146</v>
      </c>
      <c r="G3669" t="s">
        <v>205</v>
      </c>
      <c r="H3669" t="s">
        <v>7626</v>
      </c>
      <c r="I3669" s="1" t="d">
        <v>2020-08-15</v>
      </c>
      <c r="J3669" t="s">
        <v>6817</v>
      </c>
      <c r="K3669" s="17" t="s">
        <v>90</v>
      </c>
      <c r="L3669">
        <v>3</v>
      </c>
    </row>
    <row r="3670" spans="1:12" x14ac:dyDescent="0.25">
      <c r="A3670" t="s">
        <v>7627</v>
      </c>
      <c r="B3670" t="s">
        <v>664</v>
      </c>
      <c r="C3670" t="s">
        <v>1015</v>
      </c>
      <c r="D3670" t="s">
        <v>9527</v>
      </c>
      <c r="E3670">
        <v>56</v>
      </c>
      <c r="F3670" t="s">
        <v>2904</v>
      </c>
      <c r="G3670" t="s">
        <v>177</v>
      </c>
      <c r="H3670">
        <v>47212</v>
      </c>
      <c r="I3670" s="1" t="d">
        <v>2008-08-03</v>
      </c>
      <c r="J3670" t="s">
        <v>2527</v>
      </c>
      <c r="K3670" s="17" t="s">
        <v>118</v>
      </c>
      <c r="L3670">
        <v>4</v>
      </c>
    </row>
    <row r="3671" spans="1:12" x14ac:dyDescent="0.25">
      <c r="A3671" t="s">
        <v>7628</v>
      </c>
      <c r="B3671" t="s">
        <v>21</v>
      </c>
      <c r="C3671" t="s">
        <v>195</v>
      </c>
      <c r="D3671" t="s">
        <v>23</v>
      </c>
      <c r="E3671">
        <v>46</v>
      </c>
      <c r="F3671" t="s">
        <v>186</v>
      </c>
      <c r="G3671" t="s">
        <v>182</v>
      </c>
      <c r="H3671">
        <v>128732</v>
      </c>
      <c r="I3671" s="1" t="d">
        <v>2009-08-26</v>
      </c>
      <c r="J3671" t="s">
        <v>148</v>
      </c>
      <c r="K3671" s="17" t="s">
        <v>90</v>
      </c>
      <c r="L3671">
        <v>4</v>
      </c>
    </row>
    <row r="3672" spans="1:12" x14ac:dyDescent="0.25">
      <c r="A3672" t="s">
        <v>7629</v>
      </c>
      <c r="B3672" t="s">
        <v>1368</v>
      </c>
      <c r="C3672" t="s">
        <v>1244</v>
      </c>
      <c r="D3672" t="s">
        <v>23</v>
      </c>
      <c r="E3672">
        <v>47</v>
      </c>
      <c r="F3672" t="s">
        <v>169</v>
      </c>
      <c r="G3672" t="s">
        <v>16</v>
      </c>
      <c r="H3672" t="s">
        <v>7630</v>
      </c>
      <c r="I3672" s="1" t="d">
        <v>2017-01-05</v>
      </c>
      <c r="J3672" t="s">
        <v>137</v>
      </c>
      <c r="K3672" s="17" t="s">
        <v>370</v>
      </c>
      <c r="L3672">
        <v>3</v>
      </c>
    </row>
    <row r="3673" spans="1:12" x14ac:dyDescent="0.25">
      <c r="A3673" t="s">
        <v>7631</v>
      </c>
      <c r="B3673" t="s">
        <v>467</v>
      </c>
      <c r="C3673" t="s">
        <v>758</v>
      </c>
      <c r="D3673" t="s">
        <v>23</v>
      </c>
      <c r="E3673">
        <v>33</v>
      </c>
      <c r="F3673" t="s">
        <v>169</v>
      </c>
      <c r="G3673" t="s">
        <v>170</v>
      </c>
      <c r="H3673" t="s">
        <v>7632</v>
      </c>
      <c r="J3673" t="s">
        <v>952</v>
      </c>
      <c r="K3673" s="17" t="s">
        <v>27</v>
      </c>
      <c r="L3673">
        <v>4</v>
      </c>
    </row>
    <row r="3674" spans="1:12" x14ac:dyDescent="0.25">
      <c r="A3674" t="s">
        <v>7633</v>
      </c>
      <c r="B3674" t="s">
        <v>664</v>
      </c>
      <c r="C3674" t="s">
        <v>158</v>
      </c>
      <c r="D3674" t="s">
        <v>46</v>
      </c>
      <c r="E3674">
        <v>21</v>
      </c>
      <c r="F3674" t="s">
        <v>417</v>
      </c>
      <c r="G3674" t="s">
        <v>55</v>
      </c>
      <c r="H3674">
        <v>57898</v>
      </c>
      <c r="I3674" s="1" t="d">
        <v>2014-05-20</v>
      </c>
      <c r="J3674" t="s">
        <v>18</v>
      </c>
      <c r="K3674" s="17" t="s">
        <v>34</v>
      </c>
      <c r="L3674">
        <v>4</v>
      </c>
    </row>
    <row r="3675" spans="1:12" x14ac:dyDescent="0.25">
      <c r="A3675" t="s">
        <v>7634</v>
      </c>
      <c r="B3675" t="s">
        <v>789</v>
      </c>
      <c r="C3675" t="s">
        <v>1320</v>
      </c>
      <c r="D3675" t="s">
        <v>46</v>
      </c>
      <c r="E3675">
        <v>43</v>
      </c>
      <c r="F3675" t="s">
        <v>54</v>
      </c>
      <c r="G3675" t="s">
        <v>39</v>
      </c>
      <c r="H3675" s="2">
        <v>67594</v>
      </c>
      <c r="I3675" s="1" t="d">
        <v>2011-04-07</v>
      </c>
      <c r="J3675" t="s">
        <v>2652</v>
      </c>
      <c r="K3675" s="17" t="s">
        <v>149</v>
      </c>
      <c r="L3675">
        <v>3</v>
      </c>
    </row>
    <row r="3676" spans="1:12" x14ac:dyDescent="0.25">
      <c r="A3676" t="s">
        <v>7635</v>
      </c>
      <c r="B3676" t="s">
        <v>21</v>
      </c>
      <c r="C3676" t="s">
        <v>1306</v>
      </c>
      <c r="D3676" t="s">
        <v>23</v>
      </c>
      <c r="E3676">
        <v>35</v>
      </c>
      <c r="F3676" t="s">
        <v>62</v>
      </c>
      <c r="G3676" t="s">
        <v>191</v>
      </c>
      <c r="H3676" s="2">
        <v>57629</v>
      </c>
      <c r="I3676" s="1" t="d">
        <v>2006-11-26</v>
      </c>
      <c r="J3676" t="s">
        <v>3278</v>
      </c>
      <c r="K3676" s="17" t="s">
        <v>184</v>
      </c>
      <c r="L3676">
        <v>3</v>
      </c>
    </row>
    <row r="3677" spans="1:12" x14ac:dyDescent="0.25">
      <c r="A3677" t="s">
        <v>7636</v>
      </c>
      <c r="B3677" t="s">
        <v>520</v>
      </c>
      <c r="C3677" t="s">
        <v>121</v>
      </c>
      <c r="D3677" t="s">
        <v>9527</v>
      </c>
      <c r="E3677">
        <v>41</v>
      </c>
      <c r="F3677" t="s">
        <v>296</v>
      </c>
      <c r="G3677" t="s">
        <v>1277</v>
      </c>
      <c r="H3677" s="2">
        <v>75478</v>
      </c>
      <c r="I3677" s="1" t="d">
        <v>2012-07-06</v>
      </c>
      <c r="J3677" t="s">
        <v>541</v>
      </c>
      <c r="K3677" s="17" t="s">
        <v>370</v>
      </c>
      <c r="L3677">
        <v>4</v>
      </c>
    </row>
    <row r="3678" spans="1:12" x14ac:dyDescent="0.25">
      <c r="A3678" t="s">
        <v>7637</v>
      </c>
      <c r="B3678" t="s">
        <v>1086</v>
      </c>
      <c r="C3678" t="s">
        <v>516</v>
      </c>
      <c r="D3678" t="s">
        <v>46</v>
      </c>
      <c r="E3678">
        <v>30</v>
      </c>
      <c r="F3678" t="s">
        <v>978</v>
      </c>
      <c r="G3678" t="s">
        <v>82</v>
      </c>
      <c r="H3678" t="s">
        <v>7638</v>
      </c>
      <c r="I3678" s="1" t="d">
        <v>2008-01-20</v>
      </c>
      <c r="J3678" t="s">
        <v>2457</v>
      </c>
      <c r="K3678" s="17" t="s">
        <v>27</v>
      </c>
      <c r="L3678">
        <v>3</v>
      </c>
    </row>
    <row r="3679" spans="1:12" x14ac:dyDescent="0.25">
      <c r="A3679" t="s">
        <v>7639</v>
      </c>
      <c r="B3679" t="s">
        <v>221</v>
      </c>
      <c r="C3679" t="s">
        <v>729</v>
      </c>
      <c r="D3679" t="s">
        <v>23</v>
      </c>
      <c r="E3679">
        <v>36</v>
      </c>
      <c r="F3679" t="s">
        <v>2707</v>
      </c>
      <c r="G3679" t="s">
        <v>63</v>
      </c>
      <c r="I3679" s="1" t="d">
        <v>2018-01-23</v>
      </c>
      <c r="J3679" t="s">
        <v>4980</v>
      </c>
      <c r="K3679" s="17" t="s">
        <v>19</v>
      </c>
      <c r="L3679">
        <v>3</v>
      </c>
    </row>
    <row r="3680" spans="1:12" x14ac:dyDescent="0.25">
      <c r="A3680" t="s">
        <v>7640</v>
      </c>
      <c r="B3680" t="s">
        <v>151</v>
      </c>
      <c r="C3680" t="s">
        <v>168</v>
      </c>
      <c r="D3680" t="s">
        <v>23</v>
      </c>
      <c r="E3680">
        <v>35</v>
      </c>
      <c r="F3680" t="s">
        <v>211</v>
      </c>
      <c r="G3680" t="s">
        <v>88</v>
      </c>
      <c r="H3680">
        <v>62432</v>
      </c>
      <c r="J3680" t="s">
        <v>3404</v>
      </c>
      <c r="K3680" s="17" t="s">
        <v>90</v>
      </c>
      <c r="L3680">
        <v>3</v>
      </c>
    </row>
    <row r="3681" spans="1:12" x14ac:dyDescent="0.25">
      <c r="A3681" t="s">
        <v>7641</v>
      </c>
      <c r="B3681" t="s">
        <v>294</v>
      </c>
      <c r="C3681" t="s">
        <v>7642</v>
      </c>
      <c r="D3681" t="s">
        <v>9527</v>
      </c>
      <c r="E3681">
        <v>41</v>
      </c>
      <c r="F3681" t="s">
        <v>216</v>
      </c>
      <c r="G3681" t="s">
        <v>177</v>
      </c>
      <c r="H3681">
        <v>49673</v>
      </c>
      <c r="I3681" s="1" t="d">
        <v>2016-09-08</v>
      </c>
      <c r="J3681" t="s">
        <v>1956</v>
      </c>
      <c r="K3681" s="17" t="s">
        <v>34</v>
      </c>
      <c r="L3681">
        <v>4</v>
      </c>
    </row>
    <row r="3682" spans="1:12" x14ac:dyDescent="0.25">
      <c r="A3682" t="s">
        <v>7643</v>
      </c>
      <c r="B3682" t="s">
        <v>130</v>
      </c>
      <c r="C3682" t="s">
        <v>660</v>
      </c>
      <c r="D3682" t="s">
        <v>46</v>
      </c>
      <c r="E3682">
        <v>29</v>
      </c>
      <c r="F3682" t="s">
        <v>245</v>
      </c>
      <c r="G3682" t="s">
        <v>55</v>
      </c>
      <c r="H3682">
        <v>53388</v>
      </c>
      <c r="I3682" s="1" t="d">
        <v>2010-03-27</v>
      </c>
      <c r="J3682" t="s">
        <v>4594</v>
      </c>
      <c r="K3682" s="17" t="s">
        <v>50</v>
      </c>
      <c r="L3682">
        <v>3</v>
      </c>
    </row>
    <row r="3683" spans="1:12" x14ac:dyDescent="0.25">
      <c r="A3683" t="s">
        <v>7644</v>
      </c>
      <c r="B3683" t="s">
        <v>294</v>
      </c>
      <c r="C3683" t="s">
        <v>74</v>
      </c>
      <c r="D3683" t="s">
        <v>9527</v>
      </c>
      <c r="E3683">
        <v>33</v>
      </c>
      <c r="F3683" t="s">
        <v>68</v>
      </c>
      <c r="G3683" t="s">
        <v>205</v>
      </c>
      <c r="H3683" s="2">
        <v>103411</v>
      </c>
      <c r="I3683" s="1" t="d">
        <v>2019-03-10</v>
      </c>
      <c r="J3683" t="s">
        <v>2108</v>
      </c>
      <c r="K3683" s="17" t="s">
        <v>149</v>
      </c>
      <c r="L3683">
        <v>4</v>
      </c>
    </row>
    <row r="3684" spans="1:12" x14ac:dyDescent="0.25">
      <c r="A3684" t="s">
        <v>7645</v>
      </c>
      <c r="B3684" t="s">
        <v>4201</v>
      </c>
      <c r="C3684" t="s">
        <v>758</v>
      </c>
      <c r="D3684" t="s">
        <v>23</v>
      </c>
      <c r="E3684">
        <v>48</v>
      </c>
      <c r="F3684" t="s">
        <v>68</v>
      </c>
      <c r="G3684" t="s">
        <v>638</v>
      </c>
      <c r="H3684" s="2">
        <v>118883</v>
      </c>
      <c r="I3684" s="1" t="d">
        <v>2016-09-12</v>
      </c>
      <c r="J3684" t="s">
        <v>6505</v>
      </c>
      <c r="K3684" s="17" t="s">
        <v>90</v>
      </c>
      <c r="L3684">
        <v>4</v>
      </c>
    </row>
    <row r="3685" spans="1:12" x14ac:dyDescent="0.25">
      <c r="A3685" t="s">
        <v>7646</v>
      </c>
      <c r="B3685" t="s">
        <v>630</v>
      </c>
      <c r="C3685" t="s">
        <v>1030</v>
      </c>
      <c r="D3685" t="s">
        <v>9527</v>
      </c>
      <c r="E3685">
        <v>50</v>
      </c>
      <c r="F3685" t="s">
        <v>649</v>
      </c>
      <c r="G3685" t="s">
        <v>170</v>
      </c>
      <c r="H3685">
        <v>70814</v>
      </c>
      <c r="I3685" s="1" t="d">
        <v>2013-11-21</v>
      </c>
      <c r="J3685" t="s">
        <v>7138</v>
      </c>
      <c r="K3685" s="17" t="s">
        <v>71</v>
      </c>
      <c r="L3685">
        <v>1</v>
      </c>
    </row>
    <row r="3686" spans="1:12" x14ac:dyDescent="0.25">
      <c r="A3686" t="s">
        <v>7647</v>
      </c>
      <c r="B3686" t="s">
        <v>482</v>
      </c>
      <c r="C3686" t="s">
        <v>4799</v>
      </c>
      <c r="D3686" t="s">
        <v>46</v>
      </c>
      <c r="E3686">
        <v>48</v>
      </c>
      <c r="F3686" t="s">
        <v>200</v>
      </c>
      <c r="G3686" t="s">
        <v>3277</v>
      </c>
      <c r="H3686" t="s">
        <v>7648</v>
      </c>
      <c r="I3686" s="1" t="d">
        <v>2011-04-12</v>
      </c>
      <c r="J3686" t="s">
        <v>4521</v>
      </c>
      <c r="K3686" s="17" t="s">
        <v>90</v>
      </c>
      <c r="L3686">
        <v>3</v>
      </c>
    </row>
    <row r="3687" spans="1:12" x14ac:dyDescent="0.25">
      <c r="A3687" t="s">
        <v>7649</v>
      </c>
      <c r="B3687" t="s">
        <v>1738</v>
      </c>
      <c r="C3687" t="s">
        <v>453</v>
      </c>
      <c r="D3687" t="s">
        <v>46</v>
      </c>
      <c r="E3687">
        <v>21</v>
      </c>
      <c r="F3687" t="s">
        <v>200</v>
      </c>
      <c r="G3687" t="s">
        <v>170</v>
      </c>
      <c r="H3687">
        <v>81013</v>
      </c>
      <c r="I3687" s="1" t="d">
        <v>2006-10-12</v>
      </c>
      <c r="J3687" t="s">
        <v>4652</v>
      </c>
      <c r="K3687" s="17" t="s">
        <v>207</v>
      </c>
      <c r="L3687">
        <v>5</v>
      </c>
    </row>
    <row r="3688" spans="1:12" x14ac:dyDescent="0.25">
      <c r="A3688" t="s">
        <v>7650</v>
      </c>
      <c r="B3688" t="s">
        <v>2272</v>
      </c>
      <c r="C3688" t="s">
        <v>4920</v>
      </c>
      <c r="D3688" t="s">
        <v>9527</v>
      </c>
      <c r="E3688">
        <v>33</v>
      </c>
      <c r="F3688" t="s">
        <v>126</v>
      </c>
      <c r="G3688" t="s">
        <v>407</v>
      </c>
      <c r="H3688" s="2">
        <v>207801</v>
      </c>
      <c r="I3688" s="1" t="d">
        <v>2006-10-06</v>
      </c>
      <c r="J3688" t="s">
        <v>7651</v>
      </c>
      <c r="K3688" s="17" t="s">
        <v>34</v>
      </c>
      <c r="L3688">
        <v>3</v>
      </c>
    </row>
    <row r="3689" spans="1:12" x14ac:dyDescent="0.25">
      <c r="A3689" t="s">
        <v>5163</v>
      </c>
      <c r="B3689" t="s">
        <v>444</v>
      </c>
      <c r="C3689" t="s">
        <v>1384</v>
      </c>
      <c r="D3689" t="s">
        <v>46</v>
      </c>
      <c r="E3689">
        <v>22</v>
      </c>
      <c r="F3689" t="s">
        <v>859</v>
      </c>
      <c r="G3689" t="s">
        <v>283</v>
      </c>
      <c r="H3689">
        <v>143027</v>
      </c>
      <c r="I3689" s="1" t="d">
        <v>2014-01-07</v>
      </c>
      <c r="J3689" t="s">
        <v>1954</v>
      </c>
      <c r="K3689" s="17" t="s">
        <v>100</v>
      </c>
      <c r="L3689">
        <v>4</v>
      </c>
    </row>
    <row r="3690" spans="1:12" x14ac:dyDescent="0.25">
      <c r="A3690" t="s">
        <v>7652</v>
      </c>
      <c r="B3690" t="s">
        <v>804</v>
      </c>
      <c r="C3690" t="s">
        <v>729</v>
      </c>
      <c r="D3690" t="s">
        <v>46</v>
      </c>
      <c r="E3690">
        <v>50</v>
      </c>
      <c r="F3690" t="s">
        <v>645</v>
      </c>
      <c r="G3690" t="s">
        <v>641</v>
      </c>
      <c r="H3690" s="2">
        <v>44317</v>
      </c>
      <c r="I3690" s="1" t="d">
        <v>2021-03-31</v>
      </c>
      <c r="J3690" t="s">
        <v>7653</v>
      </c>
      <c r="K3690" s="17" t="s">
        <v>207</v>
      </c>
      <c r="L3690">
        <v>2</v>
      </c>
    </row>
    <row r="3691" spans="1:12" x14ac:dyDescent="0.25">
      <c r="A3691" t="s">
        <v>7654</v>
      </c>
      <c r="B3691" t="s">
        <v>804</v>
      </c>
      <c r="C3691" t="s">
        <v>1146</v>
      </c>
      <c r="D3691" t="s">
        <v>9527</v>
      </c>
      <c r="E3691">
        <v>33</v>
      </c>
      <c r="F3691" t="s">
        <v>269</v>
      </c>
      <c r="G3691" t="s">
        <v>600</v>
      </c>
      <c r="I3691" s="1" t="d">
        <v>2021-06-29</v>
      </c>
      <c r="J3691" t="s">
        <v>4238</v>
      </c>
      <c r="K3691" s="17" t="s">
        <v>207</v>
      </c>
      <c r="L3691">
        <v>4</v>
      </c>
    </row>
    <row r="3692" spans="1:12" x14ac:dyDescent="0.25">
      <c r="A3692" t="s">
        <v>7655</v>
      </c>
      <c r="B3692" t="s">
        <v>1374</v>
      </c>
      <c r="C3692" t="s">
        <v>699</v>
      </c>
      <c r="D3692" t="s">
        <v>9527</v>
      </c>
      <c r="E3692">
        <v>51</v>
      </c>
      <c r="F3692" t="s">
        <v>68</v>
      </c>
      <c r="G3692" t="s">
        <v>3243</v>
      </c>
      <c r="H3692">
        <v>191881</v>
      </c>
      <c r="I3692" s="1" t="d">
        <v>2011-08-09</v>
      </c>
      <c r="J3692" t="s">
        <v>4594</v>
      </c>
      <c r="K3692" s="17" t="s">
        <v>370</v>
      </c>
      <c r="L3692">
        <v>5</v>
      </c>
    </row>
    <row r="3693" spans="1:12" x14ac:dyDescent="0.25">
      <c r="A3693" t="s">
        <v>7656</v>
      </c>
      <c r="B3693" t="s">
        <v>769</v>
      </c>
      <c r="C3693" t="s">
        <v>263</v>
      </c>
      <c r="D3693" t="s">
        <v>46</v>
      </c>
      <c r="E3693">
        <v>33</v>
      </c>
      <c r="F3693" t="s">
        <v>211</v>
      </c>
      <c r="G3693" t="s">
        <v>870</v>
      </c>
      <c r="H3693" t="s">
        <v>7657</v>
      </c>
      <c r="I3693" s="1" t="d">
        <v>2014-08-16</v>
      </c>
      <c r="J3693" t="s">
        <v>1539</v>
      </c>
      <c r="K3693" s="17" t="s">
        <v>50</v>
      </c>
      <c r="L3693">
        <v>4</v>
      </c>
    </row>
    <row r="3694" spans="1:12" x14ac:dyDescent="0.25">
      <c r="A3694" t="s">
        <v>7658</v>
      </c>
      <c r="B3694" t="s">
        <v>112</v>
      </c>
      <c r="C3694" t="s">
        <v>4281</v>
      </c>
      <c r="D3694" t="s">
        <v>46</v>
      </c>
      <c r="E3694">
        <v>53</v>
      </c>
      <c r="F3694" t="s">
        <v>75</v>
      </c>
      <c r="G3694" t="s">
        <v>170</v>
      </c>
      <c r="H3694" s="2">
        <v>62962</v>
      </c>
      <c r="I3694" s="1" t="d">
        <v>2014-09-09</v>
      </c>
      <c r="J3694" t="s">
        <v>1025</v>
      </c>
      <c r="K3694" s="17" t="s">
        <v>118</v>
      </c>
      <c r="L3694">
        <v>1</v>
      </c>
    </row>
    <row r="3695" spans="1:12" x14ac:dyDescent="0.25">
      <c r="A3695" t="s">
        <v>7659</v>
      </c>
      <c r="B3695" t="s">
        <v>281</v>
      </c>
      <c r="C3695" t="s">
        <v>1266</v>
      </c>
      <c r="D3695" t="s">
        <v>23</v>
      </c>
      <c r="E3695">
        <v>40</v>
      </c>
      <c r="F3695" t="s">
        <v>1116</v>
      </c>
      <c r="G3695" t="s">
        <v>39</v>
      </c>
      <c r="H3695" t="s">
        <v>7660</v>
      </c>
      <c r="I3695" s="1" t="d">
        <v>2006-09-03</v>
      </c>
      <c r="J3695" t="s">
        <v>3003</v>
      </c>
      <c r="K3695" s="17" t="s">
        <v>50</v>
      </c>
      <c r="L3695">
        <v>4</v>
      </c>
    </row>
    <row r="3696" spans="1:12" x14ac:dyDescent="0.25">
      <c r="A3696" t="s">
        <v>7661</v>
      </c>
      <c r="B3696" t="s">
        <v>563</v>
      </c>
      <c r="C3696" t="s">
        <v>966</v>
      </c>
      <c r="D3696" t="s">
        <v>46</v>
      </c>
      <c r="E3696">
        <v>21</v>
      </c>
      <c r="F3696" t="s">
        <v>114</v>
      </c>
      <c r="G3696" t="s">
        <v>69</v>
      </c>
      <c r="H3696" s="2">
        <v>126691</v>
      </c>
      <c r="I3696" s="1" t="d">
        <v>2019-10-10</v>
      </c>
      <c r="J3696" t="s">
        <v>1264</v>
      </c>
      <c r="K3696" s="17" t="s">
        <v>58</v>
      </c>
      <c r="L3696">
        <v>4</v>
      </c>
    </row>
    <row r="3697" spans="1:12" x14ac:dyDescent="0.25">
      <c r="A3697" t="s">
        <v>7662</v>
      </c>
      <c r="B3697" t="s">
        <v>79</v>
      </c>
      <c r="C3697" t="s">
        <v>53</v>
      </c>
      <c r="D3697" t="s">
        <v>23</v>
      </c>
      <c r="E3697">
        <v>60</v>
      </c>
      <c r="F3697" t="s">
        <v>649</v>
      </c>
      <c r="G3697" t="s">
        <v>170</v>
      </c>
      <c r="H3697" s="2">
        <v>71412</v>
      </c>
      <c r="I3697" s="1" t="d">
        <v>2024-02-05</v>
      </c>
      <c r="J3697" t="s">
        <v>2099</v>
      </c>
      <c r="K3697" s="17" t="s">
        <v>118</v>
      </c>
      <c r="L3697">
        <v>5</v>
      </c>
    </row>
    <row r="3698" spans="1:12" x14ac:dyDescent="0.25">
      <c r="A3698" t="s">
        <v>7663</v>
      </c>
      <c r="B3698" t="s">
        <v>2121</v>
      </c>
      <c r="C3698" t="s">
        <v>988</v>
      </c>
      <c r="D3698" t="s">
        <v>23</v>
      </c>
      <c r="E3698">
        <v>24</v>
      </c>
      <c r="F3698" t="s">
        <v>62</v>
      </c>
      <c r="G3698" t="s">
        <v>782</v>
      </c>
      <c r="H3698" t="s">
        <v>7664</v>
      </c>
      <c r="I3698" s="1" t="d">
        <v>2022-08-21</v>
      </c>
      <c r="J3698" t="s">
        <v>6257</v>
      </c>
      <c r="K3698" s="17" t="s">
        <v>184</v>
      </c>
      <c r="L3698">
        <v>3</v>
      </c>
    </row>
    <row r="3699" spans="1:12" x14ac:dyDescent="0.25">
      <c r="A3699" t="s">
        <v>7665</v>
      </c>
      <c r="B3699" t="s">
        <v>7666</v>
      </c>
      <c r="C3699" t="s">
        <v>1326</v>
      </c>
      <c r="D3699" t="s">
        <v>46</v>
      </c>
      <c r="E3699">
        <v>47</v>
      </c>
      <c r="F3699" t="s">
        <v>216</v>
      </c>
      <c r="G3699" t="s">
        <v>39</v>
      </c>
      <c r="H3699" s="2">
        <v>51830</v>
      </c>
      <c r="I3699" s="1" t="d">
        <v>2015-06-14</v>
      </c>
      <c r="J3699" t="s">
        <v>6325</v>
      </c>
      <c r="K3699" s="17" t="s">
        <v>71</v>
      </c>
      <c r="L3699">
        <v>4</v>
      </c>
    </row>
    <row r="3700" spans="1:12" x14ac:dyDescent="0.25">
      <c r="A3700" t="s">
        <v>7667</v>
      </c>
      <c r="B3700" t="s">
        <v>1350</v>
      </c>
      <c r="C3700" t="s">
        <v>135</v>
      </c>
      <c r="D3700" t="s">
        <v>23</v>
      </c>
      <c r="E3700">
        <v>33</v>
      </c>
      <c r="F3700" t="s">
        <v>296</v>
      </c>
      <c r="G3700" t="s">
        <v>16</v>
      </c>
      <c r="H3700" t="s">
        <v>7668</v>
      </c>
      <c r="I3700" s="1" t="d">
        <v>2018-10-27</v>
      </c>
      <c r="J3700" t="s">
        <v>4199</v>
      </c>
      <c r="K3700" s="17" t="s">
        <v>34</v>
      </c>
      <c r="L3700">
        <v>4</v>
      </c>
    </row>
    <row r="3701" spans="1:12" x14ac:dyDescent="0.25">
      <c r="A3701" t="s">
        <v>5790</v>
      </c>
      <c r="B3701" t="s">
        <v>826</v>
      </c>
      <c r="C3701" t="s">
        <v>790</v>
      </c>
      <c r="D3701" t="s">
        <v>46</v>
      </c>
      <c r="E3701">
        <v>34</v>
      </c>
      <c r="F3701" t="s">
        <v>196</v>
      </c>
      <c r="G3701" t="s">
        <v>842</v>
      </c>
      <c r="H3701" t="s">
        <v>7669</v>
      </c>
      <c r="I3701" s="1" t="d">
        <v>2021-11-02</v>
      </c>
      <c r="J3701" t="s">
        <v>887</v>
      </c>
      <c r="K3701" s="17" t="s">
        <v>90</v>
      </c>
      <c r="L3701">
        <v>3</v>
      </c>
    </row>
    <row r="3702" spans="1:12" x14ac:dyDescent="0.25">
      <c r="A3702" t="s">
        <v>7670</v>
      </c>
      <c r="B3702" t="s">
        <v>833</v>
      </c>
      <c r="C3702" t="s">
        <v>715</v>
      </c>
      <c r="D3702" t="s">
        <v>23</v>
      </c>
      <c r="E3702">
        <v>33</v>
      </c>
      <c r="F3702" t="s">
        <v>146</v>
      </c>
      <c r="G3702" t="s">
        <v>337</v>
      </c>
      <c r="I3702" s="1" t="d">
        <v>2012-06-07</v>
      </c>
      <c r="J3702" t="s">
        <v>4802</v>
      </c>
      <c r="K3702" s="17" t="s">
        <v>42</v>
      </c>
      <c r="L3702">
        <v>3</v>
      </c>
    </row>
    <row r="3703" spans="1:12" x14ac:dyDescent="0.25">
      <c r="A3703" t="s">
        <v>7671</v>
      </c>
      <c r="B3703" t="s">
        <v>773</v>
      </c>
      <c r="C3703" t="s">
        <v>336</v>
      </c>
      <c r="D3703" t="s">
        <v>23</v>
      </c>
      <c r="E3703">
        <v>31</v>
      </c>
      <c r="F3703" t="s">
        <v>752</v>
      </c>
      <c r="G3703" t="s">
        <v>842</v>
      </c>
      <c r="H3703">
        <v>157900</v>
      </c>
      <c r="I3703" s="1" t="d">
        <v>2011-08-09</v>
      </c>
      <c r="J3703" t="s">
        <v>884</v>
      </c>
      <c r="K3703" s="17" t="s">
        <v>118</v>
      </c>
      <c r="L3703">
        <v>3</v>
      </c>
    </row>
    <row r="3704" spans="1:12" x14ac:dyDescent="0.25">
      <c r="A3704" t="s">
        <v>4620</v>
      </c>
      <c r="B3704" t="s">
        <v>1845</v>
      </c>
      <c r="C3704" t="s">
        <v>3927</v>
      </c>
      <c r="D3704" t="s">
        <v>9527</v>
      </c>
      <c r="E3704">
        <v>37</v>
      </c>
      <c r="F3704" t="s">
        <v>47</v>
      </c>
      <c r="G3704" t="s">
        <v>82</v>
      </c>
      <c r="H3704" s="2">
        <v>46465</v>
      </c>
      <c r="I3704" s="1" t="d">
        <v>2017-06-16</v>
      </c>
      <c r="J3704" t="s">
        <v>155</v>
      </c>
      <c r="K3704" s="17" t="s">
        <v>149</v>
      </c>
      <c r="L3704">
        <v>4</v>
      </c>
    </row>
    <row r="3705" spans="1:12" x14ac:dyDescent="0.25">
      <c r="A3705" t="s">
        <v>2950</v>
      </c>
      <c r="B3705" t="s">
        <v>323</v>
      </c>
      <c r="C3705" t="s">
        <v>521</v>
      </c>
      <c r="D3705" t="s">
        <v>23</v>
      </c>
      <c r="E3705">
        <v>44</v>
      </c>
      <c r="G3705" t="s">
        <v>48</v>
      </c>
      <c r="H3705" t="s">
        <v>7672</v>
      </c>
      <c r="I3705" s="1" t="d">
        <v>2022-12-23</v>
      </c>
      <c r="J3705" t="s">
        <v>333</v>
      </c>
      <c r="K3705" s="17" t="s">
        <v>27</v>
      </c>
      <c r="L3705">
        <v>4</v>
      </c>
    </row>
    <row r="3706" spans="1:12" x14ac:dyDescent="0.25">
      <c r="A3706" t="s">
        <v>7673</v>
      </c>
      <c r="B3706" t="s">
        <v>139</v>
      </c>
      <c r="C3706" t="s">
        <v>7674</v>
      </c>
      <c r="D3706" t="s">
        <v>46</v>
      </c>
      <c r="E3706">
        <v>43</v>
      </c>
      <c r="F3706" t="s">
        <v>31</v>
      </c>
      <c r="G3706" t="s">
        <v>212</v>
      </c>
      <c r="H3706" t="s">
        <v>7675</v>
      </c>
      <c r="I3706" s="1" t="d">
        <v>2013-12-31</v>
      </c>
      <c r="J3706" t="s">
        <v>5212</v>
      </c>
      <c r="K3706" s="17" t="s">
        <v>34</v>
      </c>
      <c r="L3706">
        <v>4</v>
      </c>
    </row>
    <row r="3707" spans="1:12" x14ac:dyDescent="0.25">
      <c r="A3707" t="s">
        <v>7676</v>
      </c>
      <c r="B3707" t="s">
        <v>410</v>
      </c>
      <c r="C3707" t="s">
        <v>2562</v>
      </c>
      <c r="D3707" t="s">
        <v>23</v>
      </c>
      <c r="E3707">
        <v>57</v>
      </c>
      <c r="F3707" t="s">
        <v>350</v>
      </c>
      <c r="G3707" t="s">
        <v>109</v>
      </c>
      <c r="H3707">
        <v>59309</v>
      </c>
      <c r="I3707" s="1" t="d">
        <v>2022-01-07</v>
      </c>
      <c r="J3707" t="s">
        <v>3782</v>
      </c>
      <c r="K3707" s="17" t="s">
        <v>27</v>
      </c>
      <c r="L3707">
        <v>3</v>
      </c>
    </row>
    <row r="3708" spans="1:12" x14ac:dyDescent="0.25">
      <c r="A3708" t="s">
        <v>7677</v>
      </c>
      <c r="B3708" t="s">
        <v>404</v>
      </c>
      <c r="C3708" t="s">
        <v>61</v>
      </c>
      <c r="D3708" t="s">
        <v>9527</v>
      </c>
      <c r="E3708">
        <v>64</v>
      </c>
      <c r="F3708" t="s">
        <v>126</v>
      </c>
      <c r="G3708" t="s">
        <v>458</v>
      </c>
      <c r="H3708" t="s">
        <v>7678</v>
      </c>
      <c r="I3708" s="1" t="d">
        <v>2016-05-07</v>
      </c>
      <c r="J3708" t="s">
        <v>887</v>
      </c>
      <c r="K3708" s="17" t="s">
        <v>207</v>
      </c>
      <c r="L3708">
        <v>4</v>
      </c>
    </row>
    <row r="3709" spans="1:12" x14ac:dyDescent="0.25">
      <c r="A3709" t="s">
        <v>7679</v>
      </c>
      <c r="B3709" t="s">
        <v>426</v>
      </c>
      <c r="C3709" t="s">
        <v>5307</v>
      </c>
      <c r="D3709" t="s">
        <v>23</v>
      </c>
      <c r="E3709">
        <v>34</v>
      </c>
      <c r="G3709" t="s">
        <v>357</v>
      </c>
      <c r="H3709" t="s">
        <v>7680</v>
      </c>
      <c r="J3709" t="s">
        <v>160</v>
      </c>
      <c r="K3709" s="17" t="s">
        <v>184</v>
      </c>
      <c r="L3709">
        <v>4</v>
      </c>
    </row>
    <row r="3710" spans="1:12" x14ac:dyDescent="0.25">
      <c r="A3710" t="s">
        <v>7681</v>
      </c>
      <c r="B3710" t="s">
        <v>945</v>
      </c>
      <c r="C3710" t="s">
        <v>966</v>
      </c>
      <c r="D3710" t="s">
        <v>46</v>
      </c>
      <c r="E3710">
        <v>40</v>
      </c>
      <c r="F3710" t="s">
        <v>190</v>
      </c>
      <c r="G3710" t="s">
        <v>1584</v>
      </c>
      <c r="H3710" t="s">
        <v>7682</v>
      </c>
      <c r="I3710" s="1" t="d">
        <v>2009-12-06</v>
      </c>
      <c r="J3710" t="s">
        <v>7683</v>
      </c>
      <c r="K3710" s="17" t="s">
        <v>42</v>
      </c>
      <c r="L3710">
        <v>2</v>
      </c>
    </row>
    <row r="3711" spans="1:12" x14ac:dyDescent="0.25">
      <c r="A3711" t="s">
        <v>5432</v>
      </c>
      <c r="B3711" t="s">
        <v>470</v>
      </c>
      <c r="C3711" t="s">
        <v>158</v>
      </c>
      <c r="D3711" t="s">
        <v>23</v>
      </c>
      <c r="E3711">
        <v>25</v>
      </c>
      <c r="F3711" t="s">
        <v>94</v>
      </c>
      <c r="G3711" t="s">
        <v>82</v>
      </c>
      <c r="H3711" s="2">
        <v>60964</v>
      </c>
      <c r="I3711" s="1" t="d">
        <v>2019-11-13</v>
      </c>
      <c r="J3711" t="s">
        <v>18</v>
      </c>
      <c r="K3711" s="17" t="s">
        <v>42</v>
      </c>
      <c r="L3711">
        <v>4</v>
      </c>
    </row>
    <row r="3712" spans="1:12" x14ac:dyDescent="0.25">
      <c r="A3712" t="s">
        <v>7684</v>
      </c>
      <c r="B3712" t="s">
        <v>1124</v>
      </c>
      <c r="C3712" t="s">
        <v>395</v>
      </c>
      <c r="D3712" t="s">
        <v>23</v>
      </c>
      <c r="E3712">
        <v>50</v>
      </c>
      <c r="F3712" t="s">
        <v>666</v>
      </c>
      <c r="G3712" t="s">
        <v>337</v>
      </c>
      <c r="H3712" t="s">
        <v>7685</v>
      </c>
      <c r="I3712" s="1" t="d">
        <v>2009-07-16</v>
      </c>
      <c r="J3712" t="s">
        <v>1690</v>
      </c>
      <c r="K3712" s="17" t="s">
        <v>50</v>
      </c>
      <c r="L3712">
        <v>3</v>
      </c>
    </row>
    <row r="3713" spans="1:12" x14ac:dyDescent="0.25">
      <c r="A3713" t="s">
        <v>5180</v>
      </c>
      <c r="B3713" t="s">
        <v>482</v>
      </c>
      <c r="C3713" t="s">
        <v>295</v>
      </c>
      <c r="D3713" t="s">
        <v>46</v>
      </c>
      <c r="E3713">
        <v>38</v>
      </c>
      <c r="F3713" t="s">
        <v>1851</v>
      </c>
      <c r="G3713" t="s">
        <v>217</v>
      </c>
      <c r="H3713">
        <v>85258</v>
      </c>
      <c r="I3713" s="1" t="d">
        <v>2022-07-13</v>
      </c>
      <c r="J3713" t="s">
        <v>4551</v>
      </c>
      <c r="K3713" s="17" t="s">
        <v>50</v>
      </c>
      <c r="L3713">
        <v>3</v>
      </c>
    </row>
    <row r="3714" spans="1:12" x14ac:dyDescent="0.25">
      <c r="A3714" t="s">
        <v>7686</v>
      </c>
      <c r="B3714" t="s">
        <v>315</v>
      </c>
      <c r="C3714" t="s">
        <v>332</v>
      </c>
      <c r="D3714" t="s">
        <v>46</v>
      </c>
      <c r="E3714">
        <v>34</v>
      </c>
      <c r="F3714" t="s">
        <v>918</v>
      </c>
      <c r="G3714" t="s">
        <v>39</v>
      </c>
      <c r="H3714" t="s">
        <v>7687</v>
      </c>
      <c r="I3714" s="1" t="d">
        <v>2020-04-29</v>
      </c>
      <c r="J3714" t="s">
        <v>916</v>
      </c>
      <c r="K3714" s="17" t="s">
        <v>50</v>
      </c>
      <c r="L3714">
        <v>5</v>
      </c>
    </row>
    <row r="3715" spans="1:12" x14ac:dyDescent="0.25">
      <c r="A3715" t="s">
        <v>7688</v>
      </c>
      <c r="B3715" t="s">
        <v>482</v>
      </c>
      <c r="C3715" t="s">
        <v>1039</v>
      </c>
      <c r="D3715" t="s">
        <v>46</v>
      </c>
      <c r="E3715">
        <v>42</v>
      </c>
      <c r="F3715" t="s">
        <v>68</v>
      </c>
      <c r="G3715" t="s">
        <v>88</v>
      </c>
      <c r="H3715" s="2">
        <v>-111113</v>
      </c>
      <c r="I3715" s="1" t="d">
        <v>2005-11-28</v>
      </c>
      <c r="J3715" t="s">
        <v>7136</v>
      </c>
      <c r="K3715" s="17" t="s">
        <v>42</v>
      </c>
      <c r="L3715">
        <v>4</v>
      </c>
    </row>
    <row r="3716" spans="1:12" x14ac:dyDescent="0.25">
      <c r="A3716" t="s">
        <v>7689</v>
      </c>
      <c r="B3716" t="s">
        <v>571</v>
      </c>
      <c r="C3716" t="s">
        <v>1564</v>
      </c>
      <c r="D3716" t="s">
        <v>46</v>
      </c>
      <c r="E3716">
        <v>48</v>
      </c>
      <c r="F3716" t="s">
        <v>1183</v>
      </c>
      <c r="G3716" t="s">
        <v>48</v>
      </c>
      <c r="H3716" t="s">
        <v>7690</v>
      </c>
      <c r="I3716" s="1" t="d">
        <v>2010-11-13</v>
      </c>
      <c r="J3716" t="s">
        <v>3435</v>
      </c>
      <c r="K3716" s="17" t="s">
        <v>370</v>
      </c>
      <c r="L3716">
        <v>3</v>
      </c>
    </row>
    <row r="3717" spans="1:12" x14ac:dyDescent="0.25">
      <c r="A3717" t="s">
        <v>7691</v>
      </c>
      <c r="B3717" t="s">
        <v>1787</v>
      </c>
      <c r="C3717" t="s">
        <v>22</v>
      </c>
      <c r="D3717" t="s">
        <v>46</v>
      </c>
      <c r="E3717">
        <v>24</v>
      </c>
      <c r="F3717" t="s">
        <v>211</v>
      </c>
      <c r="G3717" t="s">
        <v>55</v>
      </c>
      <c r="H3717" t="s">
        <v>7692</v>
      </c>
      <c r="I3717" s="1" t="d">
        <v>2020-07-21</v>
      </c>
      <c r="J3717" t="s">
        <v>414</v>
      </c>
      <c r="K3717" s="17" t="s">
        <v>34</v>
      </c>
      <c r="L3717">
        <v>3</v>
      </c>
    </row>
    <row r="3718" spans="1:12" x14ac:dyDescent="0.25">
      <c r="A3718" t="s">
        <v>7693</v>
      </c>
      <c r="B3718" t="s">
        <v>120</v>
      </c>
      <c r="C3718" t="s">
        <v>4655</v>
      </c>
      <c r="D3718" t="s">
        <v>9527</v>
      </c>
      <c r="E3718">
        <v>24</v>
      </c>
      <c r="F3718" t="s">
        <v>589</v>
      </c>
      <c r="G3718" t="s">
        <v>16</v>
      </c>
      <c r="H3718" t="s">
        <v>7694</v>
      </c>
      <c r="I3718" s="1" t="d">
        <v>2005-07-13</v>
      </c>
      <c r="J3718" t="s">
        <v>7695</v>
      </c>
      <c r="K3718" s="17" t="s">
        <v>34</v>
      </c>
      <c r="L3718">
        <v>5</v>
      </c>
    </row>
    <row r="3719" spans="1:12" x14ac:dyDescent="0.25">
      <c r="A3719" t="s">
        <v>5375</v>
      </c>
      <c r="B3719" t="s">
        <v>262</v>
      </c>
      <c r="C3719" t="s">
        <v>210</v>
      </c>
      <c r="D3719" t="s">
        <v>9527</v>
      </c>
      <c r="E3719">
        <v>35</v>
      </c>
      <c r="F3719" t="s">
        <v>211</v>
      </c>
      <c r="G3719" t="s">
        <v>212</v>
      </c>
      <c r="H3719" t="s">
        <v>7696</v>
      </c>
      <c r="I3719" s="1" t="d">
        <v>2006-01-10</v>
      </c>
      <c r="J3719" t="s">
        <v>1655</v>
      </c>
      <c r="K3719" s="17" t="s">
        <v>370</v>
      </c>
      <c r="L3719">
        <v>4</v>
      </c>
    </row>
    <row r="3720" spans="1:12" x14ac:dyDescent="0.25">
      <c r="A3720" t="s">
        <v>7697</v>
      </c>
      <c r="B3720" t="s">
        <v>355</v>
      </c>
      <c r="C3720" t="s">
        <v>1244</v>
      </c>
      <c r="D3720" t="s">
        <v>9527</v>
      </c>
      <c r="E3720">
        <v>44</v>
      </c>
      <c r="F3720" t="s">
        <v>216</v>
      </c>
      <c r="G3720" t="s">
        <v>177</v>
      </c>
      <c r="H3720">
        <v>53144</v>
      </c>
      <c r="I3720" s="1" t="d">
        <v>2010-03-22</v>
      </c>
      <c r="J3720" t="s">
        <v>707</v>
      </c>
      <c r="K3720" s="17" t="s">
        <v>71</v>
      </c>
      <c r="L3720">
        <v>5</v>
      </c>
    </row>
    <row r="3721" spans="1:12" x14ac:dyDescent="0.25">
      <c r="A3721" t="s">
        <v>7698</v>
      </c>
      <c r="B3721" t="s">
        <v>7699</v>
      </c>
      <c r="C3721" t="s">
        <v>805</v>
      </c>
      <c r="D3721" t="s">
        <v>23</v>
      </c>
      <c r="E3721">
        <v>40</v>
      </c>
      <c r="F3721" t="s">
        <v>258</v>
      </c>
      <c r="G3721" t="s">
        <v>967</v>
      </c>
      <c r="H3721">
        <v>50963</v>
      </c>
      <c r="I3721" s="1" t="d">
        <v>2018-06-13</v>
      </c>
      <c r="J3721" t="s">
        <v>6417</v>
      </c>
      <c r="K3721" s="17" t="s">
        <v>90</v>
      </c>
      <c r="L3721">
        <v>4</v>
      </c>
    </row>
    <row r="3722" spans="1:12" x14ac:dyDescent="0.25">
      <c r="A3722" t="s">
        <v>7700</v>
      </c>
      <c r="B3722" t="s">
        <v>470</v>
      </c>
      <c r="C3722" t="s">
        <v>37</v>
      </c>
      <c r="D3722" t="s">
        <v>23</v>
      </c>
      <c r="E3722">
        <v>32</v>
      </c>
      <c r="F3722" t="s">
        <v>196</v>
      </c>
      <c r="G3722" t="s">
        <v>7701</v>
      </c>
      <c r="H3722" t="s">
        <v>7702</v>
      </c>
      <c r="I3722" s="1" t="d">
        <v>2023-09-03</v>
      </c>
      <c r="J3722" t="s">
        <v>3647</v>
      </c>
      <c r="K3722" s="17" t="s">
        <v>27</v>
      </c>
      <c r="L3722">
        <v>4</v>
      </c>
    </row>
    <row r="3723" spans="1:12" x14ac:dyDescent="0.25">
      <c r="A3723" t="s">
        <v>7703</v>
      </c>
      <c r="B3723" t="s">
        <v>482</v>
      </c>
      <c r="C3723" t="s">
        <v>61</v>
      </c>
      <c r="D3723" t="s">
        <v>46</v>
      </c>
      <c r="E3723">
        <v>48</v>
      </c>
      <c r="F3723" t="s">
        <v>417</v>
      </c>
      <c r="G3723" t="s">
        <v>39</v>
      </c>
      <c r="I3723" s="1" t="d">
        <v>2009-11-15</v>
      </c>
      <c r="J3723" t="s">
        <v>7704</v>
      </c>
      <c r="K3723" s="17" t="s">
        <v>370</v>
      </c>
      <c r="L3723">
        <v>3</v>
      </c>
    </row>
    <row r="3724" spans="1:12" x14ac:dyDescent="0.25">
      <c r="A3724" t="s">
        <v>7705</v>
      </c>
      <c r="B3724" t="s">
        <v>684</v>
      </c>
      <c r="C3724" t="s">
        <v>215</v>
      </c>
      <c r="D3724" t="s">
        <v>23</v>
      </c>
      <c r="E3724">
        <v>33</v>
      </c>
      <c r="F3724" t="s">
        <v>47</v>
      </c>
      <c r="G3724" t="s">
        <v>182</v>
      </c>
      <c r="H3724" s="2">
        <v>88996</v>
      </c>
      <c r="I3724" s="1" t="d">
        <v>2023-06-15</v>
      </c>
      <c r="J3724" t="s">
        <v>7706</v>
      </c>
      <c r="K3724" s="17" t="s">
        <v>118</v>
      </c>
      <c r="L3724">
        <v>3</v>
      </c>
    </row>
    <row r="3725" spans="1:12" x14ac:dyDescent="0.25">
      <c r="A3725" t="s">
        <v>7707</v>
      </c>
      <c r="B3725" t="s">
        <v>2847</v>
      </c>
      <c r="C3725" t="s">
        <v>237</v>
      </c>
      <c r="D3725" t="s">
        <v>9527</v>
      </c>
      <c r="E3725">
        <v>21</v>
      </c>
      <c r="F3725" t="s">
        <v>245</v>
      </c>
      <c r="G3725" t="s">
        <v>357</v>
      </c>
      <c r="H3725">
        <v>81151</v>
      </c>
      <c r="I3725" s="1" t="d">
        <v>2020-03-07</v>
      </c>
      <c r="J3725" t="s">
        <v>1708</v>
      </c>
      <c r="K3725" s="17" t="s">
        <v>58</v>
      </c>
      <c r="L3725">
        <v>4</v>
      </c>
    </row>
    <row r="3726" spans="1:12" x14ac:dyDescent="0.25">
      <c r="A3726" t="s">
        <v>7708</v>
      </c>
      <c r="B3726" t="s">
        <v>482</v>
      </c>
      <c r="C3726" t="s">
        <v>729</v>
      </c>
      <c r="D3726" t="s">
        <v>23</v>
      </c>
      <c r="E3726">
        <v>46</v>
      </c>
      <c r="F3726" t="s">
        <v>1116</v>
      </c>
      <c r="G3726" t="s">
        <v>127</v>
      </c>
      <c r="H3726">
        <v>115552</v>
      </c>
      <c r="I3726" s="1" t="d">
        <v>2019-02-10</v>
      </c>
      <c r="J3726" t="s">
        <v>2822</v>
      </c>
      <c r="K3726" s="17" t="s">
        <v>370</v>
      </c>
      <c r="L3726">
        <v>3</v>
      </c>
    </row>
    <row r="3727" spans="1:12" x14ac:dyDescent="0.25">
      <c r="A3727" t="s">
        <v>7709</v>
      </c>
      <c r="B3727" t="s">
        <v>684</v>
      </c>
      <c r="C3727" t="s">
        <v>805</v>
      </c>
      <c r="D3727" t="s">
        <v>46</v>
      </c>
      <c r="E3727">
        <v>34</v>
      </c>
      <c r="F3727" t="s">
        <v>258</v>
      </c>
      <c r="G3727" t="s">
        <v>3197</v>
      </c>
      <c r="H3727" s="2">
        <v>43794</v>
      </c>
      <c r="I3727" s="1" t="d">
        <v>2010-08-20</v>
      </c>
      <c r="J3727" t="s">
        <v>6260</v>
      </c>
      <c r="K3727" s="17" t="s">
        <v>149</v>
      </c>
      <c r="L3727">
        <v>2</v>
      </c>
    </row>
    <row r="3728" spans="1:12" x14ac:dyDescent="0.25">
      <c r="A3728" t="s">
        <v>7710</v>
      </c>
      <c r="B3728" t="s">
        <v>221</v>
      </c>
      <c r="C3728" t="s">
        <v>30</v>
      </c>
      <c r="D3728" t="s">
        <v>46</v>
      </c>
      <c r="E3728">
        <v>34</v>
      </c>
      <c r="F3728" t="s">
        <v>589</v>
      </c>
      <c r="G3728" t="s">
        <v>55</v>
      </c>
      <c r="H3728">
        <v>56122</v>
      </c>
      <c r="I3728" s="1" t="d">
        <v>2019-04-30</v>
      </c>
      <c r="J3728" t="s">
        <v>2537</v>
      </c>
      <c r="K3728" s="17" t="s">
        <v>19</v>
      </c>
      <c r="L3728">
        <v>5</v>
      </c>
    </row>
    <row r="3729" spans="1:12" x14ac:dyDescent="0.25">
      <c r="A3729" t="s">
        <v>7711</v>
      </c>
      <c r="B3729" t="s">
        <v>1479</v>
      </c>
      <c r="C3729" t="s">
        <v>1622</v>
      </c>
      <c r="D3729" t="s">
        <v>23</v>
      </c>
      <c r="E3729">
        <v>41</v>
      </c>
      <c r="G3729" t="s">
        <v>3243</v>
      </c>
      <c r="H3729" s="2">
        <v>82931</v>
      </c>
      <c r="I3729" s="1" t="d">
        <v>2007-11-03</v>
      </c>
      <c r="J3729" t="s">
        <v>5778</v>
      </c>
      <c r="K3729" s="17" t="s">
        <v>100</v>
      </c>
      <c r="L3729">
        <v>3</v>
      </c>
    </row>
    <row r="3730" spans="1:12" x14ac:dyDescent="0.25">
      <c r="A3730" t="s">
        <v>7712</v>
      </c>
      <c r="B3730" t="s">
        <v>659</v>
      </c>
      <c r="C3730" t="s">
        <v>851</v>
      </c>
      <c r="D3730" t="s">
        <v>23</v>
      </c>
      <c r="E3730">
        <v>27</v>
      </c>
      <c r="F3730" t="s">
        <v>75</v>
      </c>
      <c r="G3730" t="s">
        <v>69</v>
      </c>
      <c r="H3730" t="s">
        <v>7713</v>
      </c>
      <c r="J3730" t="s">
        <v>2553</v>
      </c>
      <c r="K3730" s="17" t="s">
        <v>207</v>
      </c>
      <c r="L3730">
        <v>4</v>
      </c>
    </row>
    <row r="3731" spans="1:12" x14ac:dyDescent="0.25">
      <c r="A3731" t="s">
        <v>7714</v>
      </c>
      <c r="B3731" t="s">
        <v>199</v>
      </c>
      <c r="C3731" t="s">
        <v>715</v>
      </c>
      <c r="D3731" t="s">
        <v>23</v>
      </c>
      <c r="E3731">
        <v>48</v>
      </c>
      <c r="F3731" t="s">
        <v>277</v>
      </c>
      <c r="G3731" t="s">
        <v>16</v>
      </c>
      <c r="H3731" t="s">
        <v>7715</v>
      </c>
      <c r="I3731" s="1" t="d">
        <v>2021-08-30</v>
      </c>
      <c r="J3731" t="s">
        <v>716</v>
      </c>
      <c r="K3731" s="17" t="s">
        <v>42</v>
      </c>
      <c r="L3731">
        <v>2</v>
      </c>
    </row>
    <row r="3732" spans="1:12" x14ac:dyDescent="0.25">
      <c r="A3732" t="s">
        <v>1624</v>
      </c>
      <c r="B3732" t="s">
        <v>1172</v>
      </c>
      <c r="C3732" t="s">
        <v>1055</v>
      </c>
      <c r="D3732" t="s">
        <v>9527</v>
      </c>
      <c r="E3732">
        <v>31</v>
      </c>
      <c r="F3732" t="s">
        <v>1889</v>
      </c>
      <c r="G3732" t="s">
        <v>967</v>
      </c>
      <c r="H3732" t="s">
        <v>7716</v>
      </c>
      <c r="I3732" s="1" t="d">
        <v>2008-01-21</v>
      </c>
      <c r="J3732" t="s">
        <v>1625</v>
      </c>
      <c r="K3732" s="17" t="s">
        <v>34</v>
      </c>
      <c r="L3732">
        <v>1</v>
      </c>
    </row>
    <row r="3733" spans="1:12" x14ac:dyDescent="0.25">
      <c r="A3733" t="s">
        <v>4886</v>
      </c>
      <c r="B3733" t="s">
        <v>1316</v>
      </c>
      <c r="C3733" t="s">
        <v>140</v>
      </c>
      <c r="D3733" t="s">
        <v>9527</v>
      </c>
      <c r="E3733">
        <v>51</v>
      </c>
      <c r="F3733" t="s">
        <v>245</v>
      </c>
      <c r="G3733" t="s">
        <v>16</v>
      </c>
      <c r="H3733" t="s">
        <v>4887</v>
      </c>
      <c r="I3733" s="1" t="d">
        <v>2005-12-10</v>
      </c>
      <c r="J3733" t="s">
        <v>1087</v>
      </c>
      <c r="K3733" s="17" t="s">
        <v>184</v>
      </c>
      <c r="L3733">
        <v>2</v>
      </c>
    </row>
    <row r="3734" spans="1:12" x14ac:dyDescent="0.25">
      <c r="A3734" t="s">
        <v>7717</v>
      </c>
      <c r="B3734" t="s">
        <v>1124</v>
      </c>
      <c r="C3734" t="s">
        <v>2023</v>
      </c>
      <c r="D3734" t="s">
        <v>9527</v>
      </c>
      <c r="E3734">
        <v>33</v>
      </c>
      <c r="F3734" t="s">
        <v>211</v>
      </c>
      <c r="G3734" t="s">
        <v>191</v>
      </c>
      <c r="H3734" t="s">
        <v>7718</v>
      </c>
      <c r="J3734" t="s">
        <v>5290</v>
      </c>
      <c r="K3734" s="17" t="s">
        <v>207</v>
      </c>
      <c r="L3734">
        <v>3</v>
      </c>
    </row>
    <row r="3735" spans="1:12" x14ac:dyDescent="0.25">
      <c r="A3735" t="s">
        <v>7719</v>
      </c>
      <c r="B3735" t="s">
        <v>862</v>
      </c>
      <c r="C3735" t="s">
        <v>618</v>
      </c>
      <c r="D3735" t="s">
        <v>23</v>
      </c>
      <c r="E3735">
        <v>53</v>
      </c>
      <c r="G3735" t="s">
        <v>82</v>
      </c>
      <c r="H3735" t="s">
        <v>7720</v>
      </c>
      <c r="I3735" s="1" t="d">
        <v>2009-08-13</v>
      </c>
      <c r="J3735" t="s">
        <v>5938</v>
      </c>
      <c r="K3735" s="17" t="s">
        <v>149</v>
      </c>
      <c r="L3735">
        <v>4</v>
      </c>
    </row>
    <row r="3736" spans="1:12" x14ac:dyDescent="0.25">
      <c r="A3736" t="s">
        <v>7721</v>
      </c>
      <c r="B3736" t="s">
        <v>1479</v>
      </c>
      <c r="C3736" t="s">
        <v>215</v>
      </c>
      <c r="D3736" t="s">
        <v>46</v>
      </c>
      <c r="E3736">
        <v>35</v>
      </c>
      <c r="F3736" t="s">
        <v>1568</v>
      </c>
      <c r="G3736" t="s">
        <v>278</v>
      </c>
      <c r="H3736" t="s">
        <v>7722</v>
      </c>
      <c r="I3736" s="1" t="d">
        <v>2023-12-06</v>
      </c>
      <c r="J3736" t="s">
        <v>235</v>
      </c>
      <c r="K3736" s="17" t="s">
        <v>370</v>
      </c>
      <c r="L3736">
        <v>4</v>
      </c>
    </row>
    <row r="3737" spans="1:12" x14ac:dyDescent="0.25">
      <c r="A3737" t="s">
        <v>7723</v>
      </c>
      <c r="B3737" t="s">
        <v>702</v>
      </c>
      <c r="C3737" t="s">
        <v>1326</v>
      </c>
      <c r="D3737" t="s">
        <v>46</v>
      </c>
      <c r="E3737">
        <v>26</v>
      </c>
      <c r="F3737" t="s">
        <v>47</v>
      </c>
      <c r="G3737" t="s">
        <v>217</v>
      </c>
      <c r="H3737">
        <v>85115</v>
      </c>
      <c r="I3737" s="1" t="d">
        <v>2009-09-17</v>
      </c>
      <c r="J3737" t="s">
        <v>2849</v>
      </c>
      <c r="K3737" s="17" t="s">
        <v>90</v>
      </c>
      <c r="L3737">
        <v>5</v>
      </c>
    </row>
    <row r="3738" spans="1:12" x14ac:dyDescent="0.25">
      <c r="A3738" t="s">
        <v>7724</v>
      </c>
      <c r="B3738" t="s">
        <v>228</v>
      </c>
      <c r="C3738" t="s">
        <v>237</v>
      </c>
      <c r="D3738" t="s">
        <v>23</v>
      </c>
      <c r="E3738">
        <v>53</v>
      </c>
      <c r="F3738" t="s">
        <v>216</v>
      </c>
      <c r="G3738" t="s">
        <v>16</v>
      </c>
      <c r="H3738" t="s">
        <v>7725</v>
      </c>
      <c r="I3738" s="1" t="d">
        <v>2023-08-07</v>
      </c>
      <c r="J3738" t="s">
        <v>5439</v>
      </c>
      <c r="K3738" s="17" t="s">
        <v>100</v>
      </c>
      <c r="L3738">
        <v>3</v>
      </c>
    </row>
    <row r="3739" spans="1:12" x14ac:dyDescent="0.25">
      <c r="A3739" t="s">
        <v>7726</v>
      </c>
      <c r="B3739" t="s">
        <v>1241</v>
      </c>
      <c r="C3739" t="s">
        <v>324</v>
      </c>
      <c r="D3739" t="s">
        <v>46</v>
      </c>
      <c r="E3739">
        <v>36</v>
      </c>
      <c r="F3739" t="s">
        <v>356</v>
      </c>
      <c r="G3739" t="s">
        <v>69</v>
      </c>
      <c r="H3739" s="2">
        <v>116297</v>
      </c>
      <c r="I3739" s="1" t="d">
        <v>2022-02-17</v>
      </c>
      <c r="J3739" t="s">
        <v>4643</v>
      </c>
      <c r="K3739" s="17" t="s">
        <v>207</v>
      </c>
      <c r="L3739">
        <v>5</v>
      </c>
    </row>
    <row r="3740" spans="1:12" x14ac:dyDescent="0.25">
      <c r="A3740" t="s">
        <v>7727</v>
      </c>
      <c r="B3740" t="s">
        <v>7728</v>
      </c>
      <c r="C3740" t="s">
        <v>758</v>
      </c>
      <c r="D3740" t="s">
        <v>23</v>
      </c>
      <c r="E3740">
        <v>21</v>
      </c>
      <c r="F3740" t="s">
        <v>373</v>
      </c>
      <c r="G3740" t="s">
        <v>82</v>
      </c>
      <c r="H3740" s="2">
        <v>70935</v>
      </c>
      <c r="I3740" s="1" t="d">
        <v>2005-08-30</v>
      </c>
      <c r="J3740" t="s">
        <v>7729</v>
      </c>
      <c r="K3740" s="17" t="s">
        <v>370</v>
      </c>
      <c r="L3740">
        <v>3</v>
      </c>
    </row>
    <row r="3741" spans="1:12" x14ac:dyDescent="0.25">
      <c r="A3741" t="s">
        <v>7730</v>
      </c>
      <c r="B3741" t="s">
        <v>804</v>
      </c>
      <c r="C3741" t="s">
        <v>152</v>
      </c>
      <c r="D3741" t="s">
        <v>9527</v>
      </c>
      <c r="E3741">
        <v>31</v>
      </c>
      <c r="F3741" t="s">
        <v>417</v>
      </c>
      <c r="G3741" t="s">
        <v>82</v>
      </c>
      <c r="H3741" s="2">
        <v>999999</v>
      </c>
      <c r="I3741" s="1" t="d">
        <v>2010-12-25</v>
      </c>
      <c r="J3741" t="s">
        <v>3655</v>
      </c>
      <c r="K3741" s="17" t="s">
        <v>19</v>
      </c>
      <c r="L3741">
        <v>3</v>
      </c>
    </row>
    <row r="3742" spans="1:12" x14ac:dyDescent="0.25">
      <c r="A3742" t="s">
        <v>6518</v>
      </c>
      <c r="B3742" t="s">
        <v>421</v>
      </c>
      <c r="C3742" t="s">
        <v>778</v>
      </c>
      <c r="D3742" t="s">
        <v>46</v>
      </c>
      <c r="E3742">
        <v>34</v>
      </c>
      <c r="F3742" t="s">
        <v>287</v>
      </c>
      <c r="G3742" t="s">
        <v>328</v>
      </c>
      <c r="H3742" t="s">
        <v>6519</v>
      </c>
      <c r="I3742" s="1" t="d">
        <v>2022-09-01</v>
      </c>
      <c r="J3742" t="s">
        <v>6520</v>
      </c>
      <c r="K3742" s="17" t="s">
        <v>27</v>
      </c>
      <c r="L3742">
        <v>4</v>
      </c>
    </row>
    <row r="3743" spans="1:12" x14ac:dyDescent="0.25">
      <c r="A3743" t="s">
        <v>7731</v>
      </c>
      <c r="B3743" t="s">
        <v>906</v>
      </c>
      <c r="C3743" t="s">
        <v>488</v>
      </c>
      <c r="D3743" t="s">
        <v>23</v>
      </c>
      <c r="E3743">
        <v>38</v>
      </c>
      <c r="F3743" t="s">
        <v>253</v>
      </c>
      <c r="G3743" t="s">
        <v>88</v>
      </c>
      <c r="I3743" s="1" t="d">
        <v>2024-04-11</v>
      </c>
      <c r="J3743" t="s">
        <v>4464</v>
      </c>
      <c r="K3743" s="17" t="s">
        <v>19</v>
      </c>
      <c r="L3743">
        <v>5</v>
      </c>
    </row>
    <row r="3744" spans="1:12" x14ac:dyDescent="0.25">
      <c r="A3744" t="s">
        <v>7151</v>
      </c>
      <c r="B3744" t="s">
        <v>139</v>
      </c>
      <c r="C3744" t="s">
        <v>181</v>
      </c>
      <c r="D3744" t="s">
        <v>46</v>
      </c>
      <c r="E3744">
        <v>35</v>
      </c>
      <c r="F3744" t="s">
        <v>230</v>
      </c>
      <c r="G3744" t="s">
        <v>48</v>
      </c>
      <c r="H3744" t="s">
        <v>7152</v>
      </c>
      <c r="I3744" s="1" t="d">
        <v>2011-02-03</v>
      </c>
      <c r="J3744" t="s">
        <v>7153</v>
      </c>
      <c r="K3744" s="17" t="s">
        <v>27</v>
      </c>
      <c r="L3744">
        <v>4</v>
      </c>
    </row>
    <row r="3745" spans="1:12" x14ac:dyDescent="0.25">
      <c r="A3745" t="s">
        <v>7732</v>
      </c>
      <c r="B3745" t="s">
        <v>203</v>
      </c>
      <c r="C3745" t="s">
        <v>1146</v>
      </c>
      <c r="D3745" t="s">
        <v>46</v>
      </c>
      <c r="E3745">
        <v>55</v>
      </c>
      <c r="F3745" t="s">
        <v>269</v>
      </c>
      <c r="G3745" t="s">
        <v>115</v>
      </c>
      <c r="H3745" t="s">
        <v>7733</v>
      </c>
      <c r="I3745" s="1" t="d">
        <v>2021-03-25</v>
      </c>
      <c r="J3745" t="s">
        <v>6190</v>
      </c>
      <c r="K3745" s="17" t="s">
        <v>100</v>
      </c>
      <c r="L3745">
        <v>4</v>
      </c>
    </row>
    <row r="3746" spans="1:12" x14ac:dyDescent="0.25">
      <c r="A3746" t="s">
        <v>7734</v>
      </c>
      <c r="B3746" t="s">
        <v>2517</v>
      </c>
      <c r="C3746" t="s">
        <v>152</v>
      </c>
      <c r="D3746" t="s">
        <v>23</v>
      </c>
      <c r="E3746">
        <v>21</v>
      </c>
      <c r="F3746" t="s">
        <v>200</v>
      </c>
      <c r="G3746" t="s">
        <v>82</v>
      </c>
      <c r="I3746" s="1" t="d">
        <v>2009-01-21</v>
      </c>
      <c r="J3746" t="s">
        <v>7735</v>
      </c>
      <c r="K3746" s="17" t="s">
        <v>149</v>
      </c>
      <c r="L3746">
        <v>4</v>
      </c>
    </row>
    <row r="3747" spans="1:12" x14ac:dyDescent="0.25">
      <c r="A3747" t="s">
        <v>7205</v>
      </c>
      <c r="B3747" t="s">
        <v>945</v>
      </c>
      <c r="C3747" t="s">
        <v>30</v>
      </c>
      <c r="D3747" t="s">
        <v>9527</v>
      </c>
      <c r="E3747">
        <v>42</v>
      </c>
      <c r="F3747" t="s">
        <v>196</v>
      </c>
      <c r="G3747" t="s">
        <v>1719</v>
      </c>
      <c r="I3747" s="1" t="d">
        <v>2006-08-11</v>
      </c>
      <c r="J3747" t="s">
        <v>3747</v>
      </c>
      <c r="K3747" s="17" t="s">
        <v>42</v>
      </c>
      <c r="L3747">
        <v>4</v>
      </c>
    </row>
    <row r="3748" spans="1:12" x14ac:dyDescent="0.25">
      <c r="A3748" t="s">
        <v>5387</v>
      </c>
      <c r="B3748" t="s">
        <v>37</v>
      </c>
      <c r="C3748" t="s">
        <v>5388</v>
      </c>
      <c r="D3748" t="s">
        <v>23</v>
      </c>
      <c r="E3748">
        <v>45</v>
      </c>
      <c r="F3748" t="s">
        <v>2700</v>
      </c>
      <c r="G3748" t="s">
        <v>191</v>
      </c>
      <c r="H3748">
        <v>78622</v>
      </c>
      <c r="I3748" s="1" t="d">
        <v>2007-10-19</v>
      </c>
      <c r="J3748" t="s">
        <v>5389</v>
      </c>
      <c r="K3748" s="17" t="s">
        <v>184</v>
      </c>
      <c r="L3748">
        <v>3</v>
      </c>
    </row>
    <row r="3749" spans="1:12" x14ac:dyDescent="0.25">
      <c r="A3749" t="s">
        <v>7736</v>
      </c>
      <c r="B3749" t="s">
        <v>1769</v>
      </c>
      <c r="C3749" t="s">
        <v>1622</v>
      </c>
      <c r="D3749" t="s">
        <v>46</v>
      </c>
      <c r="E3749">
        <v>23</v>
      </c>
      <c r="F3749" t="s">
        <v>230</v>
      </c>
      <c r="G3749" t="s">
        <v>55</v>
      </c>
      <c r="H3749" t="s">
        <v>7737</v>
      </c>
      <c r="I3749" s="1" t="d">
        <v>2011-03-01</v>
      </c>
      <c r="J3749" t="s">
        <v>1170</v>
      </c>
      <c r="K3749" s="17" t="s">
        <v>19</v>
      </c>
      <c r="L3749">
        <v>3</v>
      </c>
    </row>
    <row r="3750" spans="1:12" x14ac:dyDescent="0.25">
      <c r="A3750" t="s">
        <v>7738</v>
      </c>
      <c r="B3750" t="s">
        <v>86</v>
      </c>
      <c r="C3750" t="s">
        <v>1253</v>
      </c>
      <c r="D3750" t="s">
        <v>9527</v>
      </c>
      <c r="E3750">
        <v>39</v>
      </c>
      <c r="G3750" t="s">
        <v>82</v>
      </c>
      <c r="H3750">
        <v>51707</v>
      </c>
      <c r="I3750" s="1" t="d">
        <v>2006-05-09</v>
      </c>
      <c r="J3750" t="s">
        <v>7534</v>
      </c>
      <c r="K3750" s="17" t="s">
        <v>90</v>
      </c>
      <c r="L3750">
        <v>5</v>
      </c>
    </row>
    <row r="3751" spans="1:12" x14ac:dyDescent="0.25">
      <c r="A3751" t="s">
        <v>7739</v>
      </c>
      <c r="B3751" t="s">
        <v>174</v>
      </c>
      <c r="C3751" t="s">
        <v>318</v>
      </c>
      <c r="D3751" t="s">
        <v>23</v>
      </c>
      <c r="E3751">
        <v>51</v>
      </c>
      <c r="F3751" t="s">
        <v>495</v>
      </c>
      <c r="G3751" t="s">
        <v>842</v>
      </c>
      <c r="H3751" t="s">
        <v>7740</v>
      </c>
      <c r="I3751" s="1" t="d">
        <v>2015-04-27</v>
      </c>
      <c r="J3751" t="s">
        <v>1946</v>
      </c>
      <c r="K3751" s="17" t="s">
        <v>34</v>
      </c>
      <c r="L3751">
        <v>4</v>
      </c>
    </row>
    <row r="3752" spans="1:12" x14ac:dyDescent="0.25">
      <c r="A3752" t="s">
        <v>7741</v>
      </c>
      <c r="B3752" t="s">
        <v>2272</v>
      </c>
      <c r="C3752" t="s">
        <v>45</v>
      </c>
      <c r="D3752" t="s">
        <v>9527</v>
      </c>
      <c r="E3752">
        <v>34</v>
      </c>
      <c r="F3752" t="s">
        <v>509</v>
      </c>
      <c r="G3752" t="s">
        <v>55</v>
      </c>
      <c r="H3752" t="s">
        <v>7742</v>
      </c>
      <c r="I3752" s="1" t="d">
        <v>2016-06-14</v>
      </c>
      <c r="J3752" t="s">
        <v>3092</v>
      </c>
      <c r="K3752" s="17" t="s">
        <v>71</v>
      </c>
      <c r="L3752">
        <v>5</v>
      </c>
    </row>
    <row r="3753" spans="1:12" x14ac:dyDescent="0.25">
      <c r="A3753" t="s">
        <v>7743</v>
      </c>
      <c r="B3753" t="s">
        <v>718</v>
      </c>
      <c r="C3753" t="s">
        <v>1052</v>
      </c>
      <c r="D3753" t="s">
        <v>46</v>
      </c>
      <c r="E3753">
        <v>31</v>
      </c>
      <c r="F3753" t="s">
        <v>559</v>
      </c>
      <c r="G3753" t="s">
        <v>69</v>
      </c>
      <c r="I3753" s="1" t="d">
        <v>2020-03-10</v>
      </c>
      <c r="J3753" t="s">
        <v>628</v>
      </c>
      <c r="K3753" s="17" t="s">
        <v>370</v>
      </c>
      <c r="L3753">
        <v>4</v>
      </c>
    </row>
    <row r="3754" spans="1:12" x14ac:dyDescent="0.25">
      <c r="A3754" t="s">
        <v>7744</v>
      </c>
      <c r="B3754" t="s">
        <v>4544</v>
      </c>
      <c r="C3754" t="s">
        <v>710</v>
      </c>
      <c r="D3754" t="s">
        <v>23</v>
      </c>
      <c r="E3754">
        <v>29</v>
      </c>
      <c r="F3754" t="s">
        <v>589</v>
      </c>
      <c r="G3754" t="s">
        <v>205</v>
      </c>
      <c r="H3754" t="s">
        <v>7745</v>
      </c>
      <c r="I3754" s="1" t="d">
        <v>2011-01-10</v>
      </c>
      <c r="J3754" t="s">
        <v>1073</v>
      </c>
      <c r="K3754" s="17" t="s">
        <v>58</v>
      </c>
      <c r="L3754">
        <v>3</v>
      </c>
    </row>
    <row r="3755" spans="1:12" x14ac:dyDescent="0.25">
      <c r="A3755" t="s">
        <v>7746</v>
      </c>
      <c r="B3755" t="s">
        <v>804</v>
      </c>
      <c r="C3755" t="s">
        <v>145</v>
      </c>
      <c r="D3755" t="s">
        <v>9527</v>
      </c>
      <c r="E3755">
        <v>37</v>
      </c>
      <c r="F3755" t="s">
        <v>81</v>
      </c>
      <c r="G3755" t="s">
        <v>504</v>
      </c>
      <c r="I3755" s="1" t="d">
        <v>2012-06-07</v>
      </c>
      <c r="J3755" t="s">
        <v>7747</v>
      </c>
      <c r="K3755" s="17" t="s">
        <v>34</v>
      </c>
      <c r="L3755">
        <v>3</v>
      </c>
    </row>
    <row r="3756" spans="1:12" x14ac:dyDescent="0.25">
      <c r="A3756" t="s">
        <v>7748</v>
      </c>
      <c r="B3756" t="s">
        <v>448</v>
      </c>
      <c r="C3756" t="s">
        <v>1377</v>
      </c>
      <c r="D3756" t="s">
        <v>23</v>
      </c>
      <c r="E3756">
        <v>34</v>
      </c>
      <c r="F3756" t="s">
        <v>146</v>
      </c>
      <c r="G3756" t="s">
        <v>177</v>
      </c>
      <c r="I3756" s="1" t="d">
        <v>2017-08-30</v>
      </c>
      <c r="J3756" t="s">
        <v>2377</v>
      </c>
      <c r="K3756" s="17" t="s">
        <v>19</v>
      </c>
      <c r="L3756">
        <v>4</v>
      </c>
    </row>
    <row r="3757" spans="1:12" x14ac:dyDescent="0.25">
      <c r="A3757" t="s">
        <v>4966</v>
      </c>
      <c r="B3757" t="s">
        <v>826</v>
      </c>
      <c r="C3757" t="s">
        <v>2562</v>
      </c>
      <c r="D3757" t="s">
        <v>9527</v>
      </c>
      <c r="E3757">
        <v>28</v>
      </c>
      <c r="F3757" t="s">
        <v>253</v>
      </c>
      <c r="G3757" t="s">
        <v>39</v>
      </c>
      <c r="H3757" s="2">
        <v>999999</v>
      </c>
      <c r="I3757" s="1" t="d">
        <v>2014-02-26</v>
      </c>
      <c r="J3757" t="s">
        <v>4967</v>
      </c>
      <c r="K3757" s="17" t="s">
        <v>34</v>
      </c>
      <c r="L3757">
        <v>3</v>
      </c>
    </row>
    <row r="3758" spans="1:12" x14ac:dyDescent="0.25">
      <c r="A3758" t="s">
        <v>7749</v>
      </c>
      <c r="B3758" t="s">
        <v>444</v>
      </c>
      <c r="C3758" t="s">
        <v>886</v>
      </c>
      <c r="D3758" t="s">
        <v>23</v>
      </c>
      <c r="E3758">
        <v>54</v>
      </c>
      <c r="F3758" t="s">
        <v>978</v>
      </c>
      <c r="G3758" t="s">
        <v>239</v>
      </c>
      <c r="H3758" s="2">
        <v>99844</v>
      </c>
      <c r="I3758" s="1" t="d">
        <v>2005-10-06</v>
      </c>
      <c r="J3758" t="s">
        <v>5215</v>
      </c>
      <c r="K3758" s="17" t="s">
        <v>370</v>
      </c>
      <c r="L3758">
        <v>4</v>
      </c>
    </row>
    <row r="3759" spans="1:12" x14ac:dyDescent="0.25">
      <c r="A3759" t="s">
        <v>7750</v>
      </c>
      <c r="B3759" t="s">
        <v>1002</v>
      </c>
      <c r="C3759" t="s">
        <v>858</v>
      </c>
      <c r="D3759" t="s">
        <v>23</v>
      </c>
      <c r="E3759">
        <v>33</v>
      </c>
      <c r="F3759" t="s">
        <v>186</v>
      </c>
      <c r="G3759" t="s">
        <v>82</v>
      </c>
      <c r="H3759" s="2">
        <v>87429</v>
      </c>
      <c r="I3759" s="1" t="d">
        <v>2017-09-04</v>
      </c>
      <c r="J3759" t="s">
        <v>5984</v>
      </c>
      <c r="K3759" s="17" t="s">
        <v>207</v>
      </c>
      <c r="L3759">
        <v>3</v>
      </c>
    </row>
    <row r="3760" spans="1:12" x14ac:dyDescent="0.25">
      <c r="A3760" t="s">
        <v>7751</v>
      </c>
      <c r="B3760" t="s">
        <v>44</v>
      </c>
      <c r="C3760" t="s">
        <v>377</v>
      </c>
      <c r="D3760" t="s">
        <v>9527</v>
      </c>
      <c r="E3760">
        <v>38</v>
      </c>
      <c r="F3760" t="s">
        <v>122</v>
      </c>
      <c r="G3760" t="s">
        <v>82</v>
      </c>
      <c r="H3760">
        <v>54768</v>
      </c>
      <c r="I3760" s="1" t="d">
        <v>2022-11-17</v>
      </c>
      <c r="J3760" t="s">
        <v>4376</v>
      </c>
      <c r="K3760" s="17" t="s">
        <v>34</v>
      </c>
      <c r="L3760">
        <v>3</v>
      </c>
    </row>
    <row r="3761" spans="1:12" x14ac:dyDescent="0.25">
      <c r="A3761" t="s">
        <v>7752</v>
      </c>
      <c r="B3761" t="s">
        <v>702</v>
      </c>
      <c r="C3761" t="s">
        <v>336</v>
      </c>
      <c r="D3761" t="s">
        <v>23</v>
      </c>
      <c r="E3761">
        <v>48</v>
      </c>
      <c r="F3761" t="s">
        <v>319</v>
      </c>
      <c r="G3761" t="s">
        <v>48</v>
      </c>
      <c r="H3761" t="s">
        <v>7753</v>
      </c>
      <c r="I3761" s="1" t="d">
        <v>2009-11-08</v>
      </c>
      <c r="J3761" t="s">
        <v>1070</v>
      </c>
      <c r="K3761" s="17" t="s">
        <v>27</v>
      </c>
      <c r="L3761">
        <v>3</v>
      </c>
    </row>
    <row r="3762" spans="1:12" x14ac:dyDescent="0.25">
      <c r="A3762" t="s">
        <v>7754</v>
      </c>
      <c r="B3762" t="s">
        <v>394</v>
      </c>
      <c r="C3762" t="s">
        <v>1320</v>
      </c>
      <c r="D3762" t="s">
        <v>46</v>
      </c>
      <c r="E3762">
        <v>23</v>
      </c>
      <c r="F3762" t="s">
        <v>114</v>
      </c>
      <c r="G3762" t="s">
        <v>217</v>
      </c>
      <c r="H3762" t="s">
        <v>7755</v>
      </c>
      <c r="I3762" s="1" t="d">
        <v>2012-12-12</v>
      </c>
      <c r="J3762" t="s">
        <v>5033</v>
      </c>
      <c r="K3762" s="17" t="s">
        <v>27</v>
      </c>
      <c r="L3762">
        <v>3</v>
      </c>
    </row>
    <row r="3763" spans="1:12" x14ac:dyDescent="0.25">
      <c r="A3763" t="s">
        <v>7756</v>
      </c>
      <c r="B3763" t="s">
        <v>594</v>
      </c>
      <c r="C3763" t="s">
        <v>512</v>
      </c>
      <c r="D3763" t="s">
        <v>23</v>
      </c>
      <c r="E3763">
        <v>44</v>
      </c>
      <c r="F3763" t="s">
        <v>2065</v>
      </c>
      <c r="G3763" t="s">
        <v>115</v>
      </c>
      <c r="H3763">
        <v>93666</v>
      </c>
      <c r="I3763" s="1" t="d">
        <v>2008-03-14</v>
      </c>
      <c r="J3763" t="s">
        <v>4241</v>
      </c>
      <c r="K3763" s="17" t="s">
        <v>118</v>
      </c>
      <c r="L3763">
        <v>5</v>
      </c>
    </row>
    <row r="3764" spans="1:12" x14ac:dyDescent="0.25">
      <c r="A3764" t="s">
        <v>7757</v>
      </c>
      <c r="B3764" t="s">
        <v>311</v>
      </c>
      <c r="C3764" t="s">
        <v>1356</v>
      </c>
      <c r="D3764" t="s">
        <v>23</v>
      </c>
      <c r="E3764">
        <v>32</v>
      </c>
      <c r="F3764" t="s">
        <v>54</v>
      </c>
      <c r="G3764" t="s">
        <v>109</v>
      </c>
      <c r="H3764" s="2">
        <v>66376</v>
      </c>
      <c r="I3764" s="1" t="d">
        <v>2012-03-23</v>
      </c>
      <c r="J3764" t="s">
        <v>7758</v>
      </c>
      <c r="K3764" s="17" t="s">
        <v>90</v>
      </c>
      <c r="L3764">
        <v>3</v>
      </c>
    </row>
    <row r="3765" spans="1:12" x14ac:dyDescent="0.25">
      <c r="A3765" t="s">
        <v>7759</v>
      </c>
      <c r="B3765" t="s">
        <v>221</v>
      </c>
      <c r="C3765" t="s">
        <v>684</v>
      </c>
      <c r="D3765" t="s">
        <v>23</v>
      </c>
      <c r="E3765">
        <v>45</v>
      </c>
      <c r="F3765" t="s">
        <v>68</v>
      </c>
      <c r="G3765" t="s">
        <v>283</v>
      </c>
      <c r="H3765">
        <v>181504</v>
      </c>
      <c r="I3765" s="1" t="d">
        <v>2017-08-07</v>
      </c>
      <c r="J3765" t="s">
        <v>943</v>
      </c>
      <c r="K3765" s="17" t="s">
        <v>118</v>
      </c>
      <c r="L3765">
        <v>3</v>
      </c>
    </row>
    <row r="3766" spans="1:12" x14ac:dyDescent="0.25">
      <c r="A3766" t="s">
        <v>7760</v>
      </c>
      <c r="B3766" t="s">
        <v>594</v>
      </c>
      <c r="C3766" t="s">
        <v>790</v>
      </c>
      <c r="D3766" t="s">
        <v>23</v>
      </c>
      <c r="E3766">
        <v>34</v>
      </c>
      <c r="F3766" t="s">
        <v>522</v>
      </c>
      <c r="G3766" t="s">
        <v>337</v>
      </c>
      <c r="H3766" s="2">
        <v>88273</v>
      </c>
      <c r="I3766" s="1" t="d">
        <v>2011-11-09</v>
      </c>
      <c r="J3766" t="s">
        <v>5558</v>
      </c>
      <c r="K3766" s="17" t="s">
        <v>34</v>
      </c>
      <c r="L3766">
        <v>3</v>
      </c>
    </row>
    <row r="3767" spans="1:12" x14ac:dyDescent="0.25">
      <c r="A3767" t="s">
        <v>7761</v>
      </c>
      <c r="B3767" t="s">
        <v>5347</v>
      </c>
      <c r="C3767" t="s">
        <v>2023</v>
      </c>
      <c r="D3767" t="s">
        <v>9527</v>
      </c>
      <c r="E3767">
        <v>51</v>
      </c>
      <c r="F3767" t="s">
        <v>108</v>
      </c>
      <c r="G3767" t="s">
        <v>7543</v>
      </c>
      <c r="H3767" t="s">
        <v>7762</v>
      </c>
      <c r="I3767" s="1" t="d">
        <v>2015-04-12</v>
      </c>
      <c r="J3767" t="s">
        <v>1362</v>
      </c>
      <c r="K3767" s="17" t="s">
        <v>50</v>
      </c>
      <c r="L3767">
        <v>4</v>
      </c>
    </row>
    <row r="3768" spans="1:12" x14ac:dyDescent="0.25">
      <c r="A3768" t="s">
        <v>6093</v>
      </c>
      <c r="B3768" t="s">
        <v>3988</v>
      </c>
      <c r="C3768" t="s">
        <v>181</v>
      </c>
      <c r="D3768" t="s">
        <v>9527</v>
      </c>
      <c r="E3768">
        <v>39</v>
      </c>
      <c r="F3768" t="s">
        <v>196</v>
      </c>
      <c r="G3768" t="s">
        <v>82</v>
      </c>
      <c r="H3768" t="s">
        <v>7763</v>
      </c>
      <c r="I3768" s="1" t="d">
        <v>2020-08-25</v>
      </c>
      <c r="J3768" t="s">
        <v>3426</v>
      </c>
      <c r="K3768" s="17" t="s">
        <v>34</v>
      </c>
      <c r="L3768">
        <v>4</v>
      </c>
    </row>
    <row r="3769" spans="1:12" x14ac:dyDescent="0.25">
      <c r="A3769" t="s">
        <v>7764</v>
      </c>
      <c r="B3769" t="s">
        <v>448</v>
      </c>
      <c r="C3769" t="s">
        <v>751</v>
      </c>
      <c r="D3769" t="s">
        <v>46</v>
      </c>
      <c r="E3769">
        <v>21</v>
      </c>
      <c r="F3769" t="s">
        <v>417</v>
      </c>
      <c r="G3769" t="s">
        <v>337</v>
      </c>
      <c r="H3769" t="s">
        <v>7765</v>
      </c>
      <c r="I3769" s="1" t="d">
        <v>2017-10-21</v>
      </c>
      <c r="J3769" t="s">
        <v>2930</v>
      </c>
      <c r="K3769" s="17" t="s">
        <v>42</v>
      </c>
      <c r="L3769">
        <v>4</v>
      </c>
    </row>
    <row r="3770" spans="1:12" x14ac:dyDescent="0.25">
      <c r="A3770" t="s">
        <v>7766</v>
      </c>
      <c r="B3770" t="s">
        <v>167</v>
      </c>
      <c r="C3770" t="s">
        <v>827</v>
      </c>
      <c r="D3770" t="s">
        <v>46</v>
      </c>
      <c r="E3770">
        <v>28</v>
      </c>
      <c r="F3770" t="s">
        <v>2029</v>
      </c>
      <c r="G3770" t="s">
        <v>6141</v>
      </c>
      <c r="H3770">
        <v>99540</v>
      </c>
      <c r="I3770" s="1" t="d">
        <v>2013-02-05</v>
      </c>
      <c r="J3770" t="s">
        <v>3855</v>
      </c>
      <c r="K3770" s="17" t="s">
        <v>118</v>
      </c>
      <c r="L3770">
        <v>3</v>
      </c>
    </row>
    <row r="3771" spans="1:12" x14ac:dyDescent="0.25">
      <c r="A3771" t="s">
        <v>7767</v>
      </c>
      <c r="B3771" t="s">
        <v>2697</v>
      </c>
      <c r="C3771" t="s">
        <v>805</v>
      </c>
      <c r="D3771" t="s">
        <v>23</v>
      </c>
      <c r="E3771">
        <v>38</v>
      </c>
      <c r="F3771" t="s">
        <v>114</v>
      </c>
      <c r="G3771" t="s">
        <v>191</v>
      </c>
      <c r="H3771" t="s">
        <v>7768</v>
      </c>
      <c r="I3771" s="1" t="d">
        <v>2022-08-23</v>
      </c>
      <c r="J3771" t="s">
        <v>7471</v>
      </c>
      <c r="K3771" s="17" t="s">
        <v>50</v>
      </c>
      <c r="L3771">
        <v>4</v>
      </c>
    </row>
    <row r="3772" spans="1:12" x14ac:dyDescent="0.25">
      <c r="A3772" t="s">
        <v>7769</v>
      </c>
      <c r="B3772" t="s">
        <v>2041</v>
      </c>
      <c r="C3772" t="s">
        <v>1266</v>
      </c>
      <c r="D3772" t="s">
        <v>46</v>
      </c>
      <c r="E3772">
        <v>24</v>
      </c>
      <c r="F3772" t="s">
        <v>258</v>
      </c>
      <c r="G3772" t="s">
        <v>159</v>
      </c>
      <c r="I3772" s="1" t="d">
        <v>2013-07-23</v>
      </c>
      <c r="J3772" t="s">
        <v>890</v>
      </c>
      <c r="K3772" s="17" t="s">
        <v>207</v>
      </c>
      <c r="L3772">
        <v>4</v>
      </c>
    </row>
    <row r="3773" spans="1:12" x14ac:dyDescent="0.25">
      <c r="A3773" t="s">
        <v>2977</v>
      </c>
      <c r="B3773" t="s">
        <v>841</v>
      </c>
      <c r="C3773" t="s">
        <v>715</v>
      </c>
      <c r="D3773" t="s">
        <v>46</v>
      </c>
      <c r="E3773">
        <v>35</v>
      </c>
      <c r="F3773" t="s">
        <v>54</v>
      </c>
      <c r="G3773" t="s">
        <v>48</v>
      </c>
      <c r="H3773" t="s">
        <v>2978</v>
      </c>
      <c r="J3773" t="s">
        <v>2478</v>
      </c>
      <c r="K3773" s="17" t="s">
        <v>149</v>
      </c>
      <c r="L3773">
        <v>4</v>
      </c>
    </row>
    <row r="3774" spans="1:12" x14ac:dyDescent="0.25">
      <c r="A3774" t="s">
        <v>7770</v>
      </c>
      <c r="B3774" t="s">
        <v>571</v>
      </c>
      <c r="C3774" t="s">
        <v>237</v>
      </c>
      <c r="D3774" t="s">
        <v>46</v>
      </c>
      <c r="E3774">
        <v>28</v>
      </c>
      <c r="F3774" t="s">
        <v>47</v>
      </c>
      <c r="G3774" t="s">
        <v>82</v>
      </c>
      <c r="I3774" s="1" t="d">
        <v>2014-04-09</v>
      </c>
      <c r="J3774" t="s">
        <v>1708</v>
      </c>
      <c r="K3774" s="17" t="s">
        <v>19</v>
      </c>
      <c r="L3774">
        <v>5</v>
      </c>
    </row>
    <row r="3775" spans="1:12" x14ac:dyDescent="0.25">
      <c r="A3775" t="s">
        <v>7771</v>
      </c>
      <c r="B3775" t="s">
        <v>151</v>
      </c>
      <c r="C3775" t="s">
        <v>427</v>
      </c>
      <c r="D3775" t="s">
        <v>46</v>
      </c>
      <c r="E3775">
        <v>55</v>
      </c>
      <c r="F3775" t="s">
        <v>984</v>
      </c>
      <c r="G3775" t="s">
        <v>88</v>
      </c>
      <c r="H3775" s="2">
        <v>57092</v>
      </c>
      <c r="I3775" s="1" t="d">
        <v>2017-10-08</v>
      </c>
      <c r="J3775" t="s">
        <v>5365</v>
      </c>
      <c r="K3775" s="17" t="s">
        <v>71</v>
      </c>
      <c r="L3775">
        <v>3</v>
      </c>
    </row>
    <row r="3776" spans="1:12" x14ac:dyDescent="0.25">
      <c r="A3776" t="s">
        <v>7772</v>
      </c>
      <c r="B3776" t="s">
        <v>52</v>
      </c>
      <c r="C3776" t="s">
        <v>2974</v>
      </c>
      <c r="D3776" t="s">
        <v>9527</v>
      </c>
      <c r="E3776">
        <v>21</v>
      </c>
      <c r="F3776" t="s">
        <v>559</v>
      </c>
      <c r="G3776" t="s">
        <v>191</v>
      </c>
      <c r="H3776" s="2">
        <v>84599</v>
      </c>
      <c r="I3776" s="1" t="d">
        <v>2012-01-11</v>
      </c>
      <c r="J3776" t="s">
        <v>1551</v>
      </c>
      <c r="K3776" s="17" t="s">
        <v>19</v>
      </c>
      <c r="L3776">
        <v>5</v>
      </c>
    </row>
    <row r="3777" spans="1:12" x14ac:dyDescent="0.25">
      <c r="A3777" t="s">
        <v>7773</v>
      </c>
      <c r="B3777" t="s">
        <v>7774</v>
      </c>
      <c r="C3777" t="s">
        <v>665</v>
      </c>
      <c r="D3777" t="s">
        <v>9527</v>
      </c>
      <c r="E3777">
        <v>44</v>
      </c>
      <c r="F3777" t="s">
        <v>81</v>
      </c>
      <c r="G3777" t="s">
        <v>217</v>
      </c>
      <c r="H3777" s="2">
        <v>75403</v>
      </c>
      <c r="I3777" s="1" t="d">
        <v>2012-12-02</v>
      </c>
      <c r="J3777" t="s">
        <v>3028</v>
      </c>
      <c r="K3777" s="17" t="s">
        <v>118</v>
      </c>
      <c r="L3777">
        <v>4</v>
      </c>
    </row>
    <row r="3778" spans="1:12" x14ac:dyDescent="0.25">
      <c r="A3778" t="s">
        <v>7775</v>
      </c>
      <c r="B3778" t="s">
        <v>404</v>
      </c>
      <c r="C3778" t="s">
        <v>244</v>
      </c>
      <c r="D3778" t="s">
        <v>23</v>
      </c>
      <c r="E3778">
        <v>35</v>
      </c>
      <c r="F3778" t="s">
        <v>238</v>
      </c>
      <c r="G3778" t="s">
        <v>278</v>
      </c>
      <c r="H3778" t="s">
        <v>7776</v>
      </c>
      <c r="I3778" s="1" t="d">
        <v>2021-06-05</v>
      </c>
      <c r="J3778" t="s">
        <v>3637</v>
      </c>
      <c r="K3778" s="17" t="s">
        <v>90</v>
      </c>
      <c r="L3778">
        <v>1</v>
      </c>
    </row>
    <row r="3779" spans="1:12" x14ac:dyDescent="0.25">
      <c r="A3779" t="s">
        <v>7777</v>
      </c>
      <c r="B3779" t="s">
        <v>936</v>
      </c>
      <c r="C3779" t="s">
        <v>1384</v>
      </c>
      <c r="D3779" t="s">
        <v>9527</v>
      </c>
      <c r="E3779">
        <v>31</v>
      </c>
      <c r="F3779" t="s">
        <v>186</v>
      </c>
      <c r="G3779" t="s">
        <v>205</v>
      </c>
      <c r="I3779" s="1" t="d">
        <v>2012-03-07</v>
      </c>
      <c r="J3779" t="s">
        <v>7778</v>
      </c>
      <c r="K3779" s="17" t="s">
        <v>71</v>
      </c>
      <c r="L3779">
        <v>3</v>
      </c>
    </row>
    <row r="3780" spans="1:12" x14ac:dyDescent="0.25">
      <c r="A3780" t="s">
        <v>7779</v>
      </c>
      <c r="B3780" t="s">
        <v>21</v>
      </c>
      <c r="C3780" t="s">
        <v>739</v>
      </c>
      <c r="D3780" t="s">
        <v>9527</v>
      </c>
      <c r="E3780">
        <v>46</v>
      </c>
      <c r="F3780" t="s">
        <v>104</v>
      </c>
      <c r="G3780" t="s">
        <v>1199</v>
      </c>
      <c r="H3780" t="s">
        <v>7780</v>
      </c>
      <c r="I3780" s="1" t="d">
        <v>2015-12-17</v>
      </c>
      <c r="J3780" t="s">
        <v>1489</v>
      </c>
      <c r="K3780" s="17" t="s">
        <v>118</v>
      </c>
      <c r="L3780">
        <v>3</v>
      </c>
    </row>
    <row r="3781" spans="1:12" x14ac:dyDescent="0.25">
      <c r="A3781" t="s">
        <v>939</v>
      </c>
      <c r="B3781" t="s">
        <v>404</v>
      </c>
      <c r="C3781" t="s">
        <v>107</v>
      </c>
      <c r="D3781" t="s">
        <v>23</v>
      </c>
      <c r="E3781">
        <v>49</v>
      </c>
      <c r="G3781" t="s">
        <v>387</v>
      </c>
      <c r="H3781" s="2">
        <v>243206</v>
      </c>
      <c r="I3781" s="1" t="d">
        <v>2023-11-17</v>
      </c>
      <c r="J3781" t="s">
        <v>940</v>
      </c>
      <c r="K3781" s="17" t="s">
        <v>207</v>
      </c>
      <c r="L3781">
        <v>2</v>
      </c>
    </row>
    <row r="3782" spans="1:12" x14ac:dyDescent="0.25">
      <c r="A3782" t="s">
        <v>7781</v>
      </c>
      <c r="B3782" t="s">
        <v>470</v>
      </c>
      <c r="C3782" t="s">
        <v>215</v>
      </c>
      <c r="D3782" t="s">
        <v>23</v>
      </c>
      <c r="E3782">
        <v>22</v>
      </c>
      <c r="F3782" t="s">
        <v>422</v>
      </c>
      <c r="G3782" t="s">
        <v>1117</v>
      </c>
      <c r="H3782" t="s">
        <v>7782</v>
      </c>
      <c r="I3782" s="1" t="d">
        <v>2016-08-07</v>
      </c>
      <c r="J3782" t="s">
        <v>1795</v>
      </c>
      <c r="K3782" s="17" t="s">
        <v>207</v>
      </c>
      <c r="L3782">
        <v>4</v>
      </c>
    </row>
    <row r="3783" spans="1:12" x14ac:dyDescent="0.25">
      <c r="A3783" t="s">
        <v>7783</v>
      </c>
      <c r="B3783" t="s">
        <v>248</v>
      </c>
      <c r="C3783" t="s">
        <v>1901</v>
      </c>
      <c r="D3783" t="s">
        <v>9527</v>
      </c>
      <c r="E3783">
        <v>32</v>
      </c>
      <c r="F3783" t="s">
        <v>31</v>
      </c>
      <c r="G3783" t="s">
        <v>3243</v>
      </c>
      <c r="H3783">
        <v>100522</v>
      </c>
      <c r="I3783" s="1" t="d">
        <v>2021-03-30</v>
      </c>
      <c r="J3783" t="s">
        <v>2138</v>
      </c>
      <c r="K3783" s="17" t="s">
        <v>100</v>
      </c>
      <c r="L3783">
        <v>5</v>
      </c>
    </row>
    <row r="3784" spans="1:12" x14ac:dyDescent="0.25">
      <c r="A3784" t="s">
        <v>7784</v>
      </c>
      <c r="B3784" t="s">
        <v>1086</v>
      </c>
      <c r="C3784" t="s">
        <v>3448</v>
      </c>
      <c r="D3784" t="s">
        <v>23</v>
      </c>
      <c r="E3784">
        <v>48</v>
      </c>
      <c r="F3784" t="s">
        <v>356</v>
      </c>
      <c r="G3784" t="s">
        <v>170</v>
      </c>
      <c r="H3784">
        <v>83501</v>
      </c>
      <c r="I3784" s="1" t="d">
        <v>2006-06-17</v>
      </c>
      <c r="J3784" t="s">
        <v>1091</v>
      </c>
      <c r="K3784" s="17" t="s">
        <v>71</v>
      </c>
      <c r="L3784">
        <v>4</v>
      </c>
    </row>
    <row r="3785" spans="1:12" x14ac:dyDescent="0.25">
      <c r="A3785" t="s">
        <v>7785</v>
      </c>
      <c r="B3785" t="s">
        <v>102</v>
      </c>
      <c r="C3785" t="s">
        <v>830</v>
      </c>
      <c r="D3785" t="s">
        <v>23</v>
      </c>
      <c r="E3785">
        <v>45</v>
      </c>
      <c r="F3785" t="s">
        <v>2771</v>
      </c>
      <c r="G3785" t="s">
        <v>16</v>
      </c>
      <c r="H3785" t="s">
        <v>7786</v>
      </c>
      <c r="I3785" s="1" t="d">
        <v>2010-12-13</v>
      </c>
      <c r="J3785" t="s">
        <v>6540</v>
      </c>
      <c r="K3785" s="17" t="s">
        <v>42</v>
      </c>
      <c r="L3785">
        <v>3</v>
      </c>
    </row>
    <row r="3786" spans="1:12" x14ac:dyDescent="0.25">
      <c r="A3786" t="s">
        <v>7787</v>
      </c>
      <c r="B3786" t="s">
        <v>180</v>
      </c>
      <c r="C3786" t="s">
        <v>2778</v>
      </c>
      <c r="D3786" t="s">
        <v>23</v>
      </c>
      <c r="E3786">
        <v>52</v>
      </c>
      <c r="G3786" t="s">
        <v>191</v>
      </c>
      <c r="H3786" t="s">
        <v>7788</v>
      </c>
      <c r="I3786" s="1" t="d">
        <v>2009-03-16</v>
      </c>
      <c r="J3786" t="s">
        <v>3853</v>
      </c>
      <c r="K3786" s="17" t="s">
        <v>100</v>
      </c>
      <c r="L3786">
        <v>4</v>
      </c>
    </row>
    <row r="3787" spans="1:12" x14ac:dyDescent="0.25">
      <c r="A3787" t="s">
        <v>7789</v>
      </c>
      <c r="B3787" t="s">
        <v>670</v>
      </c>
      <c r="C3787" t="s">
        <v>521</v>
      </c>
      <c r="D3787" t="s">
        <v>9527</v>
      </c>
      <c r="E3787">
        <v>43</v>
      </c>
      <c r="F3787" t="s">
        <v>31</v>
      </c>
      <c r="G3787" t="s">
        <v>504</v>
      </c>
      <c r="H3787" t="s">
        <v>7790</v>
      </c>
      <c r="I3787" s="1" t="d">
        <v>2020-08-30</v>
      </c>
      <c r="J3787" t="s">
        <v>1619</v>
      </c>
      <c r="K3787" s="17" t="s">
        <v>58</v>
      </c>
      <c r="L3787">
        <v>3</v>
      </c>
    </row>
    <row r="3788" spans="1:12" x14ac:dyDescent="0.25">
      <c r="A3788" t="s">
        <v>7791</v>
      </c>
      <c r="B3788" t="s">
        <v>7792</v>
      </c>
      <c r="C3788" t="s">
        <v>252</v>
      </c>
      <c r="D3788" t="s">
        <v>23</v>
      </c>
      <c r="E3788">
        <v>30</v>
      </c>
      <c r="G3788" t="s">
        <v>387</v>
      </c>
      <c r="H3788" s="2">
        <v>157452</v>
      </c>
      <c r="I3788" s="1" t="d">
        <v>2005-01-13</v>
      </c>
      <c r="J3788" t="s">
        <v>798</v>
      </c>
      <c r="K3788" s="17" t="s">
        <v>34</v>
      </c>
      <c r="L3788">
        <v>5</v>
      </c>
    </row>
    <row r="3789" spans="1:12" x14ac:dyDescent="0.25">
      <c r="A3789" t="s">
        <v>7793</v>
      </c>
      <c r="B3789" t="s">
        <v>1888</v>
      </c>
      <c r="C3789" t="s">
        <v>386</v>
      </c>
      <c r="D3789" t="s">
        <v>46</v>
      </c>
      <c r="E3789">
        <v>27</v>
      </c>
      <c r="F3789" t="s">
        <v>54</v>
      </c>
      <c r="G3789" t="s">
        <v>217</v>
      </c>
      <c r="H3789">
        <v>999999</v>
      </c>
      <c r="I3789" s="1" t="d">
        <v>2021-10-09</v>
      </c>
      <c r="J3789" t="s">
        <v>1008</v>
      </c>
      <c r="K3789" s="17" t="s">
        <v>42</v>
      </c>
      <c r="L3789">
        <v>3</v>
      </c>
    </row>
    <row r="3790" spans="1:12" x14ac:dyDescent="0.25">
      <c r="A3790" t="s">
        <v>7794</v>
      </c>
      <c r="B3790" t="s">
        <v>594</v>
      </c>
      <c r="C3790" t="s">
        <v>778</v>
      </c>
      <c r="D3790" t="s">
        <v>46</v>
      </c>
      <c r="E3790">
        <v>21</v>
      </c>
      <c r="F3790" t="s">
        <v>169</v>
      </c>
      <c r="G3790" t="s">
        <v>1828</v>
      </c>
      <c r="H3790" t="s">
        <v>7795</v>
      </c>
      <c r="I3790" s="1" t="d">
        <v>2020-11-04</v>
      </c>
      <c r="J3790" t="s">
        <v>1076</v>
      </c>
      <c r="K3790" s="17" t="s">
        <v>34</v>
      </c>
      <c r="L3790">
        <v>4</v>
      </c>
    </row>
    <row r="3791" spans="1:12" x14ac:dyDescent="0.25">
      <c r="A3791" t="s">
        <v>7796</v>
      </c>
      <c r="B3791" t="s">
        <v>315</v>
      </c>
      <c r="C3791" t="s">
        <v>607</v>
      </c>
      <c r="D3791" t="s">
        <v>23</v>
      </c>
      <c r="E3791">
        <v>42</v>
      </c>
      <c r="F3791" t="s">
        <v>1546</v>
      </c>
      <c r="G3791" t="s">
        <v>39</v>
      </c>
      <c r="H3791" s="2">
        <v>82645</v>
      </c>
      <c r="I3791" s="1" t="d">
        <v>2013-11-20</v>
      </c>
      <c r="J3791" t="s">
        <v>2426</v>
      </c>
      <c r="K3791" s="17" t="s">
        <v>27</v>
      </c>
      <c r="L3791">
        <v>3</v>
      </c>
    </row>
    <row r="3792" spans="1:12" x14ac:dyDescent="0.25">
      <c r="A3792" t="s">
        <v>7797</v>
      </c>
      <c r="B3792" t="s">
        <v>1512</v>
      </c>
      <c r="C3792" t="s">
        <v>474</v>
      </c>
      <c r="D3792" t="s">
        <v>23</v>
      </c>
      <c r="E3792">
        <v>26</v>
      </c>
      <c r="F3792" t="s">
        <v>4781</v>
      </c>
      <c r="G3792" t="s">
        <v>39</v>
      </c>
      <c r="H3792" t="s">
        <v>7798</v>
      </c>
      <c r="I3792" s="1" t="d">
        <v>2007-08-03</v>
      </c>
      <c r="J3792" t="s">
        <v>7799</v>
      </c>
      <c r="K3792" s="17" t="s">
        <v>184</v>
      </c>
      <c r="L3792">
        <v>4</v>
      </c>
    </row>
    <row r="3793" spans="1:12" x14ac:dyDescent="0.25">
      <c r="A3793" t="s">
        <v>7800</v>
      </c>
      <c r="B3793" t="s">
        <v>2041</v>
      </c>
      <c r="C3793" t="s">
        <v>5105</v>
      </c>
      <c r="D3793" t="s">
        <v>23</v>
      </c>
      <c r="E3793">
        <v>58</v>
      </c>
      <c r="F3793" t="s">
        <v>918</v>
      </c>
      <c r="G3793" t="s">
        <v>69</v>
      </c>
      <c r="H3793" s="2">
        <v>94967</v>
      </c>
      <c r="I3793" s="1" t="d">
        <v>2014-01-31</v>
      </c>
      <c r="J3793" t="s">
        <v>3112</v>
      </c>
      <c r="K3793" s="17" t="s">
        <v>149</v>
      </c>
      <c r="L3793">
        <v>3</v>
      </c>
    </row>
    <row r="3794" spans="1:12" x14ac:dyDescent="0.25">
      <c r="A3794" t="s">
        <v>3701</v>
      </c>
      <c r="B3794" t="s">
        <v>520</v>
      </c>
      <c r="C3794" t="s">
        <v>3702</v>
      </c>
      <c r="D3794" t="s">
        <v>9527</v>
      </c>
      <c r="E3794">
        <v>32</v>
      </c>
      <c r="F3794" t="s">
        <v>373</v>
      </c>
      <c r="G3794" t="s">
        <v>39</v>
      </c>
      <c r="H3794">
        <v>93831</v>
      </c>
      <c r="I3794" s="1" t="d">
        <v>2022-11-15</v>
      </c>
      <c r="J3794" t="s">
        <v>1144</v>
      </c>
      <c r="K3794" s="17" t="s">
        <v>118</v>
      </c>
      <c r="L3794">
        <v>5</v>
      </c>
    </row>
    <row r="3795" spans="1:12" x14ac:dyDescent="0.25">
      <c r="A3795" t="s">
        <v>7801</v>
      </c>
      <c r="B3795" t="s">
        <v>335</v>
      </c>
      <c r="C3795" t="s">
        <v>1428</v>
      </c>
      <c r="D3795" t="s">
        <v>9527</v>
      </c>
      <c r="E3795">
        <v>32</v>
      </c>
      <c r="F3795" t="s">
        <v>104</v>
      </c>
      <c r="G3795" t="s">
        <v>48</v>
      </c>
      <c r="H3795" t="s">
        <v>7802</v>
      </c>
      <c r="I3795" s="1" t="d">
        <v>2017-09-02</v>
      </c>
      <c r="J3795" t="s">
        <v>1170</v>
      </c>
      <c r="K3795" s="17" t="s">
        <v>34</v>
      </c>
      <c r="L3795">
        <v>3</v>
      </c>
    </row>
    <row r="3796" spans="1:12" x14ac:dyDescent="0.25">
      <c r="A3796" t="s">
        <v>7803</v>
      </c>
      <c r="B3796" t="s">
        <v>262</v>
      </c>
      <c r="C3796" t="s">
        <v>567</v>
      </c>
      <c r="D3796" t="s">
        <v>23</v>
      </c>
      <c r="E3796">
        <v>28</v>
      </c>
      <c r="F3796" t="s">
        <v>269</v>
      </c>
      <c r="G3796" t="s">
        <v>217</v>
      </c>
      <c r="I3796" s="1" t="d">
        <v>2012-04-07</v>
      </c>
      <c r="J3796" t="s">
        <v>1741</v>
      </c>
      <c r="K3796" s="17" t="s">
        <v>27</v>
      </c>
      <c r="L3796">
        <v>3</v>
      </c>
    </row>
    <row r="3797" spans="1:12" x14ac:dyDescent="0.25">
      <c r="A3797" t="s">
        <v>7804</v>
      </c>
      <c r="B3797" t="s">
        <v>874</v>
      </c>
      <c r="C3797" t="s">
        <v>135</v>
      </c>
      <c r="D3797" t="s">
        <v>23</v>
      </c>
      <c r="E3797">
        <v>51</v>
      </c>
      <c r="F3797" t="s">
        <v>645</v>
      </c>
      <c r="G3797" t="s">
        <v>967</v>
      </c>
      <c r="J3797" t="s">
        <v>5938</v>
      </c>
      <c r="K3797" s="17" t="s">
        <v>207</v>
      </c>
      <c r="L3797">
        <v>3</v>
      </c>
    </row>
    <row r="3798" spans="1:12" x14ac:dyDescent="0.25">
      <c r="A3798" t="s">
        <v>7805</v>
      </c>
      <c r="B3798" t="s">
        <v>1512</v>
      </c>
      <c r="C3798" t="s">
        <v>163</v>
      </c>
      <c r="D3798" t="s">
        <v>9527</v>
      </c>
      <c r="E3798">
        <v>24</v>
      </c>
      <c r="F3798" t="s">
        <v>759</v>
      </c>
      <c r="G3798" t="s">
        <v>32</v>
      </c>
      <c r="H3798">
        <v>42091</v>
      </c>
      <c r="I3798" s="1" t="d">
        <v>2024-09-04</v>
      </c>
      <c r="J3798" t="s">
        <v>836</v>
      </c>
      <c r="K3798" s="17" t="s">
        <v>19</v>
      </c>
      <c r="L3798">
        <v>5</v>
      </c>
    </row>
    <row r="3799" spans="1:12" x14ac:dyDescent="0.25">
      <c r="A3799" t="s">
        <v>7806</v>
      </c>
      <c r="B3799" t="s">
        <v>1086</v>
      </c>
      <c r="C3799" t="s">
        <v>395</v>
      </c>
      <c r="D3799" t="s">
        <v>46</v>
      </c>
      <c r="E3799">
        <v>40</v>
      </c>
      <c r="F3799" t="s">
        <v>24</v>
      </c>
      <c r="G3799" t="s">
        <v>82</v>
      </c>
      <c r="H3799" t="s">
        <v>7807</v>
      </c>
      <c r="I3799" s="1" t="d">
        <v>2019-06-16</v>
      </c>
      <c r="J3799" t="s">
        <v>7808</v>
      </c>
      <c r="K3799" s="17" t="s">
        <v>370</v>
      </c>
      <c r="L3799">
        <v>4</v>
      </c>
    </row>
    <row r="3800" spans="1:12" x14ac:dyDescent="0.25">
      <c r="A3800" t="s">
        <v>7809</v>
      </c>
      <c r="B3800" t="s">
        <v>7810</v>
      </c>
      <c r="C3800" t="s">
        <v>268</v>
      </c>
      <c r="D3800" t="s">
        <v>23</v>
      </c>
      <c r="E3800">
        <v>23</v>
      </c>
      <c r="F3800" t="s">
        <v>356</v>
      </c>
      <c r="G3800" t="s">
        <v>131</v>
      </c>
      <c r="H3800" s="2">
        <v>124703</v>
      </c>
      <c r="I3800" s="1" t="d">
        <v>2016-09-15</v>
      </c>
      <c r="J3800" t="s">
        <v>7811</v>
      </c>
      <c r="K3800" s="17" t="s">
        <v>90</v>
      </c>
      <c r="L3800">
        <v>4</v>
      </c>
    </row>
    <row r="3801" spans="1:12" x14ac:dyDescent="0.25">
      <c r="A3801" t="s">
        <v>7812</v>
      </c>
      <c r="B3801" t="s">
        <v>563</v>
      </c>
      <c r="C3801" t="s">
        <v>306</v>
      </c>
      <c r="D3801" t="s">
        <v>9527</v>
      </c>
      <c r="E3801">
        <v>33</v>
      </c>
      <c r="F3801" t="s">
        <v>2065</v>
      </c>
      <c r="G3801" t="s">
        <v>1719</v>
      </c>
      <c r="H3801" s="2">
        <v>84222</v>
      </c>
      <c r="I3801" s="1" t="d">
        <v>2013-10-23</v>
      </c>
      <c r="J3801" t="s">
        <v>1152</v>
      </c>
      <c r="K3801" s="17" t="s">
        <v>71</v>
      </c>
      <c r="L3801">
        <v>3</v>
      </c>
    </row>
    <row r="3802" spans="1:12" x14ac:dyDescent="0.25">
      <c r="A3802" t="s">
        <v>7813</v>
      </c>
      <c r="B3802" t="s">
        <v>199</v>
      </c>
      <c r="C3802" t="s">
        <v>263</v>
      </c>
      <c r="D3802" t="s">
        <v>9527</v>
      </c>
      <c r="E3802">
        <v>36</v>
      </c>
      <c r="F3802" t="s">
        <v>153</v>
      </c>
      <c r="G3802" t="s">
        <v>1860</v>
      </c>
      <c r="H3802">
        <v>71772</v>
      </c>
      <c r="I3802" s="1" t="d">
        <v>2005-07-18</v>
      </c>
      <c r="J3802" t="s">
        <v>265</v>
      </c>
      <c r="K3802" s="17" t="s">
        <v>118</v>
      </c>
      <c r="L3802">
        <v>3</v>
      </c>
    </row>
    <row r="3803" spans="1:12" x14ac:dyDescent="0.25">
      <c r="A3803" t="s">
        <v>7814</v>
      </c>
      <c r="B3803" t="s">
        <v>1096</v>
      </c>
      <c r="C3803" t="s">
        <v>1770</v>
      </c>
      <c r="D3803" t="s">
        <v>46</v>
      </c>
      <c r="E3803">
        <v>37</v>
      </c>
      <c r="F3803" t="s">
        <v>576</v>
      </c>
      <c r="G3803" t="s">
        <v>182</v>
      </c>
      <c r="H3803">
        <v>169167</v>
      </c>
      <c r="I3803" s="1" t="d">
        <v>2006-06-24</v>
      </c>
      <c r="J3803" t="s">
        <v>7815</v>
      </c>
      <c r="K3803" s="17" t="s">
        <v>58</v>
      </c>
      <c r="L3803">
        <v>4</v>
      </c>
    </row>
    <row r="3804" spans="1:12" x14ac:dyDescent="0.25">
      <c r="A3804" t="s">
        <v>7816</v>
      </c>
      <c r="B3804" t="s">
        <v>448</v>
      </c>
      <c r="C3804" t="s">
        <v>7817</v>
      </c>
      <c r="D3804" t="s">
        <v>46</v>
      </c>
      <c r="E3804">
        <v>42</v>
      </c>
      <c r="F3804" t="s">
        <v>169</v>
      </c>
      <c r="G3804" t="s">
        <v>1719</v>
      </c>
      <c r="H3804" t="s">
        <v>7818</v>
      </c>
      <c r="I3804" s="1" t="d">
        <v>2013-06-15</v>
      </c>
      <c r="J3804" t="s">
        <v>6607</v>
      </c>
      <c r="K3804" s="17" t="s">
        <v>42</v>
      </c>
      <c r="L3804">
        <v>2</v>
      </c>
    </row>
    <row r="3805" spans="1:12" x14ac:dyDescent="0.25">
      <c r="A3805" t="s">
        <v>7819</v>
      </c>
      <c r="B3805" t="s">
        <v>5009</v>
      </c>
      <c r="C3805" t="s">
        <v>215</v>
      </c>
      <c r="D3805" t="s">
        <v>9527</v>
      </c>
      <c r="E3805">
        <v>34</v>
      </c>
      <c r="F3805" t="s">
        <v>81</v>
      </c>
      <c r="G3805" t="s">
        <v>614</v>
      </c>
      <c r="H3805" t="s">
        <v>7820</v>
      </c>
      <c r="I3805" s="1" t="d">
        <v>2008-05-01</v>
      </c>
      <c r="J3805" t="s">
        <v>1456</v>
      </c>
      <c r="K3805" s="17" t="s">
        <v>50</v>
      </c>
      <c r="L3805">
        <v>4</v>
      </c>
    </row>
    <row r="3806" spans="1:12" x14ac:dyDescent="0.25">
      <c r="A3806" t="s">
        <v>7821</v>
      </c>
      <c r="B3806" t="s">
        <v>2252</v>
      </c>
      <c r="C3806" t="s">
        <v>3982</v>
      </c>
      <c r="D3806" t="s">
        <v>9527</v>
      </c>
      <c r="E3806">
        <v>41</v>
      </c>
      <c r="F3806" t="s">
        <v>399</v>
      </c>
      <c r="G3806" t="s">
        <v>39</v>
      </c>
      <c r="I3806" s="1" t="d">
        <v>2022-02-01</v>
      </c>
      <c r="J3806" t="s">
        <v>5680</v>
      </c>
      <c r="K3806" s="17" t="s">
        <v>42</v>
      </c>
      <c r="L3806">
        <v>4</v>
      </c>
    </row>
    <row r="3807" spans="1:12" x14ac:dyDescent="0.25">
      <c r="A3807" t="s">
        <v>7822</v>
      </c>
      <c r="B3807" t="s">
        <v>448</v>
      </c>
      <c r="C3807" t="s">
        <v>2860</v>
      </c>
      <c r="D3807" t="s">
        <v>23</v>
      </c>
      <c r="E3807">
        <v>25</v>
      </c>
      <c r="F3807" t="s">
        <v>1116</v>
      </c>
      <c r="G3807" t="s">
        <v>7823</v>
      </c>
      <c r="H3807" t="s">
        <v>7824</v>
      </c>
      <c r="I3807" s="1" t="d">
        <v>2007-09-11</v>
      </c>
      <c r="J3807" t="s">
        <v>2930</v>
      </c>
      <c r="K3807" s="17" t="s">
        <v>19</v>
      </c>
      <c r="L3807">
        <v>2</v>
      </c>
    </row>
    <row r="3808" spans="1:12" x14ac:dyDescent="0.25">
      <c r="A3808" t="s">
        <v>7825</v>
      </c>
      <c r="B3808" t="s">
        <v>7826</v>
      </c>
      <c r="C3808" t="s">
        <v>7827</v>
      </c>
      <c r="D3808" t="s">
        <v>9527</v>
      </c>
      <c r="E3808">
        <v>39</v>
      </c>
      <c r="F3808" t="s">
        <v>38</v>
      </c>
      <c r="G3808" t="s">
        <v>337</v>
      </c>
      <c r="H3808" t="s">
        <v>7828</v>
      </c>
      <c r="I3808" s="1" t="d">
        <v>2008-03-12</v>
      </c>
      <c r="J3808" t="s">
        <v>7280</v>
      </c>
      <c r="K3808" s="17" t="s">
        <v>149</v>
      </c>
      <c r="L3808">
        <v>4</v>
      </c>
    </row>
    <row r="3809" spans="1:12" x14ac:dyDescent="0.25">
      <c r="A3809" t="s">
        <v>7829</v>
      </c>
      <c r="B3809" t="s">
        <v>221</v>
      </c>
      <c r="C3809" t="s">
        <v>7830</v>
      </c>
      <c r="D3809" t="s">
        <v>9527</v>
      </c>
      <c r="E3809">
        <v>41</v>
      </c>
      <c r="F3809" t="s">
        <v>589</v>
      </c>
      <c r="G3809" t="s">
        <v>278</v>
      </c>
      <c r="H3809" t="s">
        <v>7831</v>
      </c>
      <c r="I3809" s="1" t="d">
        <v>2023-01-14</v>
      </c>
      <c r="J3809" t="s">
        <v>4060</v>
      </c>
      <c r="K3809" s="17" t="s">
        <v>207</v>
      </c>
      <c r="L3809">
        <v>3</v>
      </c>
    </row>
    <row r="3810" spans="1:12" x14ac:dyDescent="0.25">
      <c r="A3810" t="s">
        <v>7832</v>
      </c>
      <c r="B3810" t="s">
        <v>1784</v>
      </c>
      <c r="C3810" t="s">
        <v>195</v>
      </c>
      <c r="D3810" t="s">
        <v>23</v>
      </c>
      <c r="E3810">
        <v>56</v>
      </c>
      <c r="F3810" t="s">
        <v>1950</v>
      </c>
      <c r="G3810" t="s">
        <v>115</v>
      </c>
      <c r="H3810" t="s">
        <v>7833</v>
      </c>
      <c r="I3810" s="1" t="d">
        <v>2018-03-04</v>
      </c>
      <c r="J3810" t="s">
        <v>2964</v>
      </c>
      <c r="K3810" s="17" t="s">
        <v>370</v>
      </c>
      <c r="L3810">
        <v>3</v>
      </c>
    </row>
    <row r="3811" spans="1:12" x14ac:dyDescent="0.25">
      <c r="A3811" t="s">
        <v>7834</v>
      </c>
      <c r="B3811" t="s">
        <v>6400</v>
      </c>
      <c r="C3811" t="s">
        <v>318</v>
      </c>
      <c r="D3811" t="s">
        <v>23</v>
      </c>
      <c r="E3811">
        <v>47</v>
      </c>
      <c r="F3811" t="s">
        <v>153</v>
      </c>
      <c r="G3811" t="s">
        <v>357</v>
      </c>
      <c r="I3811" s="1" t="d">
        <v>2024-10-24</v>
      </c>
      <c r="J3811" t="s">
        <v>4795</v>
      </c>
      <c r="K3811" s="17" t="s">
        <v>58</v>
      </c>
      <c r="L3811">
        <v>3</v>
      </c>
    </row>
    <row r="3812" spans="1:12" x14ac:dyDescent="0.25">
      <c r="A3812" t="s">
        <v>1012</v>
      </c>
      <c r="B3812" t="s">
        <v>144</v>
      </c>
      <c r="C3812" t="s">
        <v>252</v>
      </c>
      <c r="D3812" t="s">
        <v>46</v>
      </c>
      <c r="E3812">
        <v>52</v>
      </c>
      <c r="F3812" t="s">
        <v>365</v>
      </c>
      <c r="G3812" t="s">
        <v>212</v>
      </c>
      <c r="H3812" s="2">
        <v>63513</v>
      </c>
      <c r="I3812" s="1" t="d">
        <v>2018-03-19</v>
      </c>
      <c r="J3812" t="s">
        <v>619</v>
      </c>
      <c r="K3812" s="17" t="s">
        <v>184</v>
      </c>
      <c r="L3812">
        <v>4</v>
      </c>
    </row>
    <row r="3813" spans="1:12" x14ac:dyDescent="0.25">
      <c r="A3813" t="s">
        <v>7835</v>
      </c>
      <c r="B3813" t="s">
        <v>1342</v>
      </c>
      <c r="C3813" t="s">
        <v>1356</v>
      </c>
      <c r="D3813" t="s">
        <v>46</v>
      </c>
      <c r="E3813">
        <v>55</v>
      </c>
      <c r="F3813" t="s">
        <v>68</v>
      </c>
      <c r="G3813" t="s">
        <v>48</v>
      </c>
      <c r="H3813" t="s">
        <v>7836</v>
      </c>
      <c r="I3813" s="1" t="d">
        <v>2011-08-29</v>
      </c>
      <c r="J3813" t="s">
        <v>4652</v>
      </c>
      <c r="K3813" s="17" t="s">
        <v>42</v>
      </c>
      <c r="L3813">
        <v>5</v>
      </c>
    </row>
    <row r="3814" spans="1:12" x14ac:dyDescent="0.25">
      <c r="A3814" t="s">
        <v>7837</v>
      </c>
      <c r="B3814" t="s">
        <v>1241</v>
      </c>
      <c r="C3814" t="s">
        <v>324</v>
      </c>
      <c r="D3814" t="s">
        <v>46</v>
      </c>
      <c r="E3814">
        <v>36</v>
      </c>
      <c r="G3814" t="s">
        <v>39</v>
      </c>
      <c r="H3814" t="s">
        <v>7838</v>
      </c>
      <c r="I3814" s="1" t="d">
        <v>2011-04-08</v>
      </c>
      <c r="J3814" t="s">
        <v>4643</v>
      </c>
      <c r="K3814" s="17" t="s">
        <v>58</v>
      </c>
      <c r="L3814">
        <v>4</v>
      </c>
    </row>
    <row r="3815" spans="1:12" x14ac:dyDescent="0.25">
      <c r="A3815" t="s">
        <v>7839</v>
      </c>
      <c r="B3815" t="s">
        <v>684</v>
      </c>
      <c r="C3815" t="s">
        <v>107</v>
      </c>
      <c r="D3815" t="s">
        <v>23</v>
      </c>
      <c r="E3815">
        <v>21</v>
      </c>
      <c r="F3815" t="s">
        <v>319</v>
      </c>
      <c r="G3815" t="s">
        <v>109</v>
      </c>
      <c r="I3815" s="1" t="d">
        <v>2006-06-14</v>
      </c>
      <c r="J3815" t="s">
        <v>110</v>
      </c>
      <c r="K3815" s="17" t="s">
        <v>58</v>
      </c>
      <c r="L3815">
        <v>2</v>
      </c>
    </row>
    <row r="3816" spans="1:12" x14ac:dyDescent="0.25">
      <c r="A3816" t="s">
        <v>7840</v>
      </c>
      <c r="B3816" t="s">
        <v>3914</v>
      </c>
      <c r="C3816" t="s">
        <v>7841</v>
      </c>
      <c r="D3816" t="s">
        <v>46</v>
      </c>
      <c r="E3816">
        <v>41</v>
      </c>
      <c r="F3816" t="s">
        <v>277</v>
      </c>
      <c r="G3816" t="s">
        <v>170</v>
      </c>
      <c r="H3816" s="2">
        <v>60823</v>
      </c>
      <c r="I3816" s="1" t="d">
        <v>2011-06-12</v>
      </c>
      <c r="J3816" t="s">
        <v>4730</v>
      </c>
      <c r="K3816" s="17" t="s">
        <v>184</v>
      </c>
      <c r="L3816">
        <v>5</v>
      </c>
    </row>
    <row r="3817" spans="1:12" x14ac:dyDescent="0.25">
      <c r="A3817" t="s">
        <v>7842</v>
      </c>
      <c r="B3817" t="s">
        <v>594</v>
      </c>
      <c r="C3817" t="s">
        <v>1494</v>
      </c>
      <c r="D3817" t="s">
        <v>23</v>
      </c>
      <c r="E3817">
        <v>41</v>
      </c>
      <c r="F3817" t="s">
        <v>1195</v>
      </c>
      <c r="G3817" t="s">
        <v>278</v>
      </c>
      <c r="H3817" s="2">
        <v>104517</v>
      </c>
      <c r="I3817" s="1" t="d">
        <v>2018-08-14</v>
      </c>
      <c r="J3817" t="s">
        <v>1840</v>
      </c>
      <c r="K3817" s="17" t="s">
        <v>118</v>
      </c>
      <c r="L3817">
        <v>3</v>
      </c>
    </row>
    <row r="3818" spans="1:12" x14ac:dyDescent="0.25">
      <c r="A3818" t="s">
        <v>7843</v>
      </c>
      <c r="B3818" t="s">
        <v>6169</v>
      </c>
      <c r="C3818" t="s">
        <v>4031</v>
      </c>
      <c r="D3818" t="s">
        <v>9527</v>
      </c>
      <c r="E3818">
        <v>34</v>
      </c>
      <c r="F3818" t="s">
        <v>31</v>
      </c>
      <c r="G3818" t="s">
        <v>82</v>
      </c>
      <c r="H3818" s="2">
        <v>38061</v>
      </c>
      <c r="I3818" s="1" t="d">
        <v>2015-09-08</v>
      </c>
      <c r="J3818" t="s">
        <v>3885</v>
      </c>
      <c r="K3818" s="17" t="s">
        <v>42</v>
      </c>
      <c r="L3818">
        <v>4</v>
      </c>
    </row>
    <row r="3819" spans="1:12" x14ac:dyDescent="0.25">
      <c r="A3819" t="s">
        <v>7844</v>
      </c>
      <c r="B3819" t="s">
        <v>563</v>
      </c>
      <c r="C3819" t="s">
        <v>145</v>
      </c>
      <c r="D3819" t="s">
        <v>23</v>
      </c>
      <c r="E3819">
        <v>51</v>
      </c>
      <c r="F3819" t="s">
        <v>296</v>
      </c>
      <c r="G3819" t="s">
        <v>55</v>
      </c>
      <c r="I3819" s="1" t="d">
        <v>2015-10-19</v>
      </c>
      <c r="J3819" t="s">
        <v>1591</v>
      </c>
      <c r="K3819" s="17" t="s">
        <v>58</v>
      </c>
      <c r="L3819">
        <v>3</v>
      </c>
    </row>
    <row r="3820" spans="1:12" x14ac:dyDescent="0.25">
      <c r="A3820" t="s">
        <v>7845</v>
      </c>
      <c r="B3820" t="s">
        <v>999</v>
      </c>
      <c r="C3820" t="s">
        <v>1146</v>
      </c>
      <c r="D3820" t="s">
        <v>9527</v>
      </c>
      <c r="E3820">
        <v>47</v>
      </c>
      <c r="F3820" t="s">
        <v>211</v>
      </c>
      <c r="G3820" t="s">
        <v>39</v>
      </c>
      <c r="H3820" t="s">
        <v>7846</v>
      </c>
      <c r="I3820" s="1" t="d">
        <v>2024-11-21</v>
      </c>
      <c r="J3820" t="s">
        <v>1736</v>
      </c>
      <c r="K3820" s="17" t="s">
        <v>27</v>
      </c>
      <c r="L3820">
        <v>4</v>
      </c>
    </row>
    <row r="3821" spans="1:12" x14ac:dyDescent="0.25">
      <c r="A3821" t="s">
        <v>7847</v>
      </c>
      <c r="B3821" t="s">
        <v>709</v>
      </c>
      <c r="C3821" t="s">
        <v>286</v>
      </c>
      <c r="D3821" t="s">
        <v>46</v>
      </c>
      <c r="E3821">
        <v>35</v>
      </c>
      <c r="F3821" t="s">
        <v>3829</v>
      </c>
      <c r="G3821" t="s">
        <v>48</v>
      </c>
      <c r="H3821">
        <v>50511</v>
      </c>
      <c r="I3821" s="1" t="d">
        <v>2012-12-17</v>
      </c>
      <c r="J3821" t="s">
        <v>7373</v>
      </c>
      <c r="K3821" s="17" t="s">
        <v>42</v>
      </c>
      <c r="L3821">
        <v>4</v>
      </c>
    </row>
    <row r="3822" spans="1:12" x14ac:dyDescent="0.25">
      <c r="A3822" t="s">
        <v>7848</v>
      </c>
      <c r="B3822" t="s">
        <v>874</v>
      </c>
      <c r="C3822" t="s">
        <v>361</v>
      </c>
      <c r="D3822" t="s">
        <v>46</v>
      </c>
      <c r="E3822">
        <v>40</v>
      </c>
      <c r="G3822" t="s">
        <v>115</v>
      </c>
      <c r="H3822">
        <v>82631</v>
      </c>
      <c r="I3822" s="1" t="d">
        <v>2022-08-07</v>
      </c>
      <c r="J3822" t="s">
        <v>2570</v>
      </c>
      <c r="K3822" s="17" t="s">
        <v>149</v>
      </c>
      <c r="L3822">
        <v>5</v>
      </c>
    </row>
    <row r="3823" spans="1:12" x14ac:dyDescent="0.25">
      <c r="A3823" t="s">
        <v>7849</v>
      </c>
      <c r="B3823" t="s">
        <v>2517</v>
      </c>
      <c r="C3823" t="s">
        <v>521</v>
      </c>
      <c r="D3823" t="s">
        <v>46</v>
      </c>
      <c r="E3823">
        <v>36</v>
      </c>
      <c r="F3823" t="s">
        <v>422</v>
      </c>
      <c r="G3823" t="s">
        <v>212</v>
      </c>
      <c r="H3823" t="s">
        <v>7850</v>
      </c>
      <c r="I3823" s="1" t="d">
        <v>2017-08-18</v>
      </c>
      <c r="J3823" t="s">
        <v>362</v>
      </c>
      <c r="K3823" s="17" t="s">
        <v>100</v>
      </c>
      <c r="L3823">
        <v>3</v>
      </c>
    </row>
    <row r="3824" spans="1:12" x14ac:dyDescent="0.25">
      <c r="A3824" t="s">
        <v>7851</v>
      </c>
      <c r="B3824" t="s">
        <v>7524</v>
      </c>
      <c r="C3824" t="s">
        <v>168</v>
      </c>
      <c r="D3824" t="s">
        <v>9527</v>
      </c>
      <c r="E3824">
        <v>26</v>
      </c>
      <c r="G3824" t="s">
        <v>205</v>
      </c>
      <c r="H3824">
        <v>86040</v>
      </c>
      <c r="I3824" s="1" t="d">
        <v>2012-02-17</v>
      </c>
      <c r="J3824" t="s">
        <v>3325</v>
      </c>
      <c r="K3824" s="17" t="s">
        <v>207</v>
      </c>
      <c r="L3824">
        <v>3</v>
      </c>
    </row>
    <row r="3825" spans="1:12" x14ac:dyDescent="0.25">
      <c r="A3825" t="s">
        <v>7852</v>
      </c>
      <c r="B3825" t="s">
        <v>945</v>
      </c>
      <c r="C3825" t="s">
        <v>555</v>
      </c>
      <c r="D3825" t="s">
        <v>9527</v>
      </c>
      <c r="E3825">
        <v>22</v>
      </c>
      <c r="F3825" t="s">
        <v>4397</v>
      </c>
      <c r="G3825" t="s">
        <v>182</v>
      </c>
      <c r="H3825">
        <v>85770</v>
      </c>
      <c r="I3825" s="1" t="d">
        <v>2009-06-24</v>
      </c>
      <c r="J3825" t="s">
        <v>5233</v>
      </c>
      <c r="K3825" s="17" t="s">
        <v>19</v>
      </c>
      <c r="L3825">
        <v>4</v>
      </c>
    </row>
    <row r="3826" spans="1:12" x14ac:dyDescent="0.25">
      <c r="A3826" t="s">
        <v>7853</v>
      </c>
      <c r="B3826" t="s">
        <v>86</v>
      </c>
      <c r="C3826" t="s">
        <v>2023</v>
      </c>
      <c r="D3826" t="s">
        <v>9527</v>
      </c>
      <c r="E3826">
        <v>46</v>
      </c>
      <c r="F3826" t="s">
        <v>200</v>
      </c>
      <c r="G3826" t="s">
        <v>39</v>
      </c>
      <c r="H3826">
        <v>91963</v>
      </c>
      <c r="I3826" s="1" t="d">
        <v>2009-04-06</v>
      </c>
      <c r="J3826" t="s">
        <v>2025</v>
      </c>
      <c r="K3826" s="17" t="s">
        <v>27</v>
      </c>
      <c r="L3826">
        <v>4</v>
      </c>
    </row>
    <row r="3827" spans="1:12" x14ac:dyDescent="0.25">
      <c r="A3827" t="s">
        <v>3161</v>
      </c>
      <c r="B3827" t="s">
        <v>120</v>
      </c>
      <c r="C3827" t="s">
        <v>237</v>
      </c>
      <c r="D3827" t="s">
        <v>23</v>
      </c>
      <c r="E3827">
        <v>29</v>
      </c>
      <c r="F3827" t="s">
        <v>253</v>
      </c>
      <c r="G3827" t="s">
        <v>212</v>
      </c>
      <c r="H3827" t="s">
        <v>3162</v>
      </c>
      <c r="I3827" s="1" t="d">
        <v>2011-02-13</v>
      </c>
      <c r="J3827" t="s">
        <v>241</v>
      </c>
      <c r="K3827" s="17" t="s">
        <v>34</v>
      </c>
      <c r="L3827">
        <v>1</v>
      </c>
    </row>
    <row r="3828" spans="1:12" x14ac:dyDescent="0.25">
      <c r="A3828" t="s">
        <v>1045</v>
      </c>
      <c r="B3828" t="s">
        <v>134</v>
      </c>
      <c r="C3828" t="s">
        <v>204</v>
      </c>
      <c r="D3828" t="s">
        <v>23</v>
      </c>
      <c r="E3828">
        <v>45</v>
      </c>
      <c r="F3828" t="s">
        <v>666</v>
      </c>
      <c r="G3828" t="s">
        <v>1046</v>
      </c>
      <c r="I3828" s="1" t="d">
        <v>2011-03-14</v>
      </c>
      <c r="J3828" t="s">
        <v>1047</v>
      </c>
      <c r="K3828" s="17" t="s">
        <v>118</v>
      </c>
      <c r="L3828">
        <v>4</v>
      </c>
    </row>
    <row r="3829" spans="1:12" x14ac:dyDescent="0.25">
      <c r="A3829" t="s">
        <v>7854</v>
      </c>
      <c r="B3829" t="s">
        <v>251</v>
      </c>
      <c r="C3829" t="s">
        <v>584</v>
      </c>
      <c r="D3829" t="s">
        <v>9527</v>
      </c>
      <c r="E3829">
        <v>42</v>
      </c>
      <c r="F3829" t="s">
        <v>373</v>
      </c>
      <c r="G3829" t="s">
        <v>32</v>
      </c>
      <c r="H3829" t="s">
        <v>7855</v>
      </c>
      <c r="I3829" s="1" t="d">
        <v>2015-08-09</v>
      </c>
      <c r="J3829" t="s">
        <v>2776</v>
      </c>
      <c r="K3829" s="17" t="s">
        <v>370</v>
      </c>
      <c r="L3829">
        <v>4</v>
      </c>
    </row>
    <row r="3830" spans="1:12" x14ac:dyDescent="0.25">
      <c r="A3830" t="s">
        <v>7856</v>
      </c>
      <c r="B3830" t="s">
        <v>267</v>
      </c>
      <c r="C3830" t="s">
        <v>2064</v>
      </c>
      <c r="D3830" t="s">
        <v>9527</v>
      </c>
      <c r="E3830">
        <v>62</v>
      </c>
      <c r="F3830" t="s">
        <v>918</v>
      </c>
      <c r="G3830" t="s">
        <v>48</v>
      </c>
      <c r="H3830" t="s">
        <v>7857</v>
      </c>
      <c r="J3830" t="s">
        <v>4472</v>
      </c>
      <c r="K3830" s="17" t="s">
        <v>184</v>
      </c>
      <c r="L3830">
        <v>4</v>
      </c>
    </row>
    <row r="3831" spans="1:12" x14ac:dyDescent="0.25">
      <c r="A3831" t="s">
        <v>7858</v>
      </c>
      <c r="B3831" t="s">
        <v>999</v>
      </c>
      <c r="C3831" t="s">
        <v>540</v>
      </c>
      <c r="D3831" t="s">
        <v>46</v>
      </c>
      <c r="E3831">
        <v>47</v>
      </c>
      <c r="F3831" t="s">
        <v>918</v>
      </c>
      <c r="G3831" t="s">
        <v>16</v>
      </c>
      <c r="H3831" t="s">
        <v>7859</v>
      </c>
      <c r="I3831" s="1" t="d">
        <v>2008-06-30</v>
      </c>
      <c r="J3831" t="s">
        <v>2675</v>
      </c>
      <c r="K3831" s="17" t="s">
        <v>50</v>
      </c>
      <c r="L3831">
        <v>4</v>
      </c>
    </row>
    <row r="3832" spans="1:12" x14ac:dyDescent="0.25">
      <c r="A3832" t="s">
        <v>7860</v>
      </c>
      <c r="B3832" t="s">
        <v>846</v>
      </c>
      <c r="C3832" t="s">
        <v>210</v>
      </c>
      <c r="D3832" t="s">
        <v>46</v>
      </c>
      <c r="E3832">
        <v>45</v>
      </c>
      <c r="F3832" t="s">
        <v>2904</v>
      </c>
      <c r="G3832" t="s">
        <v>141</v>
      </c>
      <c r="H3832" t="s">
        <v>7861</v>
      </c>
      <c r="I3832" s="1" t="d">
        <v>2008-06-29</v>
      </c>
      <c r="J3832" t="s">
        <v>6944</v>
      </c>
      <c r="K3832" s="17" t="s">
        <v>50</v>
      </c>
      <c r="L3832">
        <v>1</v>
      </c>
    </row>
    <row r="3833" spans="1:12" x14ac:dyDescent="0.25">
      <c r="A3833" t="s">
        <v>7862</v>
      </c>
      <c r="B3833" t="s">
        <v>262</v>
      </c>
      <c r="C3833" t="s">
        <v>1320</v>
      </c>
      <c r="D3833" t="s">
        <v>9527</v>
      </c>
      <c r="E3833">
        <v>33</v>
      </c>
      <c r="F3833" t="s">
        <v>216</v>
      </c>
      <c r="G3833" t="s">
        <v>39</v>
      </c>
      <c r="I3833" s="1" t="d">
        <v>2017-03-02</v>
      </c>
      <c r="J3833" t="s">
        <v>1391</v>
      </c>
      <c r="K3833" s="17" t="s">
        <v>90</v>
      </c>
      <c r="L3833">
        <v>4</v>
      </c>
    </row>
    <row r="3834" spans="1:12" x14ac:dyDescent="0.25">
      <c r="A3834" t="s">
        <v>7863</v>
      </c>
      <c r="B3834" t="s">
        <v>548</v>
      </c>
      <c r="C3834" t="s">
        <v>805</v>
      </c>
      <c r="D3834" t="s">
        <v>23</v>
      </c>
      <c r="E3834">
        <v>48</v>
      </c>
      <c r="F3834" t="s">
        <v>62</v>
      </c>
      <c r="G3834" t="s">
        <v>1584</v>
      </c>
      <c r="J3834" t="s">
        <v>7864</v>
      </c>
      <c r="K3834" s="17" t="s">
        <v>184</v>
      </c>
      <c r="L3834">
        <v>4</v>
      </c>
    </row>
    <row r="3835" spans="1:12" x14ac:dyDescent="0.25">
      <c r="A3835" t="s">
        <v>7865</v>
      </c>
      <c r="B3835" t="s">
        <v>112</v>
      </c>
      <c r="C3835" t="s">
        <v>1770</v>
      </c>
      <c r="D3835" t="s">
        <v>23</v>
      </c>
      <c r="E3835">
        <v>60</v>
      </c>
      <c r="G3835" t="s">
        <v>1285</v>
      </c>
      <c r="J3835" t="s">
        <v>2325</v>
      </c>
      <c r="K3835" s="17" t="s">
        <v>34</v>
      </c>
      <c r="L3835">
        <v>4</v>
      </c>
    </row>
    <row r="3836" spans="1:12" x14ac:dyDescent="0.25">
      <c r="A3836" t="s">
        <v>7866</v>
      </c>
      <c r="B3836" t="s">
        <v>563</v>
      </c>
      <c r="C3836" t="s">
        <v>225</v>
      </c>
      <c r="D3836" t="s">
        <v>46</v>
      </c>
      <c r="E3836">
        <v>34</v>
      </c>
      <c r="G3836" t="s">
        <v>32</v>
      </c>
      <c r="H3836" t="s">
        <v>7867</v>
      </c>
      <c r="I3836" s="1" t="d">
        <v>2013-08-10</v>
      </c>
      <c r="J3836" t="s">
        <v>3292</v>
      </c>
      <c r="K3836" s="17" t="s">
        <v>90</v>
      </c>
      <c r="L3836">
        <v>3</v>
      </c>
    </row>
    <row r="3837" spans="1:12" x14ac:dyDescent="0.25">
      <c r="A3837" t="s">
        <v>7868</v>
      </c>
      <c r="B3837" t="s">
        <v>174</v>
      </c>
      <c r="C3837" t="s">
        <v>512</v>
      </c>
      <c r="D3837" t="s">
        <v>46</v>
      </c>
      <c r="E3837">
        <v>40</v>
      </c>
      <c r="F3837" t="s">
        <v>1183</v>
      </c>
      <c r="G3837" t="s">
        <v>55</v>
      </c>
      <c r="I3837" s="1" t="d">
        <v>2019-09-19</v>
      </c>
      <c r="J3837" t="s">
        <v>7010</v>
      </c>
      <c r="K3837" s="17" t="s">
        <v>90</v>
      </c>
      <c r="L3837">
        <v>3</v>
      </c>
    </row>
    <row r="3838" spans="1:12" x14ac:dyDescent="0.25">
      <c r="A3838" t="s">
        <v>7869</v>
      </c>
      <c r="B3838" t="s">
        <v>981</v>
      </c>
      <c r="C3838" t="s">
        <v>898</v>
      </c>
      <c r="D3838" t="s">
        <v>46</v>
      </c>
      <c r="E3838">
        <v>21</v>
      </c>
      <c r="F3838" t="s">
        <v>108</v>
      </c>
      <c r="G3838" t="s">
        <v>212</v>
      </c>
      <c r="H3838" t="s">
        <v>7870</v>
      </c>
      <c r="I3838" s="1" t="d">
        <v>2019-09-10</v>
      </c>
      <c r="J3838" t="s">
        <v>3187</v>
      </c>
      <c r="K3838" s="17" t="s">
        <v>34</v>
      </c>
      <c r="L3838">
        <v>2</v>
      </c>
    </row>
    <row r="3839" spans="1:12" x14ac:dyDescent="0.25">
      <c r="A3839" t="s">
        <v>7871</v>
      </c>
      <c r="B3839" t="s">
        <v>92</v>
      </c>
      <c r="C3839" t="s">
        <v>4284</v>
      </c>
      <c r="D3839" t="s">
        <v>46</v>
      </c>
      <c r="E3839">
        <v>59</v>
      </c>
      <c r="F3839" t="s">
        <v>24</v>
      </c>
      <c r="G3839" t="s">
        <v>82</v>
      </c>
      <c r="I3839" s="1" t="d">
        <v>2016-07-08</v>
      </c>
      <c r="J3839" t="s">
        <v>2961</v>
      </c>
      <c r="K3839" s="17" t="s">
        <v>58</v>
      </c>
      <c r="L3839">
        <v>4</v>
      </c>
    </row>
    <row r="3840" spans="1:12" x14ac:dyDescent="0.25">
      <c r="A3840" t="s">
        <v>4552</v>
      </c>
      <c r="B3840" t="s">
        <v>945</v>
      </c>
      <c r="C3840" t="s">
        <v>525</v>
      </c>
      <c r="D3840" t="s">
        <v>46</v>
      </c>
      <c r="E3840">
        <v>52</v>
      </c>
      <c r="F3840" t="s">
        <v>94</v>
      </c>
      <c r="G3840" t="s">
        <v>39</v>
      </c>
      <c r="H3840" t="s">
        <v>7872</v>
      </c>
      <c r="I3840" s="1" t="d">
        <v>2011-06-09</v>
      </c>
      <c r="J3840" t="s">
        <v>3278</v>
      </c>
      <c r="K3840" s="17" t="s">
        <v>90</v>
      </c>
      <c r="L3840">
        <v>3</v>
      </c>
    </row>
    <row r="3841" spans="1:12" x14ac:dyDescent="0.25">
      <c r="A3841" t="s">
        <v>7873</v>
      </c>
      <c r="B3841" t="s">
        <v>162</v>
      </c>
      <c r="C3841" t="s">
        <v>7874</v>
      </c>
      <c r="D3841" t="s">
        <v>46</v>
      </c>
      <c r="E3841">
        <v>31</v>
      </c>
      <c r="F3841" t="s">
        <v>559</v>
      </c>
      <c r="G3841" t="s">
        <v>1446</v>
      </c>
      <c r="H3841" t="s">
        <v>7875</v>
      </c>
      <c r="I3841" s="1" t="d">
        <v>2008-09-29</v>
      </c>
      <c r="J3841" t="s">
        <v>1483</v>
      </c>
      <c r="K3841" s="17" t="s">
        <v>58</v>
      </c>
      <c r="L3841">
        <v>4</v>
      </c>
    </row>
    <row r="3842" spans="1:12" x14ac:dyDescent="0.25">
      <c r="A3842" t="s">
        <v>7876</v>
      </c>
      <c r="B3842" t="s">
        <v>826</v>
      </c>
      <c r="C3842" t="s">
        <v>1442</v>
      </c>
      <c r="D3842" t="s">
        <v>23</v>
      </c>
      <c r="E3842">
        <v>41</v>
      </c>
      <c r="F3842" t="s">
        <v>373</v>
      </c>
      <c r="G3842" t="s">
        <v>217</v>
      </c>
      <c r="H3842" t="s">
        <v>7877</v>
      </c>
      <c r="I3842" s="1" t="d">
        <v>2015-05-02</v>
      </c>
      <c r="J3842" t="s">
        <v>7531</v>
      </c>
      <c r="K3842" s="17" t="s">
        <v>58</v>
      </c>
      <c r="L3842">
        <v>4</v>
      </c>
    </row>
    <row r="3843" spans="1:12" x14ac:dyDescent="0.25">
      <c r="A3843" t="s">
        <v>7878</v>
      </c>
      <c r="B3843" t="s">
        <v>86</v>
      </c>
      <c r="C3843" t="s">
        <v>336</v>
      </c>
      <c r="D3843" t="s">
        <v>46</v>
      </c>
      <c r="E3843">
        <v>32</v>
      </c>
      <c r="F3843" t="s">
        <v>75</v>
      </c>
      <c r="G3843" t="s">
        <v>1130</v>
      </c>
      <c r="I3843" s="1" t="d">
        <v>2022-04-02</v>
      </c>
      <c r="J3843" t="s">
        <v>657</v>
      </c>
      <c r="K3843" s="17" t="s">
        <v>58</v>
      </c>
      <c r="L3843">
        <v>3</v>
      </c>
    </row>
    <row r="3844" spans="1:12" x14ac:dyDescent="0.25">
      <c r="A3844" t="s">
        <v>7879</v>
      </c>
      <c r="B3844" t="s">
        <v>311</v>
      </c>
      <c r="C3844" t="s">
        <v>961</v>
      </c>
      <c r="D3844" t="s">
        <v>46</v>
      </c>
      <c r="E3844">
        <v>59</v>
      </c>
      <c r="F3844" t="s">
        <v>54</v>
      </c>
      <c r="G3844" t="s">
        <v>39</v>
      </c>
      <c r="H3844" s="2">
        <v>52071</v>
      </c>
      <c r="I3844" s="1" t="d">
        <v>2023-06-10</v>
      </c>
      <c r="J3844" t="s">
        <v>5107</v>
      </c>
      <c r="K3844" s="17" t="s">
        <v>100</v>
      </c>
      <c r="L3844">
        <v>2</v>
      </c>
    </row>
    <row r="3845" spans="1:12" x14ac:dyDescent="0.25">
      <c r="A3845" t="s">
        <v>7880</v>
      </c>
      <c r="B3845" t="s">
        <v>151</v>
      </c>
      <c r="C3845" t="s">
        <v>195</v>
      </c>
      <c r="D3845" t="s">
        <v>46</v>
      </c>
      <c r="E3845">
        <v>36</v>
      </c>
      <c r="F3845" t="s">
        <v>62</v>
      </c>
      <c r="G3845" t="s">
        <v>1164</v>
      </c>
      <c r="H3845" t="s">
        <v>7881</v>
      </c>
      <c r="I3845" s="1" t="d">
        <v>2005-05-10</v>
      </c>
      <c r="J3845" t="s">
        <v>6817</v>
      </c>
      <c r="K3845" s="17" t="s">
        <v>34</v>
      </c>
      <c r="L3845">
        <v>3</v>
      </c>
    </row>
    <row r="3846" spans="1:12" x14ac:dyDescent="0.25">
      <c r="A3846" t="s">
        <v>7882</v>
      </c>
      <c r="B3846" t="s">
        <v>906</v>
      </c>
      <c r="C3846" t="s">
        <v>381</v>
      </c>
      <c r="D3846" t="s">
        <v>23</v>
      </c>
      <c r="E3846">
        <v>25</v>
      </c>
      <c r="F3846" t="s">
        <v>230</v>
      </c>
      <c r="G3846" t="s">
        <v>16</v>
      </c>
      <c r="H3846" s="2">
        <v>83564</v>
      </c>
      <c r="I3846" s="1" t="d">
        <v>2009-07-14</v>
      </c>
      <c r="J3846" t="s">
        <v>2687</v>
      </c>
      <c r="K3846" s="17" t="s">
        <v>19</v>
      </c>
      <c r="L3846">
        <v>3</v>
      </c>
    </row>
    <row r="3847" spans="1:12" x14ac:dyDescent="0.25">
      <c r="A3847" t="s">
        <v>7883</v>
      </c>
      <c r="B3847" t="s">
        <v>548</v>
      </c>
      <c r="C3847" t="s">
        <v>1266</v>
      </c>
      <c r="D3847" t="s">
        <v>9527</v>
      </c>
      <c r="E3847">
        <v>50</v>
      </c>
      <c r="F3847" t="s">
        <v>68</v>
      </c>
      <c r="G3847" t="s">
        <v>231</v>
      </c>
      <c r="H3847" t="s">
        <v>7884</v>
      </c>
      <c r="I3847" s="1" t="d">
        <v>2016-02-24</v>
      </c>
      <c r="J3847" t="s">
        <v>3953</v>
      </c>
      <c r="K3847" s="17" t="s">
        <v>42</v>
      </c>
      <c r="L3847">
        <v>4</v>
      </c>
    </row>
    <row r="3848" spans="1:12" x14ac:dyDescent="0.25">
      <c r="A3848" t="s">
        <v>7885</v>
      </c>
      <c r="B3848" t="s">
        <v>728</v>
      </c>
      <c r="C3848" t="s">
        <v>2323</v>
      </c>
      <c r="D3848" t="s">
        <v>23</v>
      </c>
      <c r="E3848">
        <v>37</v>
      </c>
      <c r="F3848" t="s">
        <v>62</v>
      </c>
      <c r="G3848" t="s">
        <v>407</v>
      </c>
      <c r="H3848">
        <v>221110</v>
      </c>
      <c r="I3848" s="1" t="d">
        <v>2009-01-03</v>
      </c>
      <c r="J3848" t="s">
        <v>5558</v>
      </c>
      <c r="K3848" s="17" t="s">
        <v>58</v>
      </c>
      <c r="L3848">
        <v>4</v>
      </c>
    </row>
    <row r="3849" spans="1:12" x14ac:dyDescent="0.25">
      <c r="A3849" t="s">
        <v>7886</v>
      </c>
      <c r="B3849" t="s">
        <v>2197</v>
      </c>
      <c r="C3849" t="s">
        <v>453</v>
      </c>
      <c r="D3849" t="s">
        <v>23</v>
      </c>
      <c r="E3849">
        <v>40</v>
      </c>
      <c r="F3849" t="s">
        <v>2700</v>
      </c>
      <c r="G3849" t="s">
        <v>48</v>
      </c>
      <c r="H3849" t="s">
        <v>7887</v>
      </c>
      <c r="I3849" s="1" t="d">
        <v>2015-01-11</v>
      </c>
      <c r="J3849" t="s">
        <v>1278</v>
      </c>
      <c r="K3849" s="17" t="s">
        <v>370</v>
      </c>
      <c r="L3849">
        <v>3</v>
      </c>
    </row>
    <row r="3850" spans="1:12" x14ac:dyDescent="0.25">
      <c r="A3850" t="s">
        <v>7888</v>
      </c>
      <c r="B3850" t="s">
        <v>906</v>
      </c>
      <c r="C3850" t="s">
        <v>210</v>
      </c>
      <c r="D3850" t="s">
        <v>46</v>
      </c>
      <c r="E3850">
        <v>51</v>
      </c>
      <c r="F3850" t="s">
        <v>81</v>
      </c>
      <c r="G3850" t="s">
        <v>16</v>
      </c>
      <c r="H3850" t="s">
        <v>7889</v>
      </c>
      <c r="I3850" s="1" t="d">
        <v>2005-09-19</v>
      </c>
      <c r="J3850" t="s">
        <v>909</v>
      </c>
      <c r="K3850" s="17" t="s">
        <v>100</v>
      </c>
      <c r="L3850">
        <v>4</v>
      </c>
    </row>
    <row r="3851" spans="1:12" x14ac:dyDescent="0.25">
      <c r="A3851" t="s">
        <v>7890</v>
      </c>
      <c r="B3851" t="s">
        <v>571</v>
      </c>
      <c r="C3851" t="s">
        <v>135</v>
      </c>
      <c r="D3851" t="s">
        <v>23</v>
      </c>
      <c r="E3851">
        <v>43</v>
      </c>
      <c r="F3851" t="s">
        <v>114</v>
      </c>
      <c r="G3851" t="s">
        <v>205</v>
      </c>
      <c r="H3851" s="2">
        <v>99707</v>
      </c>
      <c r="I3851" s="1" t="d">
        <v>2013-06-18</v>
      </c>
      <c r="J3851" t="s">
        <v>2369</v>
      </c>
      <c r="K3851" s="17" t="s">
        <v>19</v>
      </c>
      <c r="L3851">
        <v>4</v>
      </c>
    </row>
    <row r="3852" spans="1:12" x14ac:dyDescent="0.25">
      <c r="A3852" t="s">
        <v>7891</v>
      </c>
      <c r="B3852" t="s">
        <v>652</v>
      </c>
      <c r="C3852" t="s">
        <v>36</v>
      </c>
      <c r="D3852" t="s">
        <v>23</v>
      </c>
      <c r="E3852">
        <v>45</v>
      </c>
      <c r="F3852" t="s">
        <v>422</v>
      </c>
      <c r="G3852" t="s">
        <v>141</v>
      </c>
      <c r="H3852" t="s">
        <v>7892</v>
      </c>
      <c r="I3852" s="1" t="d">
        <v>2007-01-24</v>
      </c>
      <c r="J3852" t="s">
        <v>3972</v>
      </c>
      <c r="K3852" s="17" t="s">
        <v>90</v>
      </c>
      <c r="L3852">
        <v>1</v>
      </c>
    </row>
    <row r="3853" spans="1:12" x14ac:dyDescent="0.25">
      <c r="A3853" t="s">
        <v>7893</v>
      </c>
      <c r="B3853" t="s">
        <v>275</v>
      </c>
      <c r="C3853" t="s">
        <v>457</v>
      </c>
      <c r="D3853" t="s">
        <v>9527</v>
      </c>
      <c r="E3853">
        <v>35</v>
      </c>
      <c r="F3853" t="s">
        <v>3085</v>
      </c>
      <c r="G3853" t="s">
        <v>205</v>
      </c>
      <c r="H3853" s="2">
        <v>58260</v>
      </c>
      <c r="I3853" s="1" t="d">
        <v>2019-07-08</v>
      </c>
      <c r="J3853" t="s">
        <v>279</v>
      </c>
      <c r="K3853" s="17" t="s">
        <v>184</v>
      </c>
      <c r="L3853">
        <v>3</v>
      </c>
    </row>
    <row r="3854" spans="1:12" x14ac:dyDescent="0.25">
      <c r="A3854" t="s">
        <v>7894</v>
      </c>
      <c r="B3854" t="s">
        <v>936</v>
      </c>
      <c r="C3854" t="s">
        <v>1266</v>
      </c>
      <c r="D3854" t="s">
        <v>9527</v>
      </c>
      <c r="E3854">
        <v>27</v>
      </c>
      <c r="F3854" t="s">
        <v>649</v>
      </c>
      <c r="G3854" t="s">
        <v>526</v>
      </c>
      <c r="H3854">
        <v>68155</v>
      </c>
      <c r="I3854" s="1" t="d">
        <v>2009-11-20</v>
      </c>
      <c r="J3854" t="s">
        <v>3013</v>
      </c>
      <c r="K3854" s="17" t="s">
        <v>90</v>
      </c>
      <c r="L3854">
        <v>4</v>
      </c>
    </row>
    <row r="3855" spans="1:12" x14ac:dyDescent="0.25">
      <c r="A3855" t="s">
        <v>6052</v>
      </c>
      <c r="B3855" t="s">
        <v>804</v>
      </c>
      <c r="C3855" t="s">
        <v>1052</v>
      </c>
      <c r="D3855" t="s">
        <v>46</v>
      </c>
      <c r="E3855">
        <v>38</v>
      </c>
      <c r="F3855" t="s">
        <v>38</v>
      </c>
      <c r="G3855" t="s">
        <v>170</v>
      </c>
      <c r="H3855">
        <v>58544</v>
      </c>
      <c r="I3855" s="1" t="d">
        <v>2024-01-16</v>
      </c>
      <c r="J3855" t="s">
        <v>2285</v>
      </c>
      <c r="K3855" s="17" t="s">
        <v>184</v>
      </c>
      <c r="L3855">
        <v>2</v>
      </c>
    </row>
    <row r="3856" spans="1:12" x14ac:dyDescent="0.25">
      <c r="A3856" t="s">
        <v>7895</v>
      </c>
      <c r="B3856" t="s">
        <v>563</v>
      </c>
      <c r="C3856" t="s">
        <v>93</v>
      </c>
      <c r="D3856" t="s">
        <v>46</v>
      </c>
      <c r="E3856">
        <v>41</v>
      </c>
      <c r="F3856" t="s">
        <v>62</v>
      </c>
      <c r="G3856" t="s">
        <v>191</v>
      </c>
      <c r="H3856">
        <v>59229</v>
      </c>
      <c r="J3856" t="s">
        <v>99</v>
      </c>
      <c r="K3856" s="17" t="s">
        <v>27</v>
      </c>
      <c r="L3856">
        <v>3</v>
      </c>
    </row>
    <row r="3857" spans="1:12" x14ac:dyDescent="0.25">
      <c r="A3857" t="s">
        <v>7896</v>
      </c>
      <c r="B3857" t="s">
        <v>1181</v>
      </c>
      <c r="C3857" t="s">
        <v>2837</v>
      </c>
      <c r="D3857" t="s">
        <v>46</v>
      </c>
      <c r="E3857">
        <v>43</v>
      </c>
      <c r="F3857" t="s">
        <v>114</v>
      </c>
      <c r="G3857" t="s">
        <v>82</v>
      </c>
      <c r="I3857" s="1" t="d">
        <v>2024-04-13</v>
      </c>
      <c r="J3857" t="s">
        <v>1732</v>
      </c>
      <c r="K3857" s="17" t="s">
        <v>27</v>
      </c>
      <c r="L3857">
        <v>3</v>
      </c>
    </row>
    <row r="3858" spans="1:12" x14ac:dyDescent="0.25">
      <c r="A3858" t="s">
        <v>7897</v>
      </c>
      <c r="B3858" t="s">
        <v>482</v>
      </c>
      <c r="C3858" t="s">
        <v>1015</v>
      </c>
      <c r="D3858" t="s">
        <v>46</v>
      </c>
      <c r="E3858">
        <v>25</v>
      </c>
      <c r="F3858" t="s">
        <v>200</v>
      </c>
      <c r="G3858" t="s">
        <v>32</v>
      </c>
      <c r="H3858">
        <v>87092</v>
      </c>
      <c r="I3858" s="1" t="d">
        <v>2017-03-15</v>
      </c>
      <c r="J3858" t="s">
        <v>4521</v>
      </c>
      <c r="K3858" s="17" t="s">
        <v>71</v>
      </c>
      <c r="L3858">
        <v>1</v>
      </c>
    </row>
    <row r="3859" spans="1:12" x14ac:dyDescent="0.25">
      <c r="A3859" t="s">
        <v>7898</v>
      </c>
      <c r="B3859" t="s">
        <v>44</v>
      </c>
      <c r="C3859" t="s">
        <v>1657</v>
      </c>
      <c r="D3859" t="s">
        <v>9527</v>
      </c>
      <c r="E3859">
        <v>47</v>
      </c>
      <c r="F3859" t="s">
        <v>918</v>
      </c>
      <c r="G3859" t="s">
        <v>39</v>
      </c>
      <c r="H3859">
        <v>72004</v>
      </c>
      <c r="J3859" t="s">
        <v>1830</v>
      </c>
      <c r="K3859" s="17" t="s">
        <v>71</v>
      </c>
      <c r="L3859">
        <v>4</v>
      </c>
    </row>
    <row r="3860" spans="1:12" x14ac:dyDescent="0.25">
      <c r="A3860" t="s">
        <v>7899</v>
      </c>
      <c r="B3860" t="s">
        <v>4235</v>
      </c>
      <c r="C3860" t="s">
        <v>1520</v>
      </c>
      <c r="D3860" t="s">
        <v>9527</v>
      </c>
      <c r="E3860">
        <v>24</v>
      </c>
      <c r="F3860" t="s">
        <v>230</v>
      </c>
      <c r="G3860" t="s">
        <v>16</v>
      </c>
      <c r="H3860">
        <v>84736</v>
      </c>
      <c r="I3860" s="1" t="d">
        <v>2024-04-29</v>
      </c>
      <c r="J3860" t="s">
        <v>226</v>
      </c>
      <c r="K3860" s="17" t="s">
        <v>90</v>
      </c>
      <c r="L3860">
        <v>1</v>
      </c>
    </row>
    <row r="3861" spans="1:12" x14ac:dyDescent="0.25">
      <c r="A3861" t="s">
        <v>7900</v>
      </c>
      <c r="B3861" t="s">
        <v>125</v>
      </c>
      <c r="C3861" t="s">
        <v>37</v>
      </c>
      <c r="D3861" t="s">
        <v>46</v>
      </c>
      <c r="E3861">
        <v>41</v>
      </c>
      <c r="F3861" t="s">
        <v>649</v>
      </c>
      <c r="G3861" t="s">
        <v>82</v>
      </c>
      <c r="I3861" s="1" t="d">
        <v>2013-11-17</v>
      </c>
      <c r="J3861" t="s">
        <v>1152</v>
      </c>
      <c r="K3861" s="17" t="s">
        <v>34</v>
      </c>
      <c r="L3861">
        <v>4</v>
      </c>
    </row>
    <row r="3862" spans="1:12" x14ac:dyDescent="0.25">
      <c r="A3862" t="s">
        <v>7901</v>
      </c>
      <c r="B3862" t="s">
        <v>4544</v>
      </c>
      <c r="C3862" t="s">
        <v>1332</v>
      </c>
      <c r="D3862" t="s">
        <v>9527</v>
      </c>
      <c r="E3862">
        <v>44</v>
      </c>
      <c r="F3862" t="s">
        <v>918</v>
      </c>
      <c r="G3862" t="s">
        <v>351</v>
      </c>
      <c r="H3862" t="s">
        <v>7902</v>
      </c>
      <c r="I3862" s="1" t="d">
        <v>2021-08-22</v>
      </c>
      <c r="J3862" t="s">
        <v>3177</v>
      </c>
      <c r="K3862" s="17" t="s">
        <v>149</v>
      </c>
      <c r="L3862">
        <v>4</v>
      </c>
    </row>
    <row r="3863" spans="1:12" x14ac:dyDescent="0.25">
      <c r="A3863" t="s">
        <v>7903</v>
      </c>
      <c r="B3863" t="s">
        <v>4775</v>
      </c>
      <c r="C3863" t="s">
        <v>763</v>
      </c>
      <c r="D3863" t="s">
        <v>46</v>
      </c>
      <c r="E3863">
        <v>34</v>
      </c>
      <c r="F3863" t="s">
        <v>5799</v>
      </c>
      <c r="G3863" t="s">
        <v>115</v>
      </c>
      <c r="H3863" t="s">
        <v>7904</v>
      </c>
      <c r="I3863" s="1" t="d">
        <v>2023-08-29</v>
      </c>
      <c r="J3863" t="s">
        <v>2506</v>
      </c>
      <c r="K3863" s="17" t="s">
        <v>27</v>
      </c>
      <c r="L3863">
        <v>3</v>
      </c>
    </row>
    <row r="3864" spans="1:12" x14ac:dyDescent="0.25">
      <c r="A3864" t="s">
        <v>7905</v>
      </c>
      <c r="B3864" t="s">
        <v>841</v>
      </c>
      <c r="C3864" t="s">
        <v>158</v>
      </c>
      <c r="D3864" t="s">
        <v>9527</v>
      </c>
      <c r="E3864">
        <v>38</v>
      </c>
      <c r="F3864" t="s">
        <v>114</v>
      </c>
      <c r="G3864" t="s">
        <v>115</v>
      </c>
      <c r="H3864">
        <v>87896</v>
      </c>
      <c r="I3864" s="1" t="d">
        <v>2016-08-31</v>
      </c>
      <c r="J3864" t="s">
        <v>2426</v>
      </c>
      <c r="K3864" s="17" t="s">
        <v>34</v>
      </c>
      <c r="L3864">
        <v>2</v>
      </c>
    </row>
    <row r="3865" spans="1:12" x14ac:dyDescent="0.25">
      <c r="A3865" t="s">
        <v>7906</v>
      </c>
      <c r="B3865" t="s">
        <v>482</v>
      </c>
      <c r="C3865" t="s">
        <v>244</v>
      </c>
      <c r="D3865" t="s">
        <v>23</v>
      </c>
      <c r="E3865">
        <v>34</v>
      </c>
      <c r="F3865" t="s">
        <v>253</v>
      </c>
      <c r="G3865" t="s">
        <v>177</v>
      </c>
      <c r="H3865" t="s">
        <v>7907</v>
      </c>
      <c r="I3865" s="1" t="d">
        <v>2024-04-13</v>
      </c>
      <c r="J3865" t="s">
        <v>7136</v>
      </c>
      <c r="K3865" s="17" t="s">
        <v>149</v>
      </c>
      <c r="L3865">
        <v>4</v>
      </c>
    </row>
    <row r="3866" spans="1:12" x14ac:dyDescent="0.25">
      <c r="A3866" t="s">
        <v>7908</v>
      </c>
      <c r="B3866" t="s">
        <v>60</v>
      </c>
      <c r="C3866" t="s">
        <v>22</v>
      </c>
      <c r="D3866" t="s">
        <v>23</v>
      </c>
      <c r="E3866">
        <v>36</v>
      </c>
      <c r="F3866" t="s">
        <v>522</v>
      </c>
      <c r="G3866" t="s">
        <v>69</v>
      </c>
      <c r="H3866" s="2">
        <v>118446</v>
      </c>
      <c r="I3866" s="1" t="d">
        <v>2024-04-19</v>
      </c>
      <c r="J3866" t="s">
        <v>2213</v>
      </c>
      <c r="K3866" s="17" t="s">
        <v>71</v>
      </c>
      <c r="L3866">
        <v>4</v>
      </c>
    </row>
    <row r="3867" spans="1:12" x14ac:dyDescent="0.25">
      <c r="A3867" t="s">
        <v>7909</v>
      </c>
      <c r="B3867" t="s">
        <v>1301</v>
      </c>
      <c r="C3867" t="s">
        <v>521</v>
      </c>
      <c r="D3867" t="s">
        <v>46</v>
      </c>
      <c r="E3867">
        <v>40</v>
      </c>
      <c r="F3867" t="s">
        <v>211</v>
      </c>
      <c r="G3867" t="s">
        <v>177</v>
      </c>
      <c r="H3867" s="2">
        <v>51671</v>
      </c>
      <c r="I3867" s="1" t="d">
        <v>2012-03-04</v>
      </c>
      <c r="J3867" t="s">
        <v>2739</v>
      </c>
      <c r="K3867" s="17" t="s">
        <v>184</v>
      </c>
      <c r="L3867">
        <v>2</v>
      </c>
    </row>
    <row r="3868" spans="1:12" x14ac:dyDescent="0.25">
      <c r="A3868" t="s">
        <v>7910</v>
      </c>
      <c r="B3868" t="s">
        <v>709</v>
      </c>
      <c r="C3868" t="s">
        <v>1564</v>
      </c>
      <c r="D3868" t="s">
        <v>23</v>
      </c>
      <c r="E3868">
        <v>40</v>
      </c>
      <c r="F3868" t="s">
        <v>634</v>
      </c>
      <c r="G3868" t="s">
        <v>842</v>
      </c>
      <c r="H3868" t="s">
        <v>7911</v>
      </c>
      <c r="I3868" s="1" t="d">
        <v>2008-10-25</v>
      </c>
      <c r="J3868" t="s">
        <v>7912</v>
      </c>
      <c r="K3868" s="17" t="s">
        <v>90</v>
      </c>
      <c r="L3868">
        <v>3</v>
      </c>
    </row>
    <row r="3869" spans="1:12" x14ac:dyDescent="0.25">
      <c r="A3869" t="s">
        <v>7449</v>
      </c>
      <c r="B3869" t="s">
        <v>1096</v>
      </c>
      <c r="C3869" t="s">
        <v>599</v>
      </c>
      <c r="D3869" t="s">
        <v>46</v>
      </c>
      <c r="E3869">
        <v>40</v>
      </c>
      <c r="F3869" t="s">
        <v>649</v>
      </c>
      <c r="G3869" t="s">
        <v>16</v>
      </c>
      <c r="H3869" s="2">
        <v>107483</v>
      </c>
      <c r="I3869" s="1" t="d">
        <v>2018-02-01</v>
      </c>
      <c r="J3869" t="s">
        <v>4776</v>
      </c>
      <c r="K3869" s="17" t="s">
        <v>149</v>
      </c>
      <c r="L3869">
        <v>3</v>
      </c>
    </row>
    <row r="3870" spans="1:12" x14ac:dyDescent="0.25">
      <c r="A3870" t="s">
        <v>452</v>
      </c>
      <c r="B3870" t="s">
        <v>439</v>
      </c>
      <c r="C3870" t="s">
        <v>453</v>
      </c>
      <c r="D3870" t="s">
        <v>46</v>
      </c>
      <c r="E3870">
        <v>35</v>
      </c>
      <c r="F3870" t="s">
        <v>146</v>
      </c>
      <c r="G3870" t="s">
        <v>69</v>
      </c>
      <c r="I3870" s="1" t="d">
        <v>2012-06-12</v>
      </c>
      <c r="J3870" t="s">
        <v>454</v>
      </c>
      <c r="K3870" s="17" t="s">
        <v>27</v>
      </c>
      <c r="L3870">
        <v>1</v>
      </c>
    </row>
    <row r="3871" spans="1:12" x14ac:dyDescent="0.25">
      <c r="A3871" t="s">
        <v>7913</v>
      </c>
      <c r="B3871" t="s">
        <v>102</v>
      </c>
      <c r="C3871" t="s">
        <v>751</v>
      </c>
      <c r="D3871" t="s">
        <v>23</v>
      </c>
      <c r="E3871">
        <v>49</v>
      </c>
      <c r="F3871" t="s">
        <v>31</v>
      </c>
      <c r="G3871" t="s">
        <v>357</v>
      </c>
      <c r="H3871">
        <v>66885</v>
      </c>
      <c r="I3871" s="1" t="d">
        <v>2019-02-07</v>
      </c>
      <c r="J3871" t="s">
        <v>3235</v>
      </c>
      <c r="K3871" s="17" t="s">
        <v>19</v>
      </c>
      <c r="L3871">
        <v>2</v>
      </c>
    </row>
    <row r="3872" spans="1:12" x14ac:dyDescent="0.25">
      <c r="A3872" t="s">
        <v>7914</v>
      </c>
      <c r="B3872" t="s">
        <v>6738</v>
      </c>
      <c r="C3872" t="s">
        <v>3820</v>
      </c>
      <c r="D3872" t="s">
        <v>23</v>
      </c>
      <c r="E3872">
        <v>30</v>
      </c>
      <c r="F3872" t="s">
        <v>1571</v>
      </c>
      <c r="G3872" t="s">
        <v>88</v>
      </c>
      <c r="H3872">
        <v>85586</v>
      </c>
      <c r="I3872" s="1" t="d">
        <v>2012-03-21</v>
      </c>
      <c r="J3872" t="s">
        <v>1321</v>
      </c>
      <c r="K3872" s="17" t="s">
        <v>118</v>
      </c>
      <c r="L3872">
        <v>4</v>
      </c>
    </row>
    <row r="3873" spans="1:12" x14ac:dyDescent="0.25">
      <c r="A3873" t="s">
        <v>7915</v>
      </c>
      <c r="B3873" t="s">
        <v>786</v>
      </c>
      <c r="C3873" t="s">
        <v>516</v>
      </c>
      <c r="D3873" t="s">
        <v>46</v>
      </c>
      <c r="E3873">
        <v>48</v>
      </c>
      <c r="F3873" t="s">
        <v>1195</v>
      </c>
      <c r="G3873" t="s">
        <v>504</v>
      </c>
      <c r="H3873" t="s">
        <v>7916</v>
      </c>
      <c r="I3873" s="1" t="d">
        <v>2006-07-19</v>
      </c>
      <c r="J3873" t="s">
        <v>446</v>
      </c>
      <c r="K3873" s="17" t="s">
        <v>71</v>
      </c>
      <c r="L3873">
        <v>4</v>
      </c>
    </row>
    <row r="3874" spans="1:12" x14ac:dyDescent="0.25">
      <c r="A3874" t="s">
        <v>7917</v>
      </c>
      <c r="B3874" t="s">
        <v>1086</v>
      </c>
      <c r="C3874" t="s">
        <v>696</v>
      </c>
      <c r="D3874" t="s">
        <v>46</v>
      </c>
      <c r="E3874">
        <v>21</v>
      </c>
      <c r="F3874" t="s">
        <v>645</v>
      </c>
      <c r="G3874" t="s">
        <v>1645</v>
      </c>
      <c r="H3874" t="s">
        <v>7918</v>
      </c>
      <c r="I3874" s="1" t="d">
        <v>2008-12-02</v>
      </c>
      <c r="J3874" t="s">
        <v>7808</v>
      </c>
      <c r="K3874" s="17" t="s">
        <v>34</v>
      </c>
      <c r="L3874">
        <v>2</v>
      </c>
    </row>
    <row r="3875" spans="1:12" x14ac:dyDescent="0.25">
      <c r="A3875" t="s">
        <v>7919</v>
      </c>
      <c r="B3875" t="s">
        <v>659</v>
      </c>
      <c r="C3875" t="s">
        <v>655</v>
      </c>
      <c r="D3875" t="s">
        <v>23</v>
      </c>
      <c r="E3875">
        <v>46</v>
      </c>
      <c r="G3875" t="s">
        <v>182</v>
      </c>
      <c r="H3875">
        <v>96403</v>
      </c>
      <c r="I3875" s="1" t="d">
        <v>2021-02-09</v>
      </c>
      <c r="J3875" t="s">
        <v>2166</v>
      </c>
      <c r="K3875" s="17" t="s">
        <v>19</v>
      </c>
      <c r="L3875">
        <v>1</v>
      </c>
    </row>
    <row r="3876" spans="1:12" x14ac:dyDescent="0.25">
      <c r="A3876" t="s">
        <v>7920</v>
      </c>
      <c r="B3876" t="s">
        <v>1877</v>
      </c>
      <c r="C3876" t="s">
        <v>483</v>
      </c>
      <c r="D3876" t="s">
        <v>23</v>
      </c>
      <c r="E3876">
        <v>27</v>
      </c>
      <c r="F3876" t="s">
        <v>108</v>
      </c>
      <c r="G3876" t="s">
        <v>283</v>
      </c>
      <c r="H3876" t="s">
        <v>7921</v>
      </c>
      <c r="I3876" s="1" t="d">
        <v>2019-03-16</v>
      </c>
      <c r="J3876" t="s">
        <v>486</v>
      </c>
      <c r="K3876" s="17" t="s">
        <v>34</v>
      </c>
      <c r="L3876">
        <v>4</v>
      </c>
    </row>
    <row r="3877" spans="1:12" x14ac:dyDescent="0.25">
      <c r="A3877" t="s">
        <v>7922</v>
      </c>
      <c r="B3877" t="s">
        <v>2697</v>
      </c>
      <c r="C3877" t="s">
        <v>1433</v>
      </c>
      <c r="D3877" t="s">
        <v>46</v>
      </c>
      <c r="E3877">
        <v>59</v>
      </c>
      <c r="F3877" t="s">
        <v>126</v>
      </c>
      <c r="G3877" t="s">
        <v>39</v>
      </c>
      <c r="H3877">
        <v>63314</v>
      </c>
      <c r="I3877" s="1" t="d">
        <v>2008-10-10</v>
      </c>
      <c r="J3877" t="s">
        <v>2698</v>
      </c>
      <c r="K3877" s="17" t="s">
        <v>42</v>
      </c>
      <c r="L3877">
        <v>3</v>
      </c>
    </row>
    <row r="3878" spans="1:12" x14ac:dyDescent="0.25">
      <c r="A3878" t="s">
        <v>7923</v>
      </c>
      <c r="B3878" t="s">
        <v>199</v>
      </c>
      <c r="C3878" t="s">
        <v>291</v>
      </c>
      <c r="D3878" t="s">
        <v>23</v>
      </c>
      <c r="E3878">
        <v>26</v>
      </c>
      <c r="F3878" t="s">
        <v>200</v>
      </c>
      <c r="G3878" t="s">
        <v>82</v>
      </c>
      <c r="H3878">
        <v>79066</v>
      </c>
      <c r="I3878" s="1" t="d">
        <v>2005-01-26</v>
      </c>
      <c r="J3878" t="s">
        <v>6496</v>
      </c>
      <c r="K3878" s="17" t="s">
        <v>71</v>
      </c>
      <c r="L3878">
        <v>5</v>
      </c>
    </row>
    <row r="3879" spans="1:12" x14ac:dyDescent="0.25">
      <c r="A3879" t="s">
        <v>7924</v>
      </c>
      <c r="B3879" t="s">
        <v>144</v>
      </c>
      <c r="C3879" t="s">
        <v>1326</v>
      </c>
      <c r="D3879" t="s">
        <v>46</v>
      </c>
      <c r="E3879">
        <v>49</v>
      </c>
      <c r="F3879" t="s">
        <v>38</v>
      </c>
      <c r="G3879" t="s">
        <v>191</v>
      </c>
      <c r="H3879" s="2">
        <v>45571</v>
      </c>
      <c r="I3879" s="1" t="d">
        <v>2013-08-13</v>
      </c>
      <c r="J3879" t="s">
        <v>7513</v>
      </c>
      <c r="K3879" s="17" t="s">
        <v>100</v>
      </c>
      <c r="L3879">
        <v>3</v>
      </c>
    </row>
    <row r="3880" spans="1:12" x14ac:dyDescent="0.25">
      <c r="A3880" t="s">
        <v>4731</v>
      </c>
      <c r="B3880" t="s">
        <v>4210</v>
      </c>
      <c r="C3880" t="s">
        <v>4732</v>
      </c>
      <c r="D3880" t="s">
        <v>23</v>
      </c>
      <c r="E3880">
        <v>42</v>
      </c>
      <c r="G3880" t="s">
        <v>141</v>
      </c>
      <c r="H3880">
        <v>80951</v>
      </c>
      <c r="I3880" s="1" t="d">
        <v>2017-11-26</v>
      </c>
      <c r="J3880" t="s">
        <v>4733</v>
      </c>
      <c r="K3880" s="17" t="s">
        <v>184</v>
      </c>
      <c r="L3880">
        <v>4</v>
      </c>
    </row>
    <row r="3881" spans="1:12" x14ac:dyDescent="0.25">
      <c r="A3881" t="s">
        <v>7925</v>
      </c>
      <c r="B3881" t="s">
        <v>786</v>
      </c>
      <c r="C3881" t="s">
        <v>67</v>
      </c>
      <c r="D3881" t="s">
        <v>9527</v>
      </c>
      <c r="E3881">
        <v>56</v>
      </c>
      <c r="F3881" t="s">
        <v>153</v>
      </c>
      <c r="G3881" t="s">
        <v>82</v>
      </c>
      <c r="H3881" t="s">
        <v>7926</v>
      </c>
      <c r="I3881" s="1" t="d">
        <v>2019-03-16</v>
      </c>
      <c r="J3881" t="s">
        <v>4660</v>
      </c>
      <c r="K3881" s="17" t="s">
        <v>207</v>
      </c>
      <c r="L3881">
        <v>3</v>
      </c>
    </row>
    <row r="3882" spans="1:12" x14ac:dyDescent="0.25">
      <c r="A3882" t="s">
        <v>7927</v>
      </c>
      <c r="B3882" t="s">
        <v>1096</v>
      </c>
      <c r="C3882" t="s">
        <v>516</v>
      </c>
      <c r="D3882" t="s">
        <v>9527</v>
      </c>
      <c r="E3882">
        <v>50</v>
      </c>
      <c r="G3882" t="s">
        <v>191</v>
      </c>
      <c r="H3882" t="s">
        <v>7928</v>
      </c>
      <c r="I3882" s="1" t="d">
        <v>2012-04-20</v>
      </c>
      <c r="J3882" t="s">
        <v>7929</v>
      </c>
      <c r="K3882" s="17" t="s">
        <v>100</v>
      </c>
      <c r="L3882">
        <v>3</v>
      </c>
    </row>
    <row r="3883" spans="1:12" x14ac:dyDescent="0.25">
      <c r="A3883" t="s">
        <v>5585</v>
      </c>
      <c r="B3883" t="s">
        <v>1002</v>
      </c>
      <c r="C3883" t="s">
        <v>1991</v>
      </c>
      <c r="D3883" t="s">
        <v>23</v>
      </c>
      <c r="E3883">
        <v>51</v>
      </c>
      <c r="F3883" t="s">
        <v>711</v>
      </c>
      <c r="G3883" t="s">
        <v>912</v>
      </c>
      <c r="H3883" s="2">
        <v>35854</v>
      </c>
      <c r="I3883" s="1" t="d">
        <v>2024-11-13</v>
      </c>
      <c r="J3883" t="s">
        <v>289</v>
      </c>
      <c r="K3883" s="17" t="s">
        <v>58</v>
      </c>
      <c r="L3883">
        <v>3</v>
      </c>
    </row>
    <row r="3884" spans="1:12" x14ac:dyDescent="0.25">
      <c r="A3884" t="s">
        <v>7930</v>
      </c>
      <c r="B3884" t="s">
        <v>804</v>
      </c>
      <c r="C3884" t="s">
        <v>584</v>
      </c>
      <c r="D3884" t="s">
        <v>9527</v>
      </c>
      <c r="E3884">
        <v>47</v>
      </c>
      <c r="G3884" t="s">
        <v>182</v>
      </c>
      <c r="I3884" s="1" t="d">
        <v>2023-01-05</v>
      </c>
      <c r="J3884" t="s">
        <v>7931</v>
      </c>
      <c r="K3884" s="17" t="s">
        <v>90</v>
      </c>
      <c r="L3884">
        <v>3</v>
      </c>
    </row>
    <row r="3885" spans="1:12" x14ac:dyDescent="0.25">
      <c r="A3885" t="s">
        <v>7932</v>
      </c>
      <c r="B3885" t="s">
        <v>404</v>
      </c>
      <c r="C3885" t="s">
        <v>1146</v>
      </c>
      <c r="D3885" t="s">
        <v>23</v>
      </c>
      <c r="E3885">
        <v>33</v>
      </c>
      <c r="F3885" t="s">
        <v>238</v>
      </c>
      <c r="G3885" t="s">
        <v>357</v>
      </c>
      <c r="H3885" t="s">
        <v>7933</v>
      </c>
      <c r="I3885" s="1" t="d">
        <v>2015-06-21</v>
      </c>
      <c r="J3885" t="s">
        <v>7799</v>
      </c>
      <c r="K3885" s="17" t="s">
        <v>50</v>
      </c>
      <c r="L3885">
        <v>4</v>
      </c>
    </row>
    <row r="3886" spans="1:12" x14ac:dyDescent="0.25">
      <c r="A3886" t="s">
        <v>7934</v>
      </c>
      <c r="B3886" t="s">
        <v>664</v>
      </c>
      <c r="C3886" t="s">
        <v>1377</v>
      </c>
      <c r="D3886" t="s">
        <v>23</v>
      </c>
      <c r="E3886">
        <v>35</v>
      </c>
      <c r="F3886" t="s">
        <v>269</v>
      </c>
      <c r="G3886" t="s">
        <v>170</v>
      </c>
      <c r="H3886" s="2">
        <v>40394</v>
      </c>
      <c r="I3886" s="1" t="d">
        <v>2012-06-27</v>
      </c>
      <c r="J3886" t="s">
        <v>2405</v>
      </c>
      <c r="K3886" s="17" t="s">
        <v>42</v>
      </c>
      <c r="L3886">
        <v>5</v>
      </c>
    </row>
    <row r="3887" spans="1:12" x14ac:dyDescent="0.25">
      <c r="A3887" t="s">
        <v>7935</v>
      </c>
      <c r="B3887" t="s">
        <v>125</v>
      </c>
      <c r="C3887" t="s">
        <v>135</v>
      </c>
      <c r="D3887" t="s">
        <v>9527</v>
      </c>
      <c r="E3887">
        <v>51</v>
      </c>
      <c r="F3887" t="s">
        <v>264</v>
      </c>
      <c r="G3887" t="s">
        <v>996</v>
      </c>
      <c r="H3887">
        <v>176126</v>
      </c>
      <c r="I3887" s="1" t="d">
        <v>2022-10-21</v>
      </c>
      <c r="J3887" t="s">
        <v>564</v>
      </c>
      <c r="K3887" s="17" t="s">
        <v>71</v>
      </c>
      <c r="L3887">
        <v>3</v>
      </c>
    </row>
    <row r="3888" spans="1:12" x14ac:dyDescent="0.25">
      <c r="A3888" t="s">
        <v>7936</v>
      </c>
      <c r="B3888" t="s">
        <v>1888</v>
      </c>
      <c r="C3888" t="s">
        <v>386</v>
      </c>
      <c r="D3888" t="s">
        <v>23</v>
      </c>
      <c r="E3888">
        <v>50</v>
      </c>
      <c r="F3888" t="s">
        <v>576</v>
      </c>
      <c r="G3888" t="s">
        <v>504</v>
      </c>
      <c r="H3888" t="s">
        <v>7937</v>
      </c>
      <c r="I3888" s="1" t="d">
        <v>2015-01-14</v>
      </c>
      <c r="J3888" t="s">
        <v>1008</v>
      </c>
      <c r="K3888" s="17" t="s">
        <v>207</v>
      </c>
      <c r="L3888">
        <v>4</v>
      </c>
    </row>
    <row r="3889" spans="1:12" x14ac:dyDescent="0.25">
      <c r="A3889" t="s">
        <v>7938</v>
      </c>
      <c r="B3889" t="s">
        <v>594</v>
      </c>
      <c r="C3889" t="s">
        <v>61</v>
      </c>
      <c r="D3889" t="s">
        <v>9527</v>
      </c>
      <c r="E3889">
        <v>34</v>
      </c>
      <c r="F3889" t="s">
        <v>1568</v>
      </c>
      <c r="G3889" t="s">
        <v>131</v>
      </c>
      <c r="H3889">
        <v>96133</v>
      </c>
      <c r="I3889" s="1" t="d">
        <v>2013-03-18</v>
      </c>
      <c r="J3889" t="s">
        <v>5558</v>
      </c>
      <c r="K3889" s="17" t="s">
        <v>90</v>
      </c>
      <c r="L3889">
        <v>2</v>
      </c>
    </row>
    <row r="3890" spans="1:12" x14ac:dyDescent="0.25">
      <c r="A3890" t="s">
        <v>7939</v>
      </c>
      <c r="B3890" t="s">
        <v>323</v>
      </c>
      <c r="C3890" t="s">
        <v>1248</v>
      </c>
      <c r="D3890" t="s">
        <v>23</v>
      </c>
      <c r="E3890">
        <v>31</v>
      </c>
      <c r="F3890" t="s">
        <v>54</v>
      </c>
      <c r="G3890" t="s">
        <v>996</v>
      </c>
      <c r="H3890" t="s">
        <v>7940</v>
      </c>
      <c r="I3890" s="1" t="d">
        <v>2021-07-04</v>
      </c>
      <c r="J3890" t="s">
        <v>7941</v>
      </c>
      <c r="K3890" s="17" t="s">
        <v>42</v>
      </c>
      <c r="L3890">
        <v>3</v>
      </c>
    </row>
    <row r="3891" spans="1:12" x14ac:dyDescent="0.25">
      <c r="A3891" t="s">
        <v>4687</v>
      </c>
      <c r="B3891" t="s">
        <v>773</v>
      </c>
      <c r="C3891" t="s">
        <v>1052</v>
      </c>
      <c r="D3891" t="s">
        <v>9527</v>
      </c>
      <c r="E3891">
        <v>42</v>
      </c>
      <c r="F3891" t="s">
        <v>176</v>
      </c>
      <c r="G3891" t="s">
        <v>55</v>
      </c>
      <c r="H3891">
        <v>55662</v>
      </c>
      <c r="I3891" s="1" t="d">
        <v>2007-09-03</v>
      </c>
      <c r="J3891" t="s">
        <v>776</v>
      </c>
      <c r="K3891" s="17" t="s">
        <v>149</v>
      </c>
      <c r="L3891">
        <v>3</v>
      </c>
    </row>
    <row r="3892" spans="1:12" x14ac:dyDescent="0.25">
      <c r="A3892" t="s">
        <v>5297</v>
      </c>
      <c r="B3892" t="s">
        <v>315</v>
      </c>
      <c r="C3892" t="s">
        <v>45</v>
      </c>
      <c r="D3892" t="s">
        <v>46</v>
      </c>
      <c r="E3892">
        <v>45</v>
      </c>
      <c r="F3892" t="s">
        <v>406</v>
      </c>
      <c r="G3892" t="s">
        <v>191</v>
      </c>
      <c r="H3892" t="s">
        <v>5299</v>
      </c>
      <c r="I3892" s="1" t="d">
        <v>2014-04-23</v>
      </c>
      <c r="J3892" t="s">
        <v>3010</v>
      </c>
      <c r="K3892" s="17" t="s">
        <v>34</v>
      </c>
      <c r="L3892">
        <v>2</v>
      </c>
    </row>
    <row r="3893" spans="1:12" x14ac:dyDescent="0.25">
      <c r="A3893" t="s">
        <v>7942</v>
      </c>
      <c r="B3893" t="s">
        <v>954</v>
      </c>
      <c r="C3893" t="s">
        <v>386</v>
      </c>
      <c r="D3893" t="s">
        <v>9527</v>
      </c>
      <c r="E3893">
        <v>21</v>
      </c>
      <c r="F3893" t="s">
        <v>649</v>
      </c>
      <c r="G3893" t="s">
        <v>39</v>
      </c>
      <c r="H3893" s="2">
        <v>74681</v>
      </c>
      <c r="I3893" s="1" t="d">
        <v>2024-12-19</v>
      </c>
      <c r="J3893" t="s">
        <v>460</v>
      </c>
      <c r="K3893" s="17" t="s">
        <v>149</v>
      </c>
      <c r="L3893">
        <v>3</v>
      </c>
    </row>
    <row r="3894" spans="1:12" x14ac:dyDescent="0.25">
      <c r="A3894" t="s">
        <v>7943</v>
      </c>
      <c r="B3894" t="s">
        <v>1002</v>
      </c>
      <c r="C3894" t="s">
        <v>7944</v>
      </c>
      <c r="D3894" t="s">
        <v>46</v>
      </c>
      <c r="E3894">
        <v>35</v>
      </c>
      <c r="F3894" t="s">
        <v>245</v>
      </c>
      <c r="G3894" t="s">
        <v>217</v>
      </c>
      <c r="H3894" t="s">
        <v>7945</v>
      </c>
      <c r="I3894" s="1" t="d">
        <v>2022-11-15</v>
      </c>
      <c r="J3894" t="s">
        <v>7946</v>
      </c>
      <c r="K3894" s="17" t="s">
        <v>19</v>
      </c>
      <c r="L3894">
        <v>3</v>
      </c>
    </row>
    <row r="3895" spans="1:12" x14ac:dyDescent="0.25">
      <c r="A3895" t="s">
        <v>7947</v>
      </c>
      <c r="B3895" t="s">
        <v>594</v>
      </c>
      <c r="C3895" t="s">
        <v>135</v>
      </c>
      <c r="D3895" t="s">
        <v>9527</v>
      </c>
      <c r="E3895">
        <v>39</v>
      </c>
      <c r="F3895" t="s">
        <v>406</v>
      </c>
      <c r="G3895" t="s">
        <v>16</v>
      </c>
      <c r="H3895" t="s">
        <v>7948</v>
      </c>
      <c r="I3895" s="1" t="d">
        <v>2007-09-16</v>
      </c>
      <c r="J3895" t="s">
        <v>4608</v>
      </c>
      <c r="K3895" s="17" t="s">
        <v>71</v>
      </c>
      <c r="L3895">
        <v>2</v>
      </c>
    </row>
    <row r="3896" spans="1:12" x14ac:dyDescent="0.25">
      <c r="A3896" t="s">
        <v>7949</v>
      </c>
      <c r="B3896" t="s">
        <v>1706</v>
      </c>
      <c r="C3896" t="s">
        <v>416</v>
      </c>
      <c r="D3896" t="s">
        <v>46</v>
      </c>
      <c r="E3896">
        <v>31</v>
      </c>
      <c r="F3896" t="s">
        <v>68</v>
      </c>
      <c r="G3896" t="s">
        <v>115</v>
      </c>
      <c r="H3896" s="2">
        <v>103907</v>
      </c>
      <c r="I3896" s="1" t="d">
        <v>2024-03-24</v>
      </c>
      <c r="J3896" t="s">
        <v>7950</v>
      </c>
      <c r="K3896" s="17" t="s">
        <v>90</v>
      </c>
      <c r="L3896">
        <v>4</v>
      </c>
    </row>
    <row r="3897" spans="1:12" x14ac:dyDescent="0.25">
      <c r="A3897" t="s">
        <v>7951</v>
      </c>
      <c r="B3897" t="s">
        <v>2697</v>
      </c>
      <c r="C3897" t="s">
        <v>739</v>
      </c>
      <c r="D3897" t="s">
        <v>46</v>
      </c>
      <c r="E3897">
        <v>47</v>
      </c>
      <c r="F3897" t="s">
        <v>238</v>
      </c>
      <c r="G3897" t="s">
        <v>170</v>
      </c>
      <c r="H3897" s="2">
        <v>46962</v>
      </c>
      <c r="I3897" s="1" t="d">
        <v>2007-12-02</v>
      </c>
      <c r="J3897" t="s">
        <v>4877</v>
      </c>
      <c r="K3897" s="17" t="s">
        <v>34</v>
      </c>
      <c r="L3897">
        <v>4</v>
      </c>
    </row>
    <row r="3898" spans="1:12" x14ac:dyDescent="0.25">
      <c r="A3898" t="s">
        <v>7952</v>
      </c>
      <c r="B3898" t="s">
        <v>583</v>
      </c>
      <c r="C3898" t="s">
        <v>1039</v>
      </c>
      <c r="D3898" t="s">
        <v>9527</v>
      </c>
      <c r="E3898">
        <v>21</v>
      </c>
      <c r="F3898" t="s">
        <v>411</v>
      </c>
      <c r="G3898" t="s">
        <v>48</v>
      </c>
      <c r="H3898" t="s">
        <v>7953</v>
      </c>
      <c r="I3898" s="1" t="d">
        <v>2014-08-04</v>
      </c>
      <c r="J3898" t="s">
        <v>972</v>
      </c>
      <c r="K3898" s="17" t="s">
        <v>100</v>
      </c>
      <c r="L3898">
        <v>3</v>
      </c>
    </row>
    <row r="3899" spans="1:12" x14ac:dyDescent="0.25">
      <c r="A3899" t="s">
        <v>7954</v>
      </c>
      <c r="B3899" t="s">
        <v>648</v>
      </c>
      <c r="C3899" t="s">
        <v>386</v>
      </c>
      <c r="D3899" t="s">
        <v>23</v>
      </c>
      <c r="E3899">
        <v>35</v>
      </c>
      <c r="G3899" t="s">
        <v>55</v>
      </c>
      <c r="H3899" t="s">
        <v>7955</v>
      </c>
      <c r="I3899" s="1" t="d">
        <v>2012-07-16</v>
      </c>
      <c r="J3899" t="s">
        <v>7956</v>
      </c>
      <c r="K3899" s="17" t="s">
        <v>207</v>
      </c>
      <c r="L3899">
        <v>3</v>
      </c>
    </row>
    <row r="3900" spans="1:12" x14ac:dyDescent="0.25">
      <c r="A3900" t="s">
        <v>7957</v>
      </c>
      <c r="B3900" t="s">
        <v>670</v>
      </c>
      <c r="C3900" t="s">
        <v>970</v>
      </c>
      <c r="D3900" t="s">
        <v>46</v>
      </c>
      <c r="E3900">
        <v>53</v>
      </c>
      <c r="F3900" t="s">
        <v>114</v>
      </c>
      <c r="G3900" t="s">
        <v>55</v>
      </c>
      <c r="I3900" s="1" t="d">
        <v>2020-05-29</v>
      </c>
      <c r="J3900" t="s">
        <v>673</v>
      </c>
      <c r="K3900" s="17" t="s">
        <v>34</v>
      </c>
      <c r="L3900">
        <v>4</v>
      </c>
    </row>
    <row r="3901" spans="1:12" x14ac:dyDescent="0.25">
      <c r="A3901" t="s">
        <v>7958</v>
      </c>
      <c r="B3901" t="s">
        <v>29</v>
      </c>
      <c r="C3901" t="s">
        <v>869</v>
      </c>
      <c r="D3901" t="s">
        <v>23</v>
      </c>
      <c r="E3901">
        <v>34</v>
      </c>
      <c r="F3901" t="s">
        <v>3280</v>
      </c>
      <c r="G3901" t="s">
        <v>504</v>
      </c>
      <c r="H3901" s="2">
        <v>88744</v>
      </c>
      <c r="I3901" s="1" t="d">
        <v>2019-08-20</v>
      </c>
      <c r="J3901" t="s">
        <v>6719</v>
      </c>
      <c r="K3901" s="17" t="s">
        <v>71</v>
      </c>
      <c r="L3901">
        <v>3</v>
      </c>
    </row>
    <row r="3902" spans="1:12" x14ac:dyDescent="0.25">
      <c r="A3902" t="s">
        <v>7959</v>
      </c>
      <c r="B3902" t="s">
        <v>7960</v>
      </c>
      <c r="C3902" t="s">
        <v>1520</v>
      </c>
      <c r="D3902" t="s">
        <v>23</v>
      </c>
      <c r="E3902">
        <v>32</v>
      </c>
      <c r="F3902" t="s">
        <v>108</v>
      </c>
      <c r="G3902" t="s">
        <v>191</v>
      </c>
      <c r="H3902">
        <v>70402</v>
      </c>
      <c r="I3902" s="1" t="d">
        <v>2015-12-31</v>
      </c>
      <c r="J3902" t="s">
        <v>3016</v>
      </c>
      <c r="K3902" s="17" t="s">
        <v>19</v>
      </c>
      <c r="L3902">
        <v>2</v>
      </c>
    </row>
    <row r="3903" spans="1:12" x14ac:dyDescent="0.25">
      <c r="A3903" t="s">
        <v>7961</v>
      </c>
      <c r="B3903" t="s">
        <v>5127</v>
      </c>
      <c r="C3903" t="s">
        <v>758</v>
      </c>
      <c r="D3903" t="s">
        <v>46</v>
      </c>
      <c r="E3903">
        <v>34</v>
      </c>
      <c r="F3903" t="s">
        <v>559</v>
      </c>
      <c r="G3903" t="s">
        <v>526</v>
      </c>
      <c r="H3903" t="s">
        <v>7962</v>
      </c>
      <c r="I3903" s="1" t="d">
        <v>2021-12-08</v>
      </c>
      <c r="J3903" t="s">
        <v>2460</v>
      </c>
      <c r="K3903" s="17" t="s">
        <v>90</v>
      </c>
      <c r="L3903">
        <v>3</v>
      </c>
    </row>
    <row r="3904" spans="1:12" x14ac:dyDescent="0.25">
      <c r="A3904" t="s">
        <v>7963</v>
      </c>
      <c r="B3904" t="s">
        <v>1213</v>
      </c>
      <c r="C3904" t="s">
        <v>5496</v>
      </c>
      <c r="D3904" t="s">
        <v>23</v>
      </c>
      <c r="E3904">
        <v>31</v>
      </c>
      <c r="F3904" t="s">
        <v>532</v>
      </c>
      <c r="G3904" t="s">
        <v>25</v>
      </c>
      <c r="H3904" s="2">
        <v>105026</v>
      </c>
      <c r="J3904" t="s">
        <v>1704</v>
      </c>
      <c r="K3904" s="17" t="s">
        <v>27</v>
      </c>
      <c r="L3904">
        <v>4</v>
      </c>
    </row>
    <row r="3905" spans="1:12" x14ac:dyDescent="0.25">
      <c r="A3905" t="s">
        <v>3091</v>
      </c>
      <c r="B3905" t="s">
        <v>1374</v>
      </c>
      <c r="C3905" t="s">
        <v>45</v>
      </c>
      <c r="D3905" t="s">
        <v>9527</v>
      </c>
      <c r="E3905">
        <v>49</v>
      </c>
      <c r="F3905" t="s">
        <v>406</v>
      </c>
      <c r="G3905" t="s">
        <v>88</v>
      </c>
      <c r="H3905">
        <v>45161</v>
      </c>
      <c r="I3905" s="1" t="d">
        <v>2016-08-22</v>
      </c>
      <c r="J3905" t="s">
        <v>3092</v>
      </c>
      <c r="K3905" s="17" t="s">
        <v>149</v>
      </c>
      <c r="L3905">
        <v>5</v>
      </c>
    </row>
    <row r="3906" spans="1:12" x14ac:dyDescent="0.25">
      <c r="A3906" t="s">
        <v>7964</v>
      </c>
      <c r="B3906" t="s">
        <v>945</v>
      </c>
      <c r="C3906" t="s">
        <v>763</v>
      </c>
      <c r="D3906" t="s">
        <v>23</v>
      </c>
      <c r="E3906">
        <v>51</v>
      </c>
      <c r="F3906" t="s">
        <v>365</v>
      </c>
      <c r="G3906" t="s">
        <v>82</v>
      </c>
      <c r="H3906" s="2">
        <v>43492</v>
      </c>
      <c r="I3906" s="1" t="d">
        <v>2020-07-02</v>
      </c>
      <c r="J3906" t="s">
        <v>764</v>
      </c>
      <c r="K3906" s="17" t="s">
        <v>19</v>
      </c>
      <c r="L3906">
        <v>3</v>
      </c>
    </row>
    <row r="3907" spans="1:12" x14ac:dyDescent="0.25">
      <c r="A3907" t="s">
        <v>7965</v>
      </c>
      <c r="B3907" t="s">
        <v>4201</v>
      </c>
      <c r="C3907" t="s">
        <v>204</v>
      </c>
      <c r="D3907" t="s">
        <v>23</v>
      </c>
      <c r="E3907">
        <v>46</v>
      </c>
      <c r="F3907" t="s">
        <v>666</v>
      </c>
      <c r="G3907" t="s">
        <v>3277</v>
      </c>
      <c r="H3907" t="s">
        <v>7966</v>
      </c>
      <c r="I3907" s="1" t="d">
        <v>2022-09-29</v>
      </c>
      <c r="J3907" t="s">
        <v>5461</v>
      </c>
      <c r="K3907" s="17" t="s">
        <v>149</v>
      </c>
      <c r="L3907">
        <v>4</v>
      </c>
    </row>
    <row r="3908" spans="1:12" x14ac:dyDescent="0.25">
      <c r="A3908" t="s">
        <v>7967</v>
      </c>
      <c r="B3908" t="s">
        <v>4072</v>
      </c>
      <c r="C3908" t="s">
        <v>624</v>
      </c>
      <c r="D3908" t="s">
        <v>23</v>
      </c>
      <c r="E3908">
        <v>33</v>
      </c>
      <c r="F3908" t="s">
        <v>399</v>
      </c>
      <c r="G3908" t="s">
        <v>283</v>
      </c>
      <c r="H3908">
        <v>109317</v>
      </c>
      <c r="J3908" t="s">
        <v>1126</v>
      </c>
      <c r="K3908" s="17" t="s">
        <v>184</v>
      </c>
      <c r="L3908">
        <v>3</v>
      </c>
    </row>
    <row r="3909" spans="1:12" x14ac:dyDescent="0.25">
      <c r="A3909" t="s">
        <v>7968</v>
      </c>
      <c r="B3909" t="s">
        <v>826</v>
      </c>
      <c r="C3909" t="s">
        <v>729</v>
      </c>
      <c r="D3909" t="s">
        <v>46</v>
      </c>
      <c r="E3909">
        <v>47</v>
      </c>
      <c r="F3909" t="s">
        <v>2302</v>
      </c>
      <c r="G3909" t="s">
        <v>159</v>
      </c>
      <c r="H3909" s="2">
        <v>87742</v>
      </c>
      <c r="I3909" s="1" t="d">
        <v>2011-05-10</v>
      </c>
      <c r="J3909" t="s">
        <v>836</v>
      </c>
      <c r="K3909" s="17" t="s">
        <v>207</v>
      </c>
      <c r="L3909">
        <v>4</v>
      </c>
    </row>
    <row r="3910" spans="1:12" x14ac:dyDescent="0.25">
      <c r="A3910" t="s">
        <v>7969</v>
      </c>
      <c r="B3910" t="s">
        <v>2877</v>
      </c>
      <c r="C3910" t="s">
        <v>121</v>
      </c>
      <c r="D3910" t="s">
        <v>23</v>
      </c>
      <c r="E3910">
        <v>49</v>
      </c>
      <c r="G3910" t="s">
        <v>39</v>
      </c>
      <c r="H3910" t="s">
        <v>7970</v>
      </c>
      <c r="I3910" s="1" t="d">
        <v>2013-03-14</v>
      </c>
      <c r="J3910" t="s">
        <v>7971</v>
      </c>
      <c r="K3910" s="17" t="s">
        <v>370</v>
      </c>
      <c r="L3910">
        <v>3</v>
      </c>
    </row>
    <row r="3911" spans="1:12" x14ac:dyDescent="0.25">
      <c r="A3911" t="s">
        <v>3601</v>
      </c>
      <c r="B3911" t="s">
        <v>120</v>
      </c>
      <c r="C3911" t="s">
        <v>140</v>
      </c>
      <c r="D3911" t="s">
        <v>46</v>
      </c>
      <c r="E3911">
        <v>48</v>
      </c>
      <c r="F3911" t="s">
        <v>114</v>
      </c>
      <c r="G3911" t="s">
        <v>1285</v>
      </c>
      <c r="H3911" s="2">
        <v>102629</v>
      </c>
      <c r="I3911" s="1" t="d">
        <v>2019-10-15</v>
      </c>
      <c r="J3911" t="s">
        <v>3603</v>
      </c>
      <c r="K3911" s="17" t="s">
        <v>34</v>
      </c>
      <c r="L3911">
        <v>3</v>
      </c>
    </row>
    <row r="3912" spans="1:12" x14ac:dyDescent="0.25">
      <c r="A3912" t="s">
        <v>7972</v>
      </c>
      <c r="B3912" t="s">
        <v>120</v>
      </c>
      <c r="C3912" t="s">
        <v>1356</v>
      </c>
      <c r="D3912" t="s">
        <v>9527</v>
      </c>
      <c r="E3912">
        <v>21</v>
      </c>
      <c r="G3912" t="s">
        <v>1121</v>
      </c>
      <c r="H3912">
        <v>151962</v>
      </c>
      <c r="I3912" s="1" t="d">
        <v>2013-08-11</v>
      </c>
      <c r="J3912" t="s">
        <v>3312</v>
      </c>
      <c r="K3912" s="17" t="s">
        <v>34</v>
      </c>
      <c r="L3912">
        <v>5</v>
      </c>
    </row>
    <row r="3913" spans="1:12" x14ac:dyDescent="0.25">
      <c r="A3913" t="s">
        <v>7973</v>
      </c>
      <c r="B3913" t="s">
        <v>1842</v>
      </c>
      <c r="C3913" t="s">
        <v>1030</v>
      </c>
      <c r="D3913" t="s">
        <v>9527</v>
      </c>
      <c r="E3913">
        <v>35</v>
      </c>
      <c r="F3913" t="s">
        <v>245</v>
      </c>
      <c r="G3913" t="s">
        <v>170</v>
      </c>
      <c r="H3913" t="s">
        <v>7974</v>
      </c>
      <c r="I3913" s="1" t="d">
        <v>2011-10-07</v>
      </c>
      <c r="J3913" t="s">
        <v>2052</v>
      </c>
      <c r="K3913" s="17" t="s">
        <v>149</v>
      </c>
      <c r="L3913">
        <v>3</v>
      </c>
    </row>
    <row r="3914" spans="1:12" x14ac:dyDescent="0.25">
      <c r="A3914" t="s">
        <v>7975</v>
      </c>
      <c r="B3914" t="s">
        <v>404</v>
      </c>
      <c r="C3914" t="s">
        <v>715</v>
      </c>
      <c r="D3914" t="s">
        <v>46</v>
      </c>
      <c r="E3914">
        <v>43</v>
      </c>
      <c r="F3914" t="s">
        <v>153</v>
      </c>
      <c r="G3914" t="s">
        <v>170</v>
      </c>
      <c r="H3914" t="s">
        <v>7976</v>
      </c>
      <c r="I3914" s="1" t="d">
        <v>2017-05-04</v>
      </c>
      <c r="J3914" t="s">
        <v>2646</v>
      </c>
      <c r="K3914" s="17" t="s">
        <v>71</v>
      </c>
      <c r="L3914">
        <v>4</v>
      </c>
    </row>
    <row r="3915" spans="1:12" x14ac:dyDescent="0.25">
      <c r="A3915" t="s">
        <v>7977</v>
      </c>
      <c r="B3915" t="s">
        <v>664</v>
      </c>
      <c r="C3915" t="s">
        <v>168</v>
      </c>
      <c r="D3915" t="s">
        <v>9527</v>
      </c>
      <c r="E3915">
        <v>23</v>
      </c>
      <c r="F3915" t="s">
        <v>373</v>
      </c>
      <c r="G3915" t="s">
        <v>996</v>
      </c>
      <c r="H3915" s="2">
        <v>210215</v>
      </c>
      <c r="I3915" s="1" t="d">
        <v>2005-08-11</v>
      </c>
      <c r="J3915" t="s">
        <v>925</v>
      </c>
      <c r="K3915" s="17" t="s">
        <v>118</v>
      </c>
      <c r="L3915">
        <v>5</v>
      </c>
    </row>
    <row r="3916" spans="1:12" x14ac:dyDescent="0.25">
      <c r="A3916" t="s">
        <v>7978</v>
      </c>
      <c r="B3916" t="s">
        <v>1181</v>
      </c>
      <c r="C3916" t="s">
        <v>851</v>
      </c>
      <c r="D3916" t="s">
        <v>23</v>
      </c>
      <c r="E3916">
        <v>34</v>
      </c>
      <c r="F3916" t="s">
        <v>146</v>
      </c>
      <c r="G3916" t="s">
        <v>69</v>
      </c>
      <c r="H3916" t="s">
        <v>7979</v>
      </c>
      <c r="I3916" s="1" t="d">
        <v>2024-12-01</v>
      </c>
      <c r="J3916" t="s">
        <v>4194</v>
      </c>
      <c r="K3916" s="17" t="s">
        <v>71</v>
      </c>
      <c r="L3916">
        <v>4</v>
      </c>
    </row>
    <row r="3917" spans="1:12" x14ac:dyDescent="0.25">
      <c r="A3917" t="s">
        <v>7980</v>
      </c>
      <c r="B3917" t="s">
        <v>583</v>
      </c>
      <c r="C3917" t="s">
        <v>332</v>
      </c>
      <c r="D3917" t="s">
        <v>46</v>
      </c>
      <c r="E3917">
        <v>59</v>
      </c>
      <c r="F3917" t="s">
        <v>81</v>
      </c>
      <c r="G3917" t="s">
        <v>1703</v>
      </c>
      <c r="H3917" t="s">
        <v>7981</v>
      </c>
      <c r="I3917" s="1" t="d">
        <v>2019-07-19</v>
      </c>
      <c r="J3917" t="s">
        <v>1314</v>
      </c>
      <c r="K3917" s="17" t="s">
        <v>27</v>
      </c>
      <c r="L3917">
        <v>3</v>
      </c>
    </row>
    <row r="3918" spans="1:12" x14ac:dyDescent="0.25">
      <c r="A3918" t="s">
        <v>7982</v>
      </c>
      <c r="B3918" t="s">
        <v>37</v>
      </c>
      <c r="C3918" t="s">
        <v>22</v>
      </c>
      <c r="D3918" t="s">
        <v>9527</v>
      </c>
      <c r="E3918">
        <v>27</v>
      </c>
      <c r="F3918" t="s">
        <v>589</v>
      </c>
      <c r="G3918" t="s">
        <v>63</v>
      </c>
      <c r="H3918" s="2">
        <v>113980</v>
      </c>
      <c r="I3918" s="1" t="d">
        <v>2013-12-07</v>
      </c>
      <c r="J3918" t="s">
        <v>383</v>
      </c>
      <c r="K3918" s="17" t="s">
        <v>184</v>
      </c>
      <c r="L3918">
        <v>5</v>
      </c>
    </row>
    <row r="3919" spans="1:12" x14ac:dyDescent="0.25">
      <c r="A3919" t="s">
        <v>7983</v>
      </c>
      <c r="B3919" t="s">
        <v>37</v>
      </c>
      <c r="C3919" t="s">
        <v>474</v>
      </c>
      <c r="D3919" t="s">
        <v>9527</v>
      </c>
      <c r="E3919">
        <v>37</v>
      </c>
      <c r="F3919" t="s">
        <v>356</v>
      </c>
      <c r="G3919" t="s">
        <v>16</v>
      </c>
      <c r="H3919" s="2">
        <v>131212</v>
      </c>
      <c r="I3919" s="1" t="d">
        <v>2011-01-26</v>
      </c>
      <c r="J3919" t="s">
        <v>7984</v>
      </c>
      <c r="K3919" s="17" t="s">
        <v>71</v>
      </c>
      <c r="L3919">
        <v>2</v>
      </c>
    </row>
    <row r="3920" spans="1:12" x14ac:dyDescent="0.25">
      <c r="A3920" t="s">
        <v>7985</v>
      </c>
      <c r="B3920" t="s">
        <v>566</v>
      </c>
      <c r="C3920" t="s">
        <v>684</v>
      </c>
      <c r="D3920" t="s">
        <v>23</v>
      </c>
      <c r="E3920">
        <v>63</v>
      </c>
      <c r="F3920" t="s">
        <v>24</v>
      </c>
      <c r="G3920" t="s">
        <v>39</v>
      </c>
      <c r="H3920">
        <v>81725</v>
      </c>
      <c r="I3920" s="1" t="d">
        <v>2010-10-01</v>
      </c>
      <c r="J3920" t="s">
        <v>2359</v>
      </c>
      <c r="K3920" s="17" t="s">
        <v>118</v>
      </c>
      <c r="L3920">
        <v>3</v>
      </c>
    </row>
    <row r="3921" spans="1:12" x14ac:dyDescent="0.25">
      <c r="A3921" t="s">
        <v>7186</v>
      </c>
      <c r="B3921" t="s">
        <v>670</v>
      </c>
      <c r="C3921" t="s">
        <v>158</v>
      </c>
      <c r="D3921" t="s">
        <v>9527</v>
      </c>
      <c r="E3921">
        <v>21</v>
      </c>
      <c r="F3921" t="s">
        <v>169</v>
      </c>
      <c r="G3921" t="s">
        <v>82</v>
      </c>
      <c r="H3921" s="2">
        <v>51506</v>
      </c>
      <c r="I3921" s="1" t="d">
        <v>2016-08-06</v>
      </c>
      <c r="J3921" t="s">
        <v>7187</v>
      </c>
      <c r="K3921" s="17" t="s">
        <v>71</v>
      </c>
      <c r="L3921">
        <v>4</v>
      </c>
    </row>
    <row r="3922" spans="1:12" x14ac:dyDescent="0.25">
      <c r="A3922" t="s">
        <v>7986</v>
      </c>
      <c r="B3922" t="s">
        <v>931</v>
      </c>
      <c r="C3922" t="s">
        <v>624</v>
      </c>
      <c r="D3922" t="s">
        <v>46</v>
      </c>
      <c r="E3922">
        <v>36</v>
      </c>
      <c r="F3922" t="s">
        <v>319</v>
      </c>
      <c r="G3922" t="s">
        <v>39</v>
      </c>
      <c r="H3922" s="2">
        <v>45799</v>
      </c>
      <c r="I3922" s="1" t="d">
        <v>2021-10-02</v>
      </c>
      <c r="J3922" t="s">
        <v>3853</v>
      </c>
      <c r="K3922" s="17" t="s">
        <v>27</v>
      </c>
      <c r="L3922">
        <v>2</v>
      </c>
    </row>
    <row r="3923" spans="1:12" x14ac:dyDescent="0.25">
      <c r="A3923" t="s">
        <v>7987</v>
      </c>
      <c r="B3923" t="s">
        <v>7988</v>
      </c>
      <c r="C3923" t="s">
        <v>1901</v>
      </c>
      <c r="D3923" t="s">
        <v>46</v>
      </c>
      <c r="E3923">
        <v>26</v>
      </c>
      <c r="F3923" t="s">
        <v>942</v>
      </c>
      <c r="G3923" t="s">
        <v>205</v>
      </c>
      <c r="H3923" s="2">
        <v>98146</v>
      </c>
      <c r="I3923" s="1" t="d">
        <v>2015-05-17</v>
      </c>
      <c r="J3923" t="s">
        <v>3019</v>
      </c>
      <c r="K3923" s="17" t="s">
        <v>90</v>
      </c>
      <c r="L3923">
        <v>2</v>
      </c>
    </row>
    <row r="3924" spans="1:12" x14ac:dyDescent="0.25">
      <c r="A3924" t="s">
        <v>7989</v>
      </c>
      <c r="B3924" t="s">
        <v>1896</v>
      </c>
      <c r="C3924" t="s">
        <v>898</v>
      </c>
      <c r="D3924" t="s">
        <v>9527</v>
      </c>
      <c r="E3924">
        <v>25</v>
      </c>
      <c r="F3924" t="s">
        <v>146</v>
      </c>
      <c r="G3924" t="s">
        <v>1866</v>
      </c>
      <c r="H3924">
        <v>106299</v>
      </c>
      <c r="I3924" s="1" t="d">
        <v>2020-05-13</v>
      </c>
      <c r="J3924" t="s">
        <v>2388</v>
      </c>
      <c r="K3924" s="17" t="s">
        <v>90</v>
      </c>
      <c r="L3924">
        <v>5</v>
      </c>
    </row>
    <row r="3925" spans="1:12" x14ac:dyDescent="0.25">
      <c r="A3925" t="s">
        <v>7990</v>
      </c>
      <c r="B3925" t="s">
        <v>1842</v>
      </c>
      <c r="C3925" t="s">
        <v>665</v>
      </c>
      <c r="D3925" t="s">
        <v>46</v>
      </c>
      <c r="E3925">
        <v>47</v>
      </c>
      <c r="F3925" t="s">
        <v>146</v>
      </c>
      <c r="G3925" t="s">
        <v>159</v>
      </c>
      <c r="H3925" t="s">
        <v>7991</v>
      </c>
      <c r="J3925" t="s">
        <v>4683</v>
      </c>
      <c r="K3925" s="17" t="s">
        <v>370</v>
      </c>
      <c r="L3925">
        <v>4</v>
      </c>
    </row>
    <row r="3926" spans="1:12" x14ac:dyDescent="0.25">
      <c r="A3926" t="s">
        <v>7992</v>
      </c>
      <c r="B3926" t="s">
        <v>1512</v>
      </c>
      <c r="C3926" t="s">
        <v>699</v>
      </c>
      <c r="D3926" t="s">
        <v>46</v>
      </c>
      <c r="E3926">
        <v>39</v>
      </c>
      <c r="F3926" t="s">
        <v>230</v>
      </c>
      <c r="G3926" t="s">
        <v>39</v>
      </c>
      <c r="I3926" s="1" t="d">
        <v>2020-10-21</v>
      </c>
      <c r="J3926" t="s">
        <v>7993</v>
      </c>
      <c r="K3926" s="17" t="s">
        <v>42</v>
      </c>
      <c r="L3926">
        <v>3</v>
      </c>
    </row>
    <row r="3927" spans="1:12" x14ac:dyDescent="0.25">
      <c r="A3927" t="s">
        <v>7994</v>
      </c>
      <c r="B3927" t="s">
        <v>162</v>
      </c>
      <c r="C3927" t="s">
        <v>2118</v>
      </c>
      <c r="D3927" t="s">
        <v>9527</v>
      </c>
      <c r="E3927">
        <v>29</v>
      </c>
      <c r="F3927" t="s">
        <v>68</v>
      </c>
      <c r="G3927" t="s">
        <v>115</v>
      </c>
      <c r="H3927" t="s">
        <v>7995</v>
      </c>
      <c r="I3927" s="1" t="d">
        <v>2014-08-13</v>
      </c>
      <c r="J3927" t="s">
        <v>7996</v>
      </c>
      <c r="K3927" s="17" t="s">
        <v>34</v>
      </c>
      <c r="L3927">
        <v>4</v>
      </c>
    </row>
    <row r="3928" spans="1:12" x14ac:dyDescent="0.25">
      <c r="A3928" t="s">
        <v>2758</v>
      </c>
      <c r="B3928" t="s">
        <v>130</v>
      </c>
      <c r="C3928" t="s">
        <v>3955</v>
      </c>
      <c r="D3928" t="s">
        <v>9527</v>
      </c>
      <c r="E3928">
        <v>34</v>
      </c>
      <c r="F3928" t="s">
        <v>576</v>
      </c>
      <c r="G3928" t="s">
        <v>177</v>
      </c>
      <c r="I3928" s="1" t="d">
        <v>2010-09-02</v>
      </c>
      <c r="J3928" t="s">
        <v>2760</v>
      </c>
      <c r="K3928" s="17" t="s">
        <v>100</v>
      </c>
      <c r="L3928">
        <v>4</v>
      </c>
    </row>
    <row r="3929" spans="1:12" x14ac:dyDescent="0.25">
      <c r="A3929" t="s">
        <v>2876</v>
      </c>
      <c r="B3929" t="s">
        <v>2877</v>
      </c>
      <c r="C3929" t="s">
        <v>2878</v>
      </c>
      <c r="D3929" t="s">
        <v>46</v>
      </c>
      <c r="E3929">
        <v>38</v>
      </c>
      <c r="F3929" t="s">
        <v>576</v>
      </c>
      <c r="G3929" t="s">
        <v>907</v>
      </c>
      <c r="H3929" t="s">
        <v>2879</v>
      </c>
      <c r="I3929" s="1" t="d">
        <v>2007-08-06</v>
      </c>
      <c r="J3929" t="s">
        <v>1372</v>
      </c>
      <c r="K3929" s="17" t="s">
        <v>71</v>
      </c>
      <c r="L3929">
        <v>4</v>
      </c>
    </row>
    <row r="3930" spans="1:12" x14ac:dyDescent="0.25">
      <c r="A3930" t="s">
        <v>7997</v>
      </c>
      <c r="B3930" t="s">
        <v>199</v>
      </c>
      <c r="C3930" t="s">
        <v>416</v>
      </c>
      <c r="D3930" t="s">
        <v>23</v>
      </c>
      <c r="E3930">
        <v>38</v>
      </c>
      <c r="G3930" t="s">
        <v>170</v>
      </c>
      <c r="H3930">
        <v>69328</v>
      </c>
      <c r="I3930" s="1" t="d">
        <v>2012-02-01</v>
      </c>
      <c r="J3930" t="s">
        <v>2113</v>
      </c>
      <c r="K3930" s="17" t="s">
        <v>27</v>
      </c>
      <c r="L3930">
        <v>3</v>
      </c>
    </row>
    <row r="3931" spans="1:12" x14ac:dyDescent="0.25">
      <c r="A3931" t="s">
        <v>7998</v>
      </c>
      <c r="B3931" t="s">
        <v>162</v>
      </c>
      <c r="C3931" t="s">
        <v>552</v>
      </c>
      <c r="D3931" t="s">
        <v>9527</v>
      </c>
      <c r="E3931">
        <v>38</v>
      </c>
      <c r="F3931" t="s">
        <v>356</v>
      </c>
      <c r="G3931" t="s">
        <v>82</v>
      </c>
      <c r="I3931" s="1" t="d">
        <v>2007-09-08</v>
      </c>
      <c r="J3931" t="s">
        <v>1483</v>
      </c>
      <c r="K3931" s="17" t="s">
        <v>19</v>
      </c>
      <c r="L3931">
        <v>5</v>
      </c>
    </row>
    <row r="3932" spans="1:12" x14ac:dyDescent="0.25">
      <c r="A3932" t="s">
        <v>7999</v>
      </c>
      <c r="B3932" t="s">
        <v>945</v>
      </c>
      <c r="C3932" t="s">
        <v>3206</v>
      </c>
      <c r="D3932" t="s">
        <v>46</v>
      </c>
      <c r="E3932">
        <v>40</v>
      </c>
      <c r="F3932" t="s">
        <v>253</v>
      </c>
      <c r="G3932" t="s">
        <v>88</v>
      </c>
      <c r="H3932" s="2">
        <v>58237</v>
      </c>
      <c r="I3932" s="1" t="d">
        <v>2024-08-11</v>
      </c>
      <c r="J3932" t="s">
        <v>4250</v>
      </c>
      <c r="K3932" s="17" t="s">
        <v>19</v>
      </c>
      <c r="L3932">
        <v>4</v>
      </c>
    </row>
    <row r="3933" spans="1:12" x14ac:dyDescent="0.25">
      <c r="A3933" t="s">
        <v>8000</v>
      </c>
      <c r="B3933" t="s">
        <v>773</v>
      </c>
      <c r="C3933" t="s">
        <v>1576</v>
      </c>
      <c r="D3933" t="s">
        <v>9527</v>
      </c>
      <c r="E3933">
        <v>38</v>
      </c>
      <c r="F3933" t="s">
        <v>399</v>
      </c>
      <c r="G3933" t="s">
        <v>177</v>
      </c>
      <c r="H3933" s="2">
        <v>54690</v>
      </c>
      <c r="I3933" s="1" t="d">
        <v>2018-02-12</v>
      </c>
      <c r="J3933" t="s">
        <v>4131</v>
      </c>
      <c r="K3933" s="17" t="s">
        <v>27</v>
      </c>
      <c r="L3933">
        <v>5</v>
      </c>
    </row>
    <row r="3934" spans="1:12" x14ac:dyDescent="0.25">
      <c r="A3934" t="s">
        <v>6455</v>
      </c>
      <c r="B3934" t="s">
        <v>563</v>
      </c>
      <c r="C3934" t="s">
        <v>462</v>
      </c>
      <c r="D3934" t="s">
        <v>46</v>
      </c>
      <c r="E3934">
        <v>32</v>
      </c>
      <c r="F3934" t="s">
        <v>399</v>
      </c>
      <c r="G3934" t="s">
        <v>170</v>
      </c>
      <c r="H3934" t="s">
        <v>6456</v>
      </c>
      <c r="I3934" s="1" t="d">
        <v>2020-08-19</v>
      </c>
      <c r="J3934" t="s">
        <v>2110</v>
      </c>
      <c r="K3934" s="17" t="s">
        <v>207</v>
      </c>
      <c r="L3934">
        <v>4</v>
      </c>
    </row>
    <row r="3935" spans="1:12" x14ac:dyDescent="0.25">
      <c r="A3935" t="s">
        <v>8001</v>
      </c>
      <c r="B3935" t="s">
        <v>812</v>
      </c>
      <c r="C3935" t="s">
        <v>961</v>
      </c>
      <c r="D3935" t="s">
        <v>46</v>
      </c>
      <c r="E3935">
        <v>44</v>
      </c>
      <c r="F3935" t="s">
        <v>1983</v>
      </c>
      <c r="G3935" t="s">
        <v>69</v>
      </c>
      <c r="H3935" t="s">
        <v>8002</v>
      </c>
      <c r="I3935" s="1" t="d">
        <v>2020-03-09</v>
      </c>
      <c r="J3935" t="s">
        <v>369</v>
      </c>
      <c r="K3935" s="17" t="s">
        <v>118</v>
      </c>
      <c r="L3935">
        <v>3</v>
      </c>
    </row>
    <row r="3936" spans="1:12" x14ac:dyDescent="0.25">
      <c r="A3936" t="s">
        <v>8003</v>
      </c>
      <c r="B3936" t="s">
        <v>2222</v>
      </c>
      <c r="C3936" t="s">
        <v>386</v>
      </c>
      <c r="D3936" t="s">
        <v>46</v>
      </c>
      <c r="E3936">
        <v>28</v>
      </c>
      <c r="F3936" t="s">
        <v>216</v>
      </c>
      <c r="G3936" t="s">
        <v>212</v>
      </c>
      <c r="H3936">
        <v>60409</v>
      </c>
      <c r="I3936" s="1" t="d">
        <v>2013-03-23</v>
      </c>
      <c r="J3936" t="s">
        <v>388</v>
      </c>
      <c r="K3936" s="17" t="s">
        <v>50</v>
      </c>
      <c r="L3936">
        <v>3</v>
      </c>
    </row>
    <row r="3937" spans="1:12" x14ac:dyDescent="0.25">
      <c r="A3937" t="s">
        <v>8004</v>
      </c>
      <c r="B3937" t="s">
        <v>221</v>
      </c>
      <c r="C3937" t="s">
        <v>572</v>
      </c>
      <c r="D3937" t="s">
        <v>46</v>
      </c>
      <c r="E3937">
        <v>34</v>
      </c>
      <c r="F3937" t="s">
        <v>211</v>
      </c>
      <c r="G3937" t="s">
        <v>337</v>
      </c>
      <c r="H3937" t="s">
        <v>8005</v>
      </c>
      <c r="I3937" s="1" t="d">
        <v>2022-01-12</v>
      </c>
      <c r="J3937" t="s">
        <v>662</v>
      </c>
      <c r="K3937" s="17" t="s">
        <v>42</v>
      </c>
      <c r="L3937">
        <v>5</v>
      </c>
    </row>
    <row r="3938" spans="1:12" x14ac:dyDescent="0.25">
      <c r="A3938" t="s">
        <v>8006</v>
      </c>
      <c r="B3938" t="s">
        <v>786</v>
      </c>
      <c r="C3938" t="s">
        <v>1520</v>
      </c>
      <c r="D3938" t="s">
        <v>46</v>
      </c>
      <c r="E3938">
        <v>50</v>
      </c>
      <c r="F3938" t="s">
        <v>186</v>
      </c>
      <c r="G3938" t="s">
        <v>48</v>
      </c>
      <c r="H3938" s="2">
        <v>90740</v>
      </c>
      <c r="I3938" s="1" t="d">
        <v>2022-10-04</v>
      </c>
      <c r="J3938" t="s">
        <v>6788</v>
      </c>
      <c r="K3938" s="17" t="s">
        <v>34</v>
      </c>
      <c r="L3938">
        <v>4</v>
      </c>
    </row>
    <row r="3939" spans="1:12" x14ac:dyDescent="0.25">
      <c r="A3939" t="s">
        <v>8007</v>
      </c>
      <c r="B3939" t="s">
        <v>718</v>
      </c>
      <c r="C3939" t="s">
        <v>830</v>
      </c>
      <c r="D3939" t="s">
        <v>46</v>
      </c>
      <c r="E3939">
        <v>36</v>
      </c>
      <c r="F3939" t="s">
        <v>666</v>
      </c>
      <c r="G3939" t="s">
        <v>159</v>
      </c>
      <c r="H3939" t="s">
        <v>8008</v>
      </c>
      <c r="I3939" s="1" t="d">
        <v>2007-01-28</v>
      </c>
      <c r="J3939" t="s">
        <v>6786</v>
      </c>
      <c r="K3939" s="17" t="s">
        <v>184</v>
      </c>
      <c r="L3939">
        <v>4</v>
      </c>
    </row>
    <row r="3940" spans="1:12" x14ac:dyDescent="0.25">
      <c r="A3940" t="s">
        <v>8009</v>
      </c>
      <c r="B3940" t="s">
        <v>60</v>
      </c>
      <c r="C3940" t="s">
        <v>1142</v>
      </c>
      <c r="D3940" t="s">
        <v>23</v>
      </c>
      <c r="E3940">
        <v>40</v>
      </c>
      <c r="F3940" t="s">
        <v>1889</v>
      </c>
      <c r="G3940" t="s">
        <v>16</v>
      </c>
      <c r="H3940" t="s">
        <v>8010</v>
      </c>
      <c r="I3940" s="1" t="d">
        <v>2016-05-21</v>
      </c>
      <c r="J3940" t="s">
        <v>4063</v>
      </c>
      <c r="K3940" s="17" t="s">
        <v>58</v>
      </c>
      <c r="L3940">
        <v>2</v>
      </c>
    </row>
    <row r="3941" spans="1:12" x14ac:dyDescent="0.25">
      <c r="A3941" t="s">
        <v>5936</v>
      </c>
      <c r="B3941" t="s">
        <v>862</v>
      </c>
      <c r="C3941" t="s">
        <v>107</v>
      </c>
      <c r="D3941" t="s">
        <v>9527</v>
      </c>
      <c r="E3941">
        <v>42</v>
      </c>
      <c r="F3941" t="s">
        <v>1116</v>
      </c>
      <c r="G3941" t="s">
        <v>8011</v>
      </c>
      <c r="H3941" t="s">
        <v>8012</v>
      </c>
      <c r="I3941" s="1" t="d">
        <v>2011-05-06</v>
      </c>
      <c r="J3941" t="s">
        <v>5015</v>
      </c>
      <c r="K3941" s="17" t="s">
        <v>50</v>
      </c>
      <c r="L3941">
        <v>4</v>
      </c>
    </row>
    <row r="3942" spans="1:12" x14ac:dyDescent="0.25">
      <c r="A3942" t="s">
        <v>8013</v>
      </c>
      <c r="B3942" t="s">
        <v>563</v>
      </c>
      <c r="C3942" t="s">
        <v>552</v>
      </c>
      <c r="D3942" t="s">
        <v>9527</v>
      </c>
      <c r="E3942">
        <v>42</v>
      </c>
      <c r="F3942" t="s">
        <v>287</v>
      </c>
      <c r="G3942" t="s">
        <v>88</v>
      </c>
      <c r="H3942" t="s">
        <v>8014</v>
      </c>
      <c r="I3942" s="1" t="d">
        <v>2019-08-12</v>
      </c>
      <c r="J3942" t="s">
        <v>1833</v>
      </c>
      <c r="K3942" s="17" t="s">
        <v>27</v>
      </c>
      <c r="L3942">
        <v>3</v>
      </c>
    </row>
    <row r="3943" spans="1:12" x14ac:dyDescent="0.25">
      <c r="A3943" t="s">
        <v>8015</v>
      </c>
      <c r="B3943" t="s">
        <v>1503</v>
      </c>
      <c r="C3943" t="s">
        <v>416</v>
      </c>
      <c r="D3943" t="s">
        <v>9527</v>
      </c>
      <c r="E3943">
        <v>42</v>
      </c>
      <c r="F3943" t="s">
        <v>230</v>
      </c>
      <c r="G3943" t="s">
        <v>16</v>
      </c>
      <c r="H3943" s="2">
        <v>77318</v>
      </c>
      <c r="I3943" s="1" t="d">
        <v>2005-07-24</v>
      </c>
      <c r="J3943" t="s">
        <v>6786</v>
      </c>
      <c r="K3943" s="17" t="s">
        <v>118</v>
      </c>
      <c r="L3943">
        <v>3</v>
      </c>
    </row>
    <row r="3944" spans="1:12" x14ac:dyDescent="0.25">
      <c r="A3944" t="s">
        <v>8016</v>
      </c>
      <c r="B3944" t="s">
        <v>60</v>
      </c>
      <c r="C3944" t="s">
        <v>766</v>
      </c>
      <c r="D3944" t="s">
        <v>46</v>
      </c>
      <c r="E3944">
        <v>31</v>
      </c>
      <c r="F3944" t="s">
        <v>649</v>
      </c>
      <c r="G3944" t="s">
        <v>170</v>
      </c>
      <c r="H3944" t="s">
        <v>8017</v>
      </c>
      <c r="I3944" s="1" t="d">
        <v>2018-01-12</v>
      </c>
      <c r="J3944" t="s">
        <v>2725</v>
      </c>
      <c r="K3944" s="17" t="s">
        <v>184</v>
      </c>
      <c r="L3944">
        <v>3</v>
      </c>
    </row>
    <row r="3945" spans="1:12" x14ac:dyDescent="0.25">
      <c r="A3945" t="s">
        <v>8018</v>
      </c>
      <c r="B3945" t="s">
        <v>709</v>
      </c>
      <c r="C3945" t="s">
        <v>1564</v>
      </c>
      <c r="D3945" t="s">
        <v>46</v>
      </c>
      <c r="E3945">
        <v>28</v>
      </c>
      <c r="F3945" t="s">
        <v>245</v>
      </c>
      <c r="G3945" t="s">
        <v>88</v>
      </c>
      <c r="H3945">
        <v>60953</v>
      </c>
      <c r="I3945" s="1" t="d">
        <v>2005-07-02</v>
      </c>
      <c r="J3945" t="s">
        <v>7912</v>
      </c>
      <c r="K3945" s="17" t="s">
        <v>184</v>
      </c>
      <c r="L3945">
        <v>3</v>
      </c>
    </row>
    <row r="3946" spans="1:12" x14ac:dyDescent="0.25">
      <c r="A3946" t="s">
        <v>8019</v>
      </c>
      <c r="B3946" t="s">
        <v>37</v>
      </c>
      <c r="C3946" t="s">
        <v>847</v>
      </c>
      <c r="D3946" t="s">
        <v>9527</v>
      </c>
      <c r="E3946">
        <v>43</v>
      </c>
      <c r="F3946" t="s">
        <v>31</v>
      </c>
      <c r="G3946" t="s">
        <v>69</v>
      </c>
      <c r="H3946">
        <v>-53347</v>
      </c>
      <c r="I3946" s="1" t="d">
        <v>2019-01-30</v>
      </c>
      <c r="J3946" t="s">
        <v>5956</v>
      </c>
      <c r="K3946" s="17" t="s">
        <v>50</v>
      </c>
      <c r="L3946">
        <v>3</v>
      </c>
    </row>
    <row r="3947" spans="1:12" x14ac:dyDescent="0.25">
      <c r="A3947" t="s">
        <v>8020</v>
      </c>
      <c r="B3947" t="s">
        <v>1374</v>
      </c>
      <c r="C3947" t="s">
        <v>386</v>
      </c>
      <c r="D3947" t="s">
        <v>46</v>
      </c>
      <c r="E3947">
        <v>42</v>
      </c>
      <c r="F3947" t="s">
        <v>211</v>
      </c>
      <c r="G3947" t="s">
        <v>127</v>
      </c>
      <c r="H3947" t="s">
        <v>8021</v>
      </c>
      <c r="I3947" s="1" t="d">
        <v>2023-12-16</v>
      </c>
      <c r="J3947" t="s">
        <v>2468</v>
      </c>
      <c r="K3947" s="17" t="s">
        <v>184</v>
      </c>
      <c r="L3947">
        <v>5</v>
      </c>
    </row>
    <row r="3948" spans="1:12" x14ac:dyDescent="0.25">
      <c r="A3948" t="s">
        <v>8022</v>
      </c>
      <c r="B3948" t="s">
        <v>1382</v>
      </c>
      <c r="C3948" t="s">
        <v>3487</v>
      </c>
      <c r="D3948" t="s">
        <v>9527</v>
      </c>
      <c r="E3948">
        <v>44</v>
      </c>
      <c r="F3948" t="s">
        <v>245</v>
      </c>
      <c r="G3948" t="s">
        <v>16</v>
      </c>
      <c r="H3948" t="s">
        <v>8023</v>
      </c>
      <c r="I3948" s="1" t="d">
        <v>2009-11-05</v>
      </c>
      <c r="J3948" t="s">
        <v>4802</v>
      </c>
      <c r="K3948" s="17" t="s">
        <v>149</v>
      </c>
      <c r="L3948">
        <v>4</v>
      </c>
    </row>
    <row r="3949" spans="1:12" x14ac:dyDescent="0.25">
      <c r="A3949" t="s">
        <v>4636</v>
      </c>
      <c r="B3949" t="s">
        <v>1301</v>
      </c>
      <c r="C3949" t="s">
        <v>1030</v>
      </c>
      <c r="D3949" t="s">
        <v>23</v>
      </c>
      <c r="E3949">
        <v>34</v>
      </c>
      <c r="F3949" t="s">
        <v>153</v>
      </c>
      <c r="G3949" t="s">
        <v>458</v>
      </c>
      <c r="H3949">
        <v>92882</v>
      </c>
      <c r="I3949" s="1" t="d">
        <v>2011-05-25</v>
      </c>
      <c r="J3949" t="s">
        <v>2924</v>
      </c>
      <c r="K3949" s="17" t="s">
        <v>58</v>
      </c>
      <c r="L3949">
        <v>4</v>
      </c>
    </row>
    <row r="3950" spans="1:12" x14ac:dyDescent="0.25">
      <c r="A3950" t="s">
        <v>8024</v>
      </c>
      <c r="B3950" t="s">
        <v>1154</v>
      </c>
      <c r="C3950" t="s">
        <v>1248</v>
      </c>
      <c r="D3950" t="s">
        <v>23</v>
      </c>
      <c r="E3950">
        <v>50</v>
      </c>
      <c r="F3950" t="s">
        <v>81</v>
      </c>
      <c r="G3950" t="s">
        <v>82</v>
      </c>
      <c r="H3950">
        <v>49413</v>
      </c>
      <c r="I3950" s="1" t="d">
        <v>2007-05-16</v>
      </c>
      <c r="J3950" t="s">
        <v>1250</v>
      </c>
      <c r="K3950" s="17" t="s">
        <v>34</v>
      </c>
      <c r="L3950">
        <v>3</v>
      </c>
    </row>
    <row r="3951" spans="1:12" x14ac:dyDescent="0.25">
      <c r="A3951" t="s">
        <v>8025</v>
      </c>
      <c r="B3951" t="s">
        <v>1247</v>
      </c>
      <c r="C3951" t="s">
        <v>268</v>
      </c>
      <c r="D3951" t="s">
        <v>9527</v>
      </c>
      <c r="E3951">
        <v>48</v>
      </c>
      <c r="F3951" t="s">
        <v>24</v>
      </c>
      <c r="G3951" t="s">
        <v>16</v>
      </c>
      <c r="H3951" t="s">
        <v>8026</v>
      </c>
      <c r="I3951" s="1" t="d">
        <v>2005-07-16</v>
      </c>
      <c r="J3951" t="s">
        <v>2355</v>
      </c>
      <c r="K3951" s="17" t="s">
        <v>19</v>
      </c>
      <c r="L3951">
        <v>3</v>
      </c>
    </row>
    <row r="3952" spans="1:12" x14ac:dyDescent="0.25">
      <c r="A3952" t="s">
        <v>8027</v>
      </c>
      <c r="B3952" t="s">
        <v>2272</v>
      </c>
      <c r="C3952" t="s">
        <v>521</v>
      </c>
      <c r="D3952" t="s">
        <v>46</v>
      </c>
      <c r="E3952">
        <v>41</v>
      </c>
      <c r="F3952" t="s">
        <v>296</v>
      </c>
      <c r="G3952" t="s">
        <v>191</v>
      </c>
      <c r="H3952">
        <v>65754</v>
      </c>
      <c r="I3952" s="1" t="d">
        <v>2007-02-26</v>
      </c>
      <c r="J3952" t="s">
        <v>5510</v>
      </c>
      <c r="K3952" s="17" t="s">
        <v>118</v>
      </c>
      <c r="L3952">
        <v>3</v>
      </c>
    </row>
    <row r="3953" spans="1:12" x14ac:dyDescent="0.25">
      <c r="A3953" t="s">
        <v>8028</v>
      </c>
      <c r="B3953" t="s">
        <v>467</v>
      </c>
      <c r="C3953" t="s">
        <v>715</v>
      </c>
      <c r="D3953" t="s">
        <v>46</v>
      </c>
      <c r="E3953">
        <v>61</v>
      </c>
      <c r="F3953" t="s">
        <v>245</v>
      </c>
      <c r="G3953" t="s">
        <v>1121</v>
      </c>
      <c r="H3953" t="s">
        <v>8029</v>
      </c>
      <c r="I3953" s="1" t="d">
        <v>2008-01-24</v>
      </c>
      <c r="J3953" t="s">
        <v>4712</v>
      </c>
      <c r="K3953" s="17" t="s">
        <v>90</v>
      </c>
      <c r="L3953">
        <v>4</v>
      </c>
    </row>
    <row r="3954" spans="1:12" x14ac:dyDescent="0.25">
      <c r="A3954" t="s">
        <v>8030</v>
      </c>
      <c r="B3954" t="s">
        <v>8031</v>
      </c>
      <c r="C3954" t="s">
        <v>552</v>
      </c>
      <c r="D3954" t="s">
        <v>23</v>
      </c>
      <c r="E3954">
        <v>52</v>
      </c>
      <c r="G3954" t="s">
        <v>2337</v>
      </c>
      <c r="H3954" t="s">
        <v>8032</v>
      </c>
      <c r="I3954" s="1" t="d">
        <v>2022-11-05</v>
      </c>
      <c r="J3954" t="s">
        <v>704</v>
      </c>
      <c r="K3954" s="17" t="s">
        <v>27</v>
      </c>
      <c r="L3954">
        <v>3</v>
      </c>
    </row>
    <row r="3955" spans="1:12" x14ac:dyDescent="0.25">
      <c r="A3955" t="s">
        <v>8033</v>
      </c>
      <c r="B3955" t="s">
        <v>221</v>
      </c>
      <c r="C3955" t="s">
        <v>2918</v>
      </c>
      <c r="D3955" t="s">
        <v>23</v>
      </c>
      <c r="E3955">
        <v>32</v>
      </c>
      <c r="G3955" t="s">
        <v>191</v>
      </c>
      <c r="H3955" t="s">
        <v>8034</v>
      </c>
      <c r="I3955" s="1" t="d">
        <v>2019-09-09</v>
      </c>
      <c r="J3955" t="s">
        <v>4754</v>
      </c>
      <c r="K3955" s="17" t="s">
        <v>50</v>
      </c>
      <c r="L3955">
        <v>5</v>
      </c>
    </row>
    <row r="3956" spans="1:12" x14ac:dyDescent="0.25">
      <c r="A3956" t="s">
        <v>8035</v>
      </c>
      <c r="B3956" t="s">
        <v>60</v>
      </c>
      <c r="C3956" t="s">
        <v>830</v>
      </c>
      <c r="D3956" t="s">
        <v>46</v>
      </c>
      <c r="E3956">
        <v>36</v>
      </c>
      <c r="F3956" t="s">
        <v>522</v>
      </c>
      <c r="G3956" t="s">
        <v>351</v>
      </c>
      <c r="H3956" t="s">
        <v>8036</v>
      </c>
      <c r="I3956" s="1" t="d">
        <v>2023-11-17</v>
      </c>
      <c r="J3956" t="s">
        <v>4063</v>
      </c>
      <c r="K3956" s="17" t="s">
        <v>118</v>
      </c>
      <c r="L3956">
        <v>2</v>
      </c>
    </row>
    <row r="3957" spans="1:12" x14ac:dyDescent="0.25">
      <c r="A3957" t="s">
        <v>8037</v>
      </c>
      <c r="B3957" t="s">
        <v>112</v>
      </c>
      <c r="C3957" t="s">
        <v>778</v>
      </c>
      <c r="D3957" t="s">
        <v>23</v>
      </c>
      <c r="E3957">
        <v>39</v>
      </c>
      <c r="F3957" t="s">
        <v>238</v>
      </c>
      <c r="G3957" t="s">
        <v>69</v>
      </c>
      <c r="H3957" s="2">
        <v>69131</v>
      </c>
      <c r="I3957" s="1" t="d">
        <v>2005-11-19</v>
      </c>
      <c r="J3957" t="s">
        <v>5589</v>
      </c>
      <c r="K3957" s="17" t="s">
        <v>71</v>
      </c>
      <c r="L3957">
        <v>3</v>
      </c>
    </row>
    <row r="3958" spans="1:12" x14ac:dyDescent="0.25">
      <c r="A3958" t="s">
        <v>8038</v>
      </c>
      <c r="B3958" t="s">
        <v>120</v>
      </c>
      <c r="C3958" t="s">
        <v>158</v>
      </c>
      <c r="D3958" t="s">
        <v>46</v>
      </c>
      <c r="E3958">
        <v>50</v>
      </c>
      <c r="F3958" t="s">
        <v>2065</v>
      </c>
      <c r="G3958" t="s">
        <v>82</v>
      </c>
      <c r="H3958" t="s">
        <v>8039</v>
      </c>
      <c r="I3958" s="1" t="d">
        <v>2017-07-15</v>
      </c>
      <c r="J3958" t="s">
        <v>8040</v>
      </c>
      <c r="K3958" s="17" t="s">
        <v>370</v>
      </c>
      <c r="L3958">
        <v>4</v>
      </c>
    </row>
    <row r="3959" spans="1:12" x14ac:dyDescent="0.25">
      <c r="A3959" t="s">
        <v>8041</v>
      </c>
      <c r="B3959" t="s">
        <v>1403</v>
      </c>
      <c r="C3959" t="s">
        <v>584</v>
      </c>
      <c r="D3959" t="s">
        <v>46</v>
      </c>
      <c r="E3959">
        <v>21</v>
      </c>
      <c r="F3959" t="s">
        <v>146</v>
      </c>
      <c r="G3959" t="s">
        <v>328</v>
      </c>
      <c r="H3959" s="2">
        <v>94485</v>
      </c>
      <c r="I3959" s="1" t="d">
        <v>2008-11-15</v>
      </c>
      <c r="J3959" t="s">
        <v>650</v>
      </c>
      <c r="K3959" s="17" t="s">
        <v>149</v>
      </c>
      <c r="L3959">
        <v>5</v>
      </c>
    </row>
    <row r="3960" spans="1:12" x14ac:dyDescent="0.25">
      <c r="A3960" t="s">
        <v>8042</v>
      </c>
      <c r="B3960" t="s">
        <v>439</v>
      </c>
      <c r="C3960" t="s">
        <v>1763</v>
      </c>
      <c r="D3960" t="s">
        <v>23</v>
      </c>
      <c r="E3960">
        <v>26</v>
      </c>
      <c r="F3960" t="s">
        <v>411</v>
      </c>
      <c r="G3960" t="s">
        <v>88</v>
      </c>
      <c r="H3960" s="2">
        <v>70160</v>
      </c>
      <c r="I3960" s="1" t="d">
        <v>2022-04-17</v>
      </c>
      <c r="J3960" t="s">
        <v>3191</v>
      </c>
      <c r="K3960" s="17" t="s">
        <v>19</v>
      </c>
      <c r="L3960">
        <v>4</v>
      </c>
    </row>
    <row r="3961" spans="1:12" x14ac:dyDescent="0.25">
      <c r="A3961" t="s">
        <v>8043</v>
      </c>
      <c r="B3961" t="s">
        <v>702</v>
      </c>
      <c r="C3961" t="s">
        <v>53</v>
      </c>
      <c r="D3961" t="s">
        <v>23</v>
      </c>
      <c r="E3961">
        <v>47</v>
      </c>
      <c r="F3961" t="s">
        <v>245</v>
      </c>
      <c r="G3961" t="s">
        <v>115</v>
      </c>
      <c r="H3961">
        <v>72880</v>
      </c>
      <c r="I3961" s="1" t="d">
        <v>2023-11-28</v>
      </c>
      <c r="J3961" t="s">
        <v>3265</v>
      </c>
      <c r="K3961" s="17" t="s">
        <v>370</v>
      </c>
      <c r="L3961">
        <v>4</v>
      </c>
    </row>
    <row r="3962" spans="1:12" x14ac:dyDescent="0.25">
      <c r="A3962" t="s">
        <v>8044</v>
      </c>
      <c r="B3962" t="s">
        <v>44</v>
      </c>
      <c r="C3962" t="s">
        <v>8045</v>
      </c>
      <c r="D3962" t="s">
        <v>46</v>
      </c>
      <c r="E3962">
        <v>41</v>
      </c>
      <c r="F3962" t="s">
        <v>104</v>
      </c>
      <c r="G3962" t="s">
        <v>39</v>
      </c>
      <c r="H3962" t="s">
        <v>8046</v>
      </c>
      <c r="I3962" s="1" t="d">
        <v>2017-10-28</v>
      </c>
      <c r="J3962" t="s">
        <v>8047</v>
      </c>
      <c r="K3962" s="17" t="s">
        <v>370</v>
      </c>
      <c r="L3962">
        <v>4</v>
      </c>
    </row>
    <row r="3963" spans="1:12" x14ac:dyDescent="0.25">
      <c r="A3963" t="s">
        <v>8048</v>
      </c>
      <c r="B3963" t="s">
        <v>248</v>
      </c>
      <c r="C3963" t="s">
        <v>61</v>
      </c>
      <c r="D3963" t="s">
        <v>46</v>
      </c>
      <c r="E3963">
        <v>44</v>
      </c>
      <c r="F3963" t="s">
        <v>406</v>
      </c>
      <c r="G3963" t="s">
        <v>95</v>
      </c>
      <c r="H3963">
        <v>38320</v>
      </c>
      <c r="I3963" s="1" t="d">
        <v>2014-02-22</v>
      </c>
      <c r="J3963" t="s">
        <v>7704</v>
      </c>
      <c r="K3963" s="17" t="s">
        <v>34</v>
      </c>
      <c r="L3963">
        <v>3</v>
      </c>
    </row>
    <row r="3964" spans="1:12" x14ac:dyDescent="0.25">
      <c r="A3964" t="s">
        <v>8049</v>
      </c>
      <c r="B3964" t="s">
        <v>3135</v>
      </c>
      <c r="C3964" t="s">
        <v>2860</v>
      </c>
      <c r="D3964" t="s">
        <v>46</v>
      </c>
      <c r="E3964">
        <v>46</v>
      </c>
      <c r="F3964" t="s">
        <v>559</v>
      </c>
      <c r="G3964" t="s">
        <v>205</v>
      </c>
      <c r="H3964" t="s">
        <v>8050</v>
      </c>
      <c r="I3964" s="1" t="d">
        <v>2011-08-23</v>
      </c>
      <c r="J3964" t="s">
        <v>8051</v>
      </c>
      <c r="K3964" s="17" t="s">
        <v>50</v>
      </c>
      <c r="L3964">
        <v>3</v>
      </c>
    </row>
    <row r="3965" spans="1:12" x14ac:dyDescent="0.25">
      <c r="A3965" t="s">
        <v>8052</v>
      </c>
      <c r="B3965" t="s">
        <v>5538</v>
      </c>
      <c r="C3965" t="s">
        <v>631</v>
      </c>
      <c r="D3965" t="s">
        <v>46</v>
      </c>
      <c r="E3965">
        <v>24</v>
      </c>
      <c r="F3965" t="s">
        <v>269</v>
      </c>
      <c r="G3965" t="s">
        <v>182</v>
      </c>
      <c r="H3965">
        <v>66411</v>
      </c>
      <c r="I3965" s="1" t="d">
        <v>2019-04-01</v>
      </c>
      <c r="J3965" t="s">
        <v>4733</v>
      </c>
      <c r="K3965" s="17" t="s">
        <v>50</v>
      </c>
      <c r="L3965">
        <v>5</v>
      </c>
    </row>
    <row r="3966" spans="1:12" x14ac:dyDescent="0.25">
      <c r="A3966" t="s">
        <v>8053</v>
      </c>
      <c r="B3966" t="s">
        <v>410</v>
      </c>
      <c r="C3966" t="s">
        <v>8054</v>
      </c>
      <c r="D3966" t="s">
        <v>9527</v>
      </c>
      <c r="E3966">
        <v>38</v>
      </c>
      <c r="F3966" t="s">
        <v>75</v>
      </c>
      <c r="G3966" t="s">
        <v>182</v>
      </c>
      <c r="H3966" t="s">
        <v>8055</v>
      </c>
      <c r="I3966" s="1" t="d">
        <v>2009-05-30</v>
      </c>
      <c r="J3966" t="s">
        <v>1639</v>
      </c>
      <c r="K3966" s="17" t="s">
        <v>71</v>
      </c>
      <c r="L3966">
        <v>3</v>
      </c>
    </row>
    <row r="3967" spans="1:12" x14ac:dyDescent="0.25">
      <c r="A3967" t="s">
        <v>8056</v>
      </c>
      <c r="B3967" t="s">
        <v>86</v>
      </c>
      <c r="C3967" t="s">
        <v>719</v>
      </c>
      <c r="D3967" t="s">
        <v>9527</v>
      </c>
      <c r="E3967">
        <v>39</v>
      </c>
      <c r="F3967" t="s">
        <v>559</v>
      </c>
      <c r="G3967" t="s">
        <v>141</v>
      </c>
      <c r="H3967" s="2">
        <v>89272</v>
      </c>
      <c r="I3967" s="1" t="d">
        <v>2005-10-04</v>
      </c>
      <c r="J3967" t="s">
        <v>2698</v>
      </c>
      <c r="K3967" s="17" t="s">
        <v>58</v>
      </c>
      <c r="L3967">
        <v>4</v>
      </c>
    </row>
    <row r="3968" spans="1:12" x14ac:dyDescent="0.25">
      <c r="A3968" t="s">
        <v>8057</v>
      </c>
      <c r="B3968" t="s">
        <v>6733</v>
      </c>
      <c r="C3968" t="s">
        <v>386</v>
      </c>
      <c r="D3968" t="s">
        <v>9527</v>
      </c>
      <c r="E3968">
        <v>34</v>
      </c>
      <c r="F3968" t="s">
        <v>269</v>
      </c>
      <c r="G3968" t="s">
        <v>177</v>
      </c>
      <c r="H3968" s="2">
        <v>41663</v>
      </c>
      <c r="I3968" s="1" t="d">
        <v>2014-06-22</v>
      </c>
      <c r="J3968" t="s">
        <v>1008</v>
      </c>
      <c r="K3968" s="17" t="s">
        <v>370</v>
      </c>
      <c r="L3968">
        <v>4</v>
      </c>
    </row>
    <row r="3969" spans="1:12" x14ac:dyDescent="0.25">
      <c r="A3969" t="s">
        <v>8058</v>
      </c>
      <c r="B3969" t="s">
        <v>3201</v>
      </c>
      <c r="C3969" t="s">
        <v>67</v>
      </c>
      <c r="D3969" t="s">
        <v>23</v>
      </c>
      <c r="E3969">
        <v>34</v>
      </c>
      <c r="F3969" t="s">
        <v>68</v>
      </c>
      <c r="G3969" t="s">
        <v>16</v>
      </c>
      <c r="H3969" t="s">
        <v>8059</v>
      </c>
      <c r="I3969" s="1" t="d">
        <v>2010-08-28</v>
      </c>
      <c r="J3969" t="s">
        <v>2439</v>
      </c>
      <c r="K3969" s="17" t="s">
        <v>19</v>
      </c>
      <c r="L3969">
        <v>3</v>
      </c>
    </row>
    <row r="3970" spans="1:12" x14ac:dyDescent="0.25">
      <c r="A3970" t="s">
        <v>8060</v>
      </c>
      <c r="B3970" t="s">
        <v>467</v>
      </c>
      <c r="C3970" t="s">
        <v>3170</v>
      </c>
      <c r="D3970" t="s">
        <v>9527</v>
      </c>
      <c r="E3970">
        <v>38</v>
      </c>
      <c r="F3970" t="s">
        <v>114</v>
      </c>
      <c r="G3970" t="s">
        <v>212</v>
      </c>
      <c r="H3970" s="2">
        <v>132947</v>
      </c>
      <c r="I3970" s="1" t="d">
        <v>2008-03-28</v>
      </c>
      <c r="J3970" t="s">
        <v>2599</v>
      </c>
      <c r="K3970" s="17" t="s">
        <v>118</v>
      </c>
      <c r="L3970">
        <v>3</v>
      </c>
    </row>
    <row r="3971" spans="1:12" x14ac:dyDescent="0.25">
      <c r="A3971" t="s">
        <v>8061</v>
      </c>
      <c r="B3971" t="s">
        <v>931</v>
      </c>
      <c r="C3971" t="s">
        <v>7944</v>
      </c>
      <c r="D3971" t="s">
        <v>46</v>
      </c>
      <c r="E3971">
        <v>51</v>
      </c>
      <c r="F3971" t="s">
        <v>296</v>
      </c>
      <c r="G3971" t="s">
        <v>912</v>
      </c>
      <c r="H3971" t="s">
        <v>962</v>
      </c>
      <c r="I3971" s="1" t="d">
        <v>2014-07-20</v>
      </c>
      <c r="J3971" t="s">
        <v>1910</v>
      </c>
      <c r="K3971" s="17" t="s">
        <v>370</v>
      </c>
      <c r="L3971">
        <v>4</v>
      </c>
    </row>
    <row r="3972" spans="1:12" x14ac:dyDescent="0.25">
      <c r="A3972" t="s">
        <v>8062</v>
      </c>
      <c r="B3972" t="s">
        <v>1769</v>
      </c>
      <c r="C3972" t="s">
        <v>67</v>
      </c>
      <c r="D3972" t="s">
        <v>46</v>
      </c>
      <c r="E3972">
        <v>46</v>
      </c>
      <c r="F3972" t="s">
        <v>81</v>
      </c>
      <c r="G3972" t="s">
        <v>39</v>
      </c>
      <c r="H3972">
        <v>47197</v>
      </c>
      <c r="I3972" s="1" t="d">
        <v>2009-09-18</v>
      </c>
      <c r="J3972" t="s">
        <v>2134</v>
      </c>
      <c r="K3972" s="17" t="s">
        <v>207</v>
      </c>
      <c r="L3972">
        <v>3</v>
      </c>
    </row>
    <row r="3973" spans="1:12" x14ac:dyDescent="0.25">
      <c r="A3973" t="s">
        <v>8063</v>
      </c>
      <c r="B3973" t="s">
        <v>2500</v>
      </c>
      <c r="C3973" t="s">
        <v>2703</v>
      </c>
      <c r="D3973" t="s">
        <v>46</v>
      </c>
      <c r="E3973">
        <v>39</v>
      </c>
      <c r="F3973" t="s">
        <v>104</v>
      </c>
      <c r="G3973" t="s">
        <v>115</v>
      </c>
      <c r="H3973" s="2">
        <v>59878</v>
      </c>
      <c r="I3973" s="1" t="d">
        <v>2008-12-08</v>
      </c>
      <c r="J3973" t="s">
        <v>292</v>
      </c>
      <c r="K3973" s="17" t="s">
        <v>370</v>
      </c>
      <c r="L3973">
        <v>3</v>
      </c>
    </row>
    <row r="3974" spans="1:12" x14ac:dyDescent="0.25">
      <c r="A3974" t="s">
        <v>8064</v>
      </c>
      <c r="B3974" t="s">
        <v>248</v>
      </c>
      <c r="C3974" t="s">
        <v>107</v>
      </c>
      <c r="D3974" t="s">
        <v>9527</v>
      </c>
      <c r="E3974">
        <v>32</v>
      </c>
      <c r="F3974" t="s">
        <v>122</v>
      </c>
      <c r="G3974" t="s">
        <v>39</v>
      </c>
      <c r="H3974" s="2">
        <v>58130</v>
      </c>
      <c r="I3974" s="1" t="d">
        <v>2006-06-06</v>
      </c>
      <c r="J3974" t="s">
        <v>5368</v>
      </c>
      <c r="K3974" s="17" t="s">
        <v>42</v>
      </c>
      <c r="L3974">
        <v>3</v>
      </c>
    </row>
    <row r="3975" spans="1:12" x14ac:dyDescent="0.25">
      <c r="A3975" t="s">
        <v>8065</v>
      </c>
      <c r="B3975" t="s">
        <v>345</v>
      </c>
      <c r="C3975" t="s">
        <v>1266</v>
      </c>
      <c r="D3975" t="s">
        <v>23</v>
      </c>
      <c r="E3975">
        <v>61</v>
      </c>
      <c r="F3975" t="s">
        <v>186</v>
      </c>
      <c r="G3975" t="s">
        <v>191</v>
      </c>
      <c r="I3975" s="1" t="d">
        <v>2018-08-09</v>
      </c>
      <c r="J3975" t="s">
        <v>6450</v>
      </c>
      <c r="K3975" s="17" t="s">
        <v>100</v>
      </c>
      <c r="L3975">
        <v>3</v>
      </c>
    </row>
    <row r="3976" spans="1:12" x14ac:dyDescent="0.25">
      <c r="A3976" t="s">
        <v>8066</v>
      </c>
      <c r="B3976" t="s">
        <v>112</v>
      </c>
      <c r="C3976" t="s">
        <v>758</v>
      </c>
      <c r="D3976" t="s">
        <v>9527</v>
      </c>
      <c r="E3976">
        <v>37</v>
      </c>
      <c r="F3976" t="s">
        <v>3593</v>
      </c>
      <c r="G3976" t="s">
        <v>82</v>
      </c>
      <c r="H3976" s="2">
        <v>58313</v>
      </c>
      <c r="I3976" s="1" t="d">
        <v>2022-05-31</v>
      </c>
      <c r="J3976" t="s">
        <v>3365</v>
      </c>
      <c r="K3976" s="17" t="s">
        <v>50</v>
      </c>
      <c r="L3976">
        <v>3</v>
      </c>
    </row>
    <row r="3977" spans="1:12" x14ac:dyDescent="0.25">
      <c r="A3977" t="s">
        <v>8067</v>
      </c>
      <c r="B3977" t="s">
        <v>804</v>
      </c>
      <c r="C3977" t="s">
        <v>210</v>
      </c>
      <c r="D3977" t="s">
        <v>46</v>
      </c>
      <c r="E3977">
        <v>32</v>
      </c>
      <c r="F3977" t="s">
        <v>859</v>
      </c>
      <c r="G3977" t="s">
        <v>69</v>
      </c>
      <c r="H3977" s="2">
        <v>76949</v>
      </c>
      <c r="I3977" s="1" t="d">
        <v>2017-08-25</v>
      </c>
      <c r="J3977" t="s">
        <v>3103</v>
      </c>
      <c r="K3977" s="17" t="s">
        <v>58</v>
      </c>
      <c r="L3977">
        <v>4</v>
      </c>
    </row>
    <row r="3978" spans="1:12" x14ac:dyDescent="0.25">
      <c r="A3978" t="s">
        <v>6385</v>
      </c>
      <c r="B3978" t="s">
        <v>421</v>
      </c>
      <c r="C3978" t="s">
        <v>168</v>
      </c>
      <c r="D3978" t="s">
        <v>23</v>
      </c>
      <c r="E3978">
        <v>37</v>
      </c>
      <c r="F3978" t="s">
        <v>589</v>
      </c>
      <c r="G3978" t="s">
        <v>82</v>
      </c>
      <c r="H3978" t="s">
        <v>8068</v>
      </c>
      <c r="I3978" s="1" t="d">
        <v>2020-10-21</v>
      </c>
      <c r="J3978" t="s">
        <v>1022</v>
      </c>
      <c r="K3978" s="17" t="s">
        <v>90</v>
      </c>
      <c r="L3978">
        <v>5</v>
      </c>
    </row>
    <row r="3979" spans="1:12" x14ac:dyDescent="0.25">
      <c r="A3979" t="s">
        <v>8069</v>
      </c>
      <c r="B3979" t="s">
        <v>833</v>
      </c>
      <c r="C3979" t="s">
        <v>970</v>
      </c>
      <c r="D3979" t="s">
        <v>46</v>
      </c>
      <c r="E3979">
        <v>22</v>
      </c>
      <c r="F3979" t="s">
        <v>146</v>
      </c>
      <c r="G3979" t="s">
        <v>109</v>
      </c>
      <c r="H3979" t="s">
        <v>8070</v>
      </c>
      <c r="I3979" s="1" t="d">
        <v>2019-08-16</v>
      </c>
      <c r="J3979" t="s">
        <v>986</v>
      </c>
      <c r="K3979" s="17" t="s">
        <v>27</v>
      </c>
      <c r="L3979">
        <v>3</v>
      </c>
    </row>
    <row r="3980" spans="1:12" x14ac:dyDescent="0.25">
      <c r="A3980" t="s">
        <v>4519</v>
      </c>
      <c r="B3980" t="s">
        <v>4520</v>
      </c>
      <c r="C3980" t="s">
        <v>152</v>
      </c>
      <c r="D3980" t="s">
        <v>23</v>
      </c>
      <c r="E3980">
        <v>23</v>
      </c>
      <c r="F3980" t="s">
        <v>258</v>
      </c>
      <c r="G3980" t="s">
        <v>1121</v>
      </c>
      <c r="H3980" s="2">
        <v>132917</v>
      </c>
      <c r="I3980" s="1" t="d">
        <v>2020-12-21</v>
      </c>
      <c r="J3980" t="s">
        <v>4521</v>
      </c>
      <c r="K3980" s="17" t="s">
        <v>184</v>
      </c>
      <c r="L3980">
        <v>1</v>
      </c>
    </row>
    <row r="3981" spans="1:12" x14ac:dyDescent="0.25">
      <c r="A3981" t="s">
        <v>8071</v>
      </c>
      <c r="B3981" t="s">
        <v>248</v>
      </c>
      <c r="C3981" t="s">
        <v>405</v>
      </c>
      <c r="D3981" t="s">
        <v>23</v>
      </c>
      <c r="E3981">
        <v>24</v>
      </c>
      <c r="F3981" t="s">
        <v>114</v>
      </c>
      <c r="G3981" t="s">
        <v>16</v>
      </c>
      <c r="H3981" s="2">
        <v>114307</v>
      </c>
      <c r="I3981" s="1" t="d">
        <v>2010-05-07</v>
      </c>
      <c r="J3981" t="s">
        <v>8072</v>
      </c>
      <c r="K3981" s="17" t="s">
        <v>100</v>
      </c>
      <c r="L3981">
        <v>3</v>
      </c>
    </row>
    <row r="3982" spans="1:12" x14ac:dyDescent="0.25">
      <c r="A3982" t="s">
        <v>8073</v>
      </c>
      <c r="B3982" t="s">
        <v>520</v>
      </c>
      <c r="C3982" t="s">
        <v>715</v>
      </c>
      <c r="D3982" t="s">
        <v>46</v>
      </c>
      <c r="E3982">
        <v>35</v>
      </c>
      <c r="F3982" t="s">
        <v>153</v>
      </c>
      <c r="G3982" t="s">
        <v>16</v>
      </c>
      <c r="H3982">
        <v>-105667</v>
      </c>
      <c r="I3982" s="1" t="d">
        <v>2009-02-18</v>
      </c>
      <c r="J3982" t="s">
        <v>2896</v>
      </c>
      <c r="K3982" s="17" t="s">
        <v>149</v>
      </c>
      <c r="L3982">
        <v>5</v>
      </c>
    </row>
    <row r="3983" spans="1:12" x14ac:dyDescent="0.25">
      <c r="A3983" t="s">
        <v>8074</v>
      </c>
      <c r="B3983" t="s">
        <v>394</v>
      </c>
      <c r="C3983" t="s">
        <v>2860</v>
      </c>
      <c r="D3983" t="s">
        <v>23</v>
      </c>
      <c r="E3983">
        <v>26</v>
      </c>
      <c r="F3983" t="s">
        <v>104</v>
      </c>
      <c r="G3983" t="s">
        <v>217</v>
      </c>
      <c r="H3983" t="s">
        <v>8075</v>
      </c>
      <c r="I3983" s="1" t="d">
        <v>2005-11-01</v>
      </c>
      <c r="J3983" t="s">
        <v>4613</v>
      </c>
      <c r="K3983" s="17" t="s">
        <v>118</v>
      </c>
      <c r="L3983">
        <v>2</v>
      </c>
    </row>
    <row r="3984" spans="1:12" x14ac:dyDescent="0.25">
      <c r="A3984" t="s">
        <v>8076</v>
      </c>
      <c r="B3984" t="s">
        <v>3470</v>
      </c>
      <c r="C3984" t="s">
        <v>729</v>
      </c>
      <c r="D3984" t="s">
        <v>9527</v>
      </c>
      <c r="E3984">
        <v>21</v>
      </c>
      <c r="F3984" t="s">
        <v>114</v>
      </c>
      <c r="G3984" t="s">
        <v>337</v>
      </c>
      <c r="H3984">
        <v>88537</v>
      </c>
      <c r="I3984" s="1" t="d">
        <v>2015-03-10</v>
      </c>
      <c r="J3984" t="s">
        <v>6342</v>
      </c>
      <c r="K3984" s="17" t="s">
        <v>58</v>
      </c>
      <c r="L3984">
        <v>3</v>
      </c>
    </row>
    <row r="3985" spans="1:12" x14ac:dyDescent="0.25">
      <c r="A3985" t="s">
        <v>6471</v>
      </c>
      <c r="B3985" t="s">
        <v>1086</v>
      </c>
      <c r="C3985" t="s">
        <v>8077</v>
      </c>
      <c r="D3985" t="s">
        <v>9527</v>
      </c>
      <c r="E3985">
        <v>49</v>
      </c>
      <c r="F3985" t="s">
        <v>264</v>
      </c>
      <c r="G3985" t="s">
        <v>212</v>
      </c>
      <c r="H3985" t="s">
        <v>8078</v>
      </c>
      <c r="I3985" s="1" t="d">
        <v>2016-06-08</v>
      </c>
      <c r="J3985" t="s">
        <v>6217</v>
      </c>
      <c r="K3985" s="17" t="s">
        <v>34</v>
      </c>
      <c r="L3985">
        <v>3</v>
      </c>
    </row>
    <row r="3986" spans="1:12" x14ac:dyDescent="0.25">
      <c r="A3986" t="s">
        <v>8079</v>
      </c>
      <c r="B3986" t="s">
        <v>8080</v>
      </c>
      <c r="C3986" t="s">
        <v>1384</v>
      </c>
      <c r="D3986" t="s">
        <v>23</v>
      </c>
      <c r="E3986">
        <v>47</v>
      </c>
      <c r="F3986" t="s">
        <v>350</v>
      </c>
      <c r="G3986" t="s">
        <v>82</v>
      </c>
      <c r="H3986" t="s">
        <v>8081</v>
      </c>
      <c r="I3986" s="1" t="d">
        <v>2009-08-24</v>
      </c>
      <c r="J3986" t="s">
        <v>919</v>
      </c>
      <c r="K3986" s="17" t="s">
        <v>34</v>
      </c>
      <c r="L3986">
        <v>4</v>
      </c>
    </row>
    <row r="3987" spans="1:12" x14ac:dyDescent="0.25">
      <c r="A3987" t="s">
        <v>8082</v>
      </c>
      <c r="B3987" t="s">
        <v>2365</v>
      </c>
      <c r="C3987" t="s">
        <v>168</v>
      </c>
      <c r="D3987" t="s">
        <v>46</v>
      </c>
      <c r="E3987">
        <v>33</v>
      </c>
      <c r="F3987" t="s">
        <v>146</v>
      </c>
      <c r="G3987" t="s">
        <v>115</v>
      </c>
      <c r="H3987" t="s">
        <v>8083</v>
      </c>
      <c r="I3987" s="1" t="d">
        <v>2021-09-05</v>
      </c>
      <c r="J3987" t="s">
        <v>2976</v>
      </c>
      <c r="K3987" s="17" t="s">
        <v>50</v>
      </c>
      <c r="L3987">
        <v>4</v>
      </c>
    </row>
    <row r="3988" spans="1:12" x14ac:dyDescent="0.25">
      <c r="A3988" t="s">
        <v>8084</v>
      </c>
      <c r="B3988" t="s">
        <v>180</v>
      </c>
      <c r="C3988" t="s">
        <v>751</v>
      </c>
      <c r="D3988" t="s">
        <v>9527</v>
      </c>
      <c r="E3988">
        <v>21</v>
      </c>
      <c r="F3988" t="s">
        <v>2065</v>
      </c>
      <c r="G3988" t="s">
        <v>423</v>
      </c>
      <c r="H3988" t="s">
        <v>8085</v>
      </c>
      <c r="I3988" s="1" t="d">
        <v>2022-07-26</v>
      </c>
      <c r="J3988" t="s">
        <v>1910</v>
      </c>
      <c r="K3988" s="17" t="s">
        <v>50</v>
      </c>
      <c r="L3988">
        <v>3</v>
      </c>
    </row>
    <row r="3989" spans="1:12" x14ac:dyDescent="0.25">
      <c r="A3989" t="s">
        <v>8086</v>
      </c>
      <c r="B3989" t="s">
        <v>931</v>
      </c>
      <c r="C3989" t="s">
        <v>6327</v>
      </c>
      <c r="D3989" t="s">
        <v>23</v>
      </c>
      <c r="E3989">
        <v>39</v>
      </c>
      <c r="F3989" t="s">
        <v>1195</v>
      </c>
      <c r="G3989" t="s">
        <v>212</v>
      </c>
      <c r="H3989" t="s">
        <v>8087</v>
      </c>
      <c r="I3989" s="1" t="d">
        <v>2008-07-19</v>
      </c>
      <c r="J3989" t="s">
        <v>392</v>
      </c>
      <c r="K3989" s="17" t="s">
        <v>19</v>
      </c>
      <c r="L3989">
        <v>1</v>
      </c>
    </row>
    <row r="3990" spans="1:12" x14ac:dyDescent="0.25">
      <c r="A3990" t="s">
        <v>8088</v>
      </c>
      <c r="B3990" t="s">
        <v>130</v>
      </c>
      <c r="C3990" t="s">
        <v>790</v>
      </c>
      <c r="D3990" t="s">
        <v>46</v>
      </c>
      <c r="E3990">
        <v>27</v>
      </c>
      <c r="F3990" t="s">
        <v>258</v>
      </c>
      <c r="G3990" t="s">
        <v>1133</v>
      </c>
      <c r="I3990" s="1" t="d">
        <v>2023-03-04</v>
      </c>
      <c r="J3990" t="s">
        <v>2524</v>
      </c>
      <c r="K3990" s="17" t="s">
        <v>370</v>
      </c>
      <c r="L3990">
        <v>1</v>
      </c>
    </row>
    <row r="3991" spans="1:12" x14ac:dyDescent="0.25">
      <c r="A3991" t="s">
        <v>8089</v>
      </c>
      <c r="B3991" t="s">
        <v>2697</v>
      </c>
      <c r="C3991" t="s">
        <v>1881</v>
      </c>
      <c r="D3991" t="s">
        <v>23</v>
      </c>
      <c r="E3991">
        <v>41</v>
      </c>
      <c r="F3991" t="s">
        <v>1116</v>
      </c>
      <c r="G3991" t="s">
        <v>1703</v>
      </c>
      <c r="H3991" s="2">
        <v>80416</v>
      </c>
      <c r="I3991" s="1" t="d">
        <v>2007-05-25</v>
      </c>
      <c r="J3991" t="s">
        <v>8090</v>
      </c>
      <c r="K3991" s="17" t="s">
        <v>34</v>
      </c>
      <c r="L3991">
        <v>3</v>
      </c>
    </row>
    <row r="3992" spans="1:12" x14ac:dyDescent="0.25">
      <c r="A3992" t="s">
        <v>8091</v>
      </c>
      <c r="B3992" t="s">
        <v>833</v>
      </c>
      <c r="C3992" t="s">
        <v>4655</v>
      </c>
      <c r="D3992" t="s">
        <v>9527</v>
      </c>
      <c r="E3992">
        <v>30</v>
      </c>
      <c r="F3992" t="s">
        <v>15</v>
      </c>
      <c r="G3992" t="s">
        <v>82</v>
      </c>
      <c r="H3992" t="s">
        <v>8092</v>
      </c>
      <c r="I3992" s="1" t="d">
        <v>2019-06-02</v>
      </c>
      <c r="J3992" t="s">
        <v>834</v>
      </c>
      <c r="K3992" s="17" t="s">
        <v>184</v>
      </c>
      <c r="L3992">
        <v>4</v>
      </c>
    </row>
    <row r="3993" spans="1:12" x14ac:dyDescent="0.25">
      <c r="A3993" t="s">
        <v>8093</v>
      </c>
      <c r="B3993" t="s">
        <v>680</v>
      </c>
      <c r="C3993" t="s">
        <v>858</v>
      </c>
      <c r="D3993" t="s">
        <v>23</v>
      </c>
      <c r="E3993">
        <v>22</v>
      </c>
      <c r="G3993" t="s">
        <v>48</v>
      </c>
      <c r="H3993">
        <v>54874</v>
      </c>
      <c r="I3993" s="1" t="d">
        <v>2018-07-28</v>
      </c>
      <c r="J3993" t="s">
        <v>5552</v>
      </c>
      <c r="K3993" s="17" t="s">
        <v>207</v>
      </c>
      <c r="L3993">
        <v>3</v>
      </c>
    </row>
    <row r="3994" spans="1:12" x14ac:dyDescent="0.25">
      <c r="A3994" t="s">
        <v>8094</v>
      </c>
      <c r="B3994" t="s">
        <v>60</v>
      </c>
      <c r="C3994" t="s">
        <v>4216</v>
      </c>
      <c r="D3994" t="s">
        <v>9527</v>
      </c>
      <c r="E3994">
        <v>42</v>
      </c>
      <c r="F3994" t="s">
        <v>104</v>
      </c>
      <c r="G3994" t="s">
        <v>842</v>
      </c>
      <c r="I3994" s="1" t="d">
        <v>2020-05-18</v>
      </c>
      <c r="J3994" t="s">
        <v>963</v>
      </c>
      <c r="K3994" s="17" t="s">
        <v>34</v>
      </c>
      <c r="L3994">
        <v>4</v>
      </c>
    </row>
    <row r="3995" spans="1:12" x14ac:dyDescent="0.25">
      <c r="A3995" t="s">
        <v>8095</v>
      </c>
      <c r="B3995" t="s">
        <v>773</v>
      </c>
      <c r="C3995" t="s">
        <v>45</v>
      </c>
      <c r="D3995" t="s">
        <v>23</v>
      </c>
      <c r="E3995">
        <v>37</v>
      </c>
      <c r="F3995" t="s">
        <v>532</v>
      </c>
      <c r="G3995" t="s">
        <v>82</v>
      </c>
      <c r="H3995">
        <v>67666</v>
      </c>
      <c r="I3995" s="1" t="d">
        <v>2024-04-04</v>
      </c>
      <c r="J3995" t="s">
        <v>2629</v>
      </c>
      <c r="K3995" s="17" t="s">
        <v>71</v>
      </c>
      <c r="L3995">
        <v>3</v>
      </c>
    </row>
    <row r="3996" spans="1:12" x14ac:dyDescent="0.25">
      <c r="A3996" t="s">
        <v>8096</v>
      </c>
      <c r="B3996" t="s">
        <v>125</v>
      </c>
      <c r="C3996" t="s">
        <v>858</v>
      </c>
      <c r="D3996" t="s">
        <v>46</v>
      </c>
      <c r="E3996">
        <v>46</v>
      </c>
      <c r="F3996" t="s">
        <v>169</v>
      </c>
      <c r="G3996" t="s">
        <v>212</v>
      </c>
      <c r="H3996" t="s">
        <v>8097</v>
      </c>
      <c r="I3996" s="1" t="d">
        <v>2015-10-26</v>
      </c>
      <c r="J3996" t="s">
        <v>128</v>
      </c>
      <c r="K3996" s="17" t="s">
        <v>71</v>
      </c>
      <c r="L3996">
        <v>3</v>
      </c>
    </row>
    <row r="3997" spans="1:12" x14ac:dyDescent="0.25">
      <c r="A3997" t="s">
        <v>8098</v>
      </c>
      <c r="B3997" t="s">
        <v>841</v>
      </c>
      <c r="C3997" t="s">
        <v>457</v>
      </c>
      <c r="D3997" t="s">
        <v>46</v>
      </c>
      <c r="E3997">
        <v>31</v>
      </c>
      <c r="F3997" t="s">
        <v>365</v>
      </c>
      <c r="G3997" t="s">
        <v>328</v>
      </c>
      <c r="H3997">
        <v>-48925</v>
      </c>
      <c r="I3997" s="1" t="d">
        <v>2007-11-01</v>
      </c>
      <c r="J3997" t="s">
        <v>2721</v>
      </c>
      <c r="K3997" s="17" t="s">
        <v>71</v>
      </c>
      <c r="L3997">
        <v>4</v>
      </c>
    </row>
    <row r="3998" spans="1:12" x14ac:dyDescent="0.25">
      <c r="A3998" t="s">
        <v>8099</v>
      </c>
      <c r="B3998" t="s">
        <v>786</v>
      </c>
      <c r="C3998" t="s">
        <v>377</v>
      </c>
      <c r="D3998" t="s">
        <v>46</v>
      </c>
      <c r="E3998">
        <v>30</v>
      </c>
      <c r="F3998" t="s">
        <v>559</v>
      </c>
      <c r="G3998" t="s">
        <v>55</v>
      </c>
      <c r="H3998" t="s">
        <v>8100</v>
      </c>
      <c r="I3998" s="1" t="d">
        <v>2008-07-24</v>
      </c>
      <c r="J3998" t="s">
        <v>7411</v>
      </c>
      <c r="K3998" s="17" t="s">
        <v>19</v>
      </c>
      <c r="L3998">
        <v>4</v>
      </c>
    </row>
    <row r="3999" spans="1:12" x14ac:dyDescent="0.25">
      <c r="A3999" t="s">
        <v>8101</v>
      </c>
      <c r="B3999" t="s">
        <v>630</v>
      </c>
      <c r="C3999" t="s">
        <v>377</v>
      </c>
      <c r="D3999" t="s">
        <v>23</v>
      </c>
      <c r="E3999">
        <v>23</v>
      </c>
      <c r="F3999" t="s">
        <v>522</v>
      </c>
      <c r="G3999" t="s">
        <v>88</v>
      </c>
      <c r="H3999" s="2">
        <v>98311</v>
      </c>
      <c r="I3999" s="1" t="d">
        <v>2015-11-21</v>
      </c>
      <c r="J3999" t="s">
        <v>451</v>
      </c>
      <c r="K3999" s="17" t="s">
        <v>50</v>
      </c>
      <c r="L3999">
        <v>5</v>
      </c>
    </row>
    <row r="4000" spans="1:12" x14ac:dyDescent="0.25">
      <c r="A4000" t="s">
        <v>8102</v>
      </c>
      <c r="B4000" t="s">
        <v>1422</v>
      </c>
      <c r="C4000" t="s">
        <v>1039</v>
      </c>
      <c r="D4000" t="s">
        <v>9527</v>
      </c>
      <c r="E4000">
        <v>42</v>
      </c>
      <c r="F4000" t="s">
        <v>104</v>
      </c>
      <c r="G4000" t="s">
        <v>351</v>
      </c>
      <c r="H4000" t="s">
        <v>8103</v>
      </c>
      <c r="I4000" s="1" t="d">
        <v>2010-03-09</v>
      </c>
      <c r="J4000" t="s">
        <v>8104</v>
      </c>
      <c r="K4000" s="17" t="s">
        <v>19</v>
      </c>
      <c r="L4000">
        <v>3</v>
      </c>
    </row>
    <row r="4001" spans="1:12" x14ac:dyDescent="0.25">
      <c r="A4001" t="s">
        <v>8105</v>
      </c>
      <c r="B4001" t="s">
        <v>7960</v>
      </c>
      <c r="C4001" t="s">
        <v>395</v>
      </c>
      <c r="D4001" t="s">
        <v>46</v>
      </c>
      <c r="E4001">
        <v>36</v>
      </c>
      <c r="F4001" t="s">
        <v>264</v>
      </c>
      <c r="G4001" t="s">
        <v>115</v>
      </c>
      <c r="H4001" s="2">
        <v>-91683</v>
      </c>
      <c r="I4001" s="1" t="d">
        <v>2009-02-02</v>
      </c>
      <c r="J4001" t="s">
        <v>1732</v>
      </c>
      <c r="K4001" s="17" t="s">
        <v>34</v>
      </c>
      <c r="L4001">
        <v>4</v>
      </c>
    </row>
    <row r="4002" spans="1:12" x14ac:dyDescent="0.25">
      <c r="A4002" t="s">
        <v>8106</v>
      </c>
      <c r="B4002" t="s">
        <v>157</v>
      </c>
      <c r="C4002" t="s">
        <v>1234</v>
      </c>
      <c r="D4002" t="s">
        <v>23</v>
      </c>
      <c r="E4002">
        <v>37</v>
      </c>
      <c r="F4002" t="s">
        <v>264</v>
      </c>
      <c r="G4002" t="s">
        <v>182</v>
      </c>
      <c r="H4002" t="s">
        <v>8107</v>
      </c>
      <c r="I4002" s="1" t="d">
        <v>2017-05-27</v>
      </c>
      <c r="J4002" t="s">
        <v>2990</v>
      </c>
      <c r="K4002" s="17" t="s">
        <v>27</v>
      </c>
      <c r="L4002">
        <v>3</v>
      </c>
    </row>
    <row r="4003" spans="1:12" x14ac:dyDescent="0.25">
      <c r="A4003" t="s">
        <v>8108</v>
      </c>
      <c r="B4003" t="s">
        <v>507</v>
      </c>
      <c r="C4003" t="s">
        <v>74</v>
      </c>
      <c r="D4003" t="s">
        <v>9527</v>
      </c>
      <c r="E4003">
        <v>35</v>
      </c>
      <c r="F4003" t="s">
        <v>104</v>
      </c>
      <c r="G4003" t="s">
        <v>351</v>
      </c>
      <c r="H4003" t="s">
        <v>8109</v>
      </c>
      <c r="I4003" s="1" t="d">
        <v>2008-03-22</v>
      </c>
      <c r="J4003" t="s">
        <v>1122</v>
      </c>
      <c r="K4003" s="17" t="s">
        <v>71</v>
      </c>
      <c r="L4003">
        <v>3</v>
      </c>
    </row>
    <row r="4004" spans="1:12" x14ac:dyDescent="0.25">
      <c r="A4004" t="s">
        <v>8110</v>
      </c>
      <c r="B4004" t="s">
        <v>5484</v>
      </c>
      <c r="C4004" t="s">
        <v>1030</v>
      </c>
      <c r="D4004" t="s">
        <v>23</v>
      </c>
      <c r="E4004">
        <v>27</v>
      </c>
      <c r="F4004" t="s">
        <v>356</v>
      </c>
      <c r="G4004" t="s">
        <v>387</v>
      </c>
      <c r="H4004" t="s">
        <v>8111</v>
      </c>
      <c r="I4004" s="1" t="d">
        <v>2010-07-17</v>
      </c>
      <c r="J4004" t="s">
        <v>57</v>
      </c>
      <c r="K4004" s="17" t="s">
        <v>100</v>
      </c>
      <c r="L4004">
        <v>4</v>
      </c>
    </row>
    <row r="4005" spans="1:12" x14ac:dyDescent="0.25">
      <c r="A4005" t="s">
        <v>8112</v>
      </c>
      <c r="B4005" t="s">
        <v>281</v>
      </c>
      <c r="C4005" t="s">
        <v>584</v>
      </c>
      <c r="D4005" t="s">
        <v>9527</v>
      </c>
      <c r="E4005">
        <v>38</v>
      </c>
      <c r="F4005" t="s">
        <v>1163</v>
      </c>
      <c r="G4005" t="s">
        <v>170</v>
      </c>
      <c r="H4005" s="2">
        <v>76385</v>
      </c>
      <c r="I4005" s="1" t="d">
        <v>2015-08-04</v>
      </c>
      <c r="J4005" t="s">
        <v>3692</v>
      </c>
      <c r="K4005" s="17" t="s">
        <v>34</v>
      </c>
      <c r="L4005">
        <v>5</v>
      </c>
    </row>
    <row r="4006" spans="1:12" x14ac:dyDescent="0.25">
      <c r="A4006" t="s">
        <v>8113</v>
      </c>
      <c r="B4006" t="s">
        <v>251</v>
      </c>
      <c r="C4006" t="s">
        <v>181</v>
      </c>
      <c r="D4006" t="s">
        <v>9527</v>
      </c>
      <c r="E4006">
        <v>34</v>
      </c>
      <c r="F4006" t="s">
        <v>356</v>
      </c>
      <c r="G4006" t="s">
        <v>82</v>
      </c>
      <c r="H4006">
        <v>89116</v>
      </c>
      <c r="I4006" s="1" t="d">
        <v>2024-02-04</v>
      </c>
      <c r="J4006" t="s">
        <v>8114</v>
      </c>
      <c r="K4006" s="17" t="s">
        <v>27</v>
      </c>
      <c r="L4006">
        <v>3</v>
      </c>
    </row>
    <row r="4007" spans="1:12" x14ac:dyDescent="0.25">
      <c r="A4007" t="s">
        <v>8115</v>
      </c>
      <c r="B4007" t="s">
        <v>1689</v>
      </c>
      <c r="C4007" t="s">
        <v>53</v>
      </c>
      <c r="D4007" t="s">
        <v>9527</v>
      </c>
      <c r="E4007">
        <v>38</v>
      </c>
      <c r="F4007" t="s">
        <v>752</v>
      </c>
      <c r="G4007" t="s">
        <v>842</v>
      </c>
      <c r="H4007" t="s">
        <v>8116</v>
      </c>
      <c r="I4007" s="1" t="d">
        <v>2012-04-29</v>
      </c>
      <c r="J4007" t="s">
        <v>1804</v>
      </c>
      <c r="K4007" s="17" t="s">
        <v>34</v>
      </c>
      <c r="L4007">
        <v>3</v>
      </c>
    </row>
    <row r="4008" spans="1:12" x14ac:dyDescent="0.25">
      <c r="A4008" t="s">
        <v>8117</v>
      </c>
      <c r="B4008" t="s">
        <v>52</v>
      </c>
      <c r="C4008" t="s">
        <v>966</v>
      </c>
      <c r="D4008" t="s">
        <v>9527</v>
      </c>
      <c r="E4008">
        <v>56</v>
      </c>
      <c r="F4008" t="s">
        <v>859</v>
      </c>
      <c r="G4008" t="s">
        <v>69</v>
      </c>
      <c r="H4008" t="s">
        <v>962</v>
      </c>
      <c r="I4008" s="1" t="d">
        <v>2014-08-18</v>
      </c>
      <c r="J4008" t="s">
        <v>232</v>
      </c>
      <c r="K4008" s="17" t="s">
        <v>90</v>
      </c>
      <c r="L4008">
        <v>3</v>
      </c>
    </row>
    <row r="4009" spans="1:12" x14ac:dyDescent="0.25">
      <c r="A4009" t="s">
        <v>8118</v>
      </c>
      <c r="B4009" t="s">
        <v>1784</v>
      </c>
      <c r="C4009" t="s">
        <v>1442</v>
      </c>
      <c r="D4009" t="s">
        <v>23</v>
      </c>
      <c r="E4009">
        <v>27</v>
      </c>
      <c r="F4009" t="s">
        <v>559</v>
      </c>
      <c r="G4009" t="s">
        <v>109</v>
      </c>
      <c r="H4009">
        <v>108424</v>
      </c>
      <c r="I4009" s="1" t="d">
        <v>2014-11-13</v>
      </c>
      <c r="J4009" t="s">
        <v>2906</v>
      </c>
      <c r="K4009" s="17" t="s">
        <v>19</v>
      </c>
      <c r="L4009">
        <v>3</v>
      </c>
    </row>
    <row r="4010" spans="1:12" x14ac:dyDescent="0.25">
      <c r="A4010" t="s">
        <v>8119</v>
      </c>
      <c r="B4010" t="s">
        <v>684</v>
      </c>
      <c r="C4010" t="s">
        <v>121</v>
      </c>
      <c r="D4010" t="s">
        <v>9527</v>
      </c>
      <c r="E4010">
        <v>44</v>
      </c>
      <c r="F4010" t="s">
        <v>258</v>
      </c>
      <c r="G4010" t="s">
        <v>88</v>
      </c>
      <c r="H4010" t="s">
        <v>8120</v>
      </c>
      <c r="I4010" s="1" t="d">
        <v>2019-01-21</v>
      </c>
      <c r="J4010" t="s">
        <v>3079</v>
      </c>
      <c r="K4010" s="17" t="s">
        <v>90</v>
      </c>
      <c r="L4010">
        <v>3</v>
      </c>
    </row>
    <row r="4011" spans="1:12" x14ac:dyDescent="0.25">
      <c r="A4011" t="s">
        <v>8121</v>
      </c>
      <c r="B4011" t="s">
        <v>901</v>
      </c>
      <c r="C4011" t="s">
        <v>237</v>
      </c>
      <c r="D4011" t="s">
        <v>9527</v>
      </c>
      <c r="E4011">
        <v>39</v>
      </c>
      <c r="F4011" t="s">
        <v>169</v>
      </c>
      <c r="G4011" t="s">
        <v>82</v>
      </c>
      <c r="I4011" s="1" t="d">
        <v>2014-12-31</v>
      </c>
      <c r="J4011" t="s">
        <v>2314</v>
      </c>
      <c r="K4011" s="17" t="s">
        <v>19</v>
      </c>
      <c r="L4011">
        <v>2</v>
      </c>
    </row>
    <row r="4012" spans="1:12" x14ac:dyDescent="0.25">
      <c r="A4012" t="s">
        <v>5677</v>
      </c>
      <c r="B4012" t="s">
        <v>906</v>
      </c>
      <c r="C4012" t="s">
        <v>684</v>
      </c>
      <c r="D4012" t="s">
        <v>46</v>
      </c>
      <c r="E4012">
        <v>45</v>
      </c>
      <c r="F4012" t="s">
        <v>108</v>
      </c>
      <c r="G4012" t="s">
        <v>170</v>
      </c>
      <c r="H4012" t="s">
        <v>8122</v>
      </c>
      <c r="I4012" s="1" t="d">
        <v>2010-10-16</v>
      </c>
      <c r="J4012" t="s">
        <v>284</v>
      </c>
      <c r="K4012" s="17" t="s">
        <v>118</v>
      </c>
      <c r="L4012">
        <v>3</v>
      </c>
    </row>
    <row r="4013" spans="1:12" x14ac:dyDescent="0.25">
      <c r="A4013" t="s">
        <v>8123</v>
      </c>
      <c r="B4013" t="s">
        <v>594</v>
      </c>
      <c r="C4013" t="s">
        <v>168</v>
      </c>
      <c r="D4013" t="s">
        <v>9527</v>
      </c>
      <c r="E4013">
        <v>32</v>
      </c>
      <c r="F4013" t="s">
        <v>2372</v>
      </c>
      <c r="G4013" t="s">
        <v>39</v>
      </c>
      <c r="I4013" s="1" t="d">
        <v>2008-10-07</v>
      </c>
      <c r="J4013" t="s">
        <v>8124</v>
      </c>
      <c r="K4013" s="17" t="s">
        <v>58</v>
      </c>
      <c r="L4013">
        <v>3</v>
      </c>
    </row>
    <row r="4014" spans="1:12" x14ac:dyDescent="0.25">
      <c r="A4014" t="s">
        <v>7443</v>
      </c>
      <c r="B4014" t="s">
        <v>1301</v>
      </c>
      <c r="C4014" t="s">
        <v>1306</v>
      </c>
      <c r="D4014" t="s">
        <v>9527</v>
      </c>
      <c r="E4014">
        <v>54</v>
      </c>
      <c r="F4014" t="s">
        <v>1107</v>
      </c>
      <c r="G4014" t="s">
        <v>16</v>
      </c>
      <c r="H4014" s="2">
        <v>130657</v>
      </c>
      <c r="I4014" s="1" t="d">
        <v>2014-09-13</v>
      </c>
      <c r="J4014" t="s">
        <v>4020</v>
      </c>
      <c r="K4014" s="17" t="s">
        <v>207</v>
      </c>
      <c r="L4014">
        <v>2</v>
      </c>
    </row>
    <row r="4015" spans="1:12" x14ac:dyDescent="0.25">
      <c r="A4015" t="s">
        <v>8125</v>
      </c>
      <c r="B4015" t="s">
        <v>340</v>
      </c>
      <c r="C4015" t="s">
        <v>215</v>
      </c>
      <c r="D4015" t="s">
        <v>23</v>
      </c>
      <c r="E4015">
        <v>34</v>
      </c>
      <c r="F4015" t="s">
        <v>509</v>
      </c>
      <c r="G4015" t="s">
        <v>504</v>
      </c>
      <c r="I4015" s="1" t="d">
        <v>2009-02-28</v>
      </c>
      <c r="J4015" t="s">
        <v>730</v>
      </c>
      <c r="K4015" s="17" t="s">
        <v>50</v>
      </c>
      <c r="L4015">
        <v>1</v>
      </c>
    </row>
    <row r="4016" spans="1:12" x14ac:dyDescent="0.25">
      <c r="A4016" t="s">
        <v>8126</v>
      </c>
      <c r="B4016" t="s">
        <v>630</v>
      </c>
      <c r="C4016" t="s">
        <v>121</v>
      </c>
      <c r="D4016" t="s">
        <v>46</v>
      </c>
      <c r="E4016">
        <v>47</v>
      </c>
      <c r="F4016" t="s">
        <v>153</v>
      </c>
      <c r="G4016" t="s">
        <v>141</v>
      </c>
      <c r="H4016" t="s">
        <v>8127</v>
      </c>
      <c r="I4016" s="1" t="d">
        <v>2017-09-22</v>
      </c>
      <c r="J4016" t="s">
        <v>646</v>
      </c>
      <c r="K4016" s="17" t="s">
        <v>118</v>
      </c>
      <c r="L4016">
        <v>4</v>
      </c>
    </row>
    <row r="4017" spans="1:12" x14ac:dyDescent="0.25">
      <c r="A4017" t="s">
        <v>8128</v>
      </c>
      <c r="B4017" t="s">
        <v>1241</v>
      </c>
      <c r="C4017" t="s">
        <v>1881</v>
      </c>
      <c r="D4017" t="s">
        <v>46</v>
      </c>
      <c r="E4017">
        <v>21</v>
      </c>
      <c r="F4017" t="s">
        <v>190</v>
      </c>
      <c r="G4017" t="s">
        <v>177</v>
      </c>
      <c r="H4017" t="s">
        <v>8129</v>
      </c>
      <c r="I4017" s="1" t="d">
        <v>2009-04-03</v>
      </c>
      <c r="J4017" t="s">
        <v>4800</v>
      </c>
      <c r="K4017" s="17" t="s">
        <v>184</v>
      </c>
      <c r="L4017">
        <v>3</v>
      </c>
    </row>
    <row r="4018" spans="1:12" x14ac:dyDescent="0.25">
      <c r="A4018" t="s">
        <v>8130</v>
      </c>
      <c r="B4018" t="s">
        <v>786</v>
      </c>
      <c r="C4018" t="s">
        <v>3487</v>
      </c>
      <c r="D4018" t="s">
        <v>9527</v>
      </c>
      <c r="E4018">
        <v>54</v>
      </c>
      <c r="G4018" t="s">
        <v>288</v>
      </c>
      <c r="I4018" s="1" t="d">
        <v>2012-04-16</v>
      </c>
      <c r="J4018" t="s">
        <v>1606</v>
      </c>
      <c r="K4018" s="17" t="s">
        <v>100</v>
      </c>
      <c r="L4018">
        <v>3</v>
      </c>
    </row>
    <row r="4019" spans="1:12" x14ac:dyDescent="0.25">
      <c r="A4019" t="s">
        <v>857</v>
      </c>
      <c r="B4019" t="s">
        <v>630</v>
      </c>
      <c r="C4019" t="s">
        <v>858</v>
      </c>
      <c r="D4019" t="s">
        <v>23</v>
      </c>
      <c r="E4019">
        <v>46</v>
      </c>
      <c r="F4019" t="s">
        <v>417</v>
      </c>
      <c r="G4019" t="s">
        <v>423</v>
      </c>
      <c r="H4019" t="s">
        <v>8131</v>
      </c>
      <c r="I4019" s="1" t="d">
        <v>2022-01-15</v>
      </c>
      <c r="J4019" t="s">
        <v>860</v>
      </c>
      <c r="K4019" s="17" t="s">
        <v>149</v>
      </c>
      <c r="L4019">
        <v>4</v>
      </c>
    </row>
    <row r="4020" spans="1:12" x14ac:dyDescent="0.25">
      <c r="A4020" t="s">
        <v>8132</v>
      </c>
      <c r="B4020" t="s">
        <v>945</v>
      </c>
      <c r="C4020" t="s">
        <v>483</v>
      </c>
      <c r="D4020" t="s">
        <v>23</v>
      </c>
      <c r="E4020">
        <v>42</v>
      </c>
      <c r="F4020" t="s">
        <v>114</v>
      </c>
      <c r="G4020" t="s">
        <v>16</v>
      </c>
      <c r="I4020" s="1" t="d">
        <v>2019-05-15</v>
      </c>
      <c r="J4020" t="s">
        <v>1022</v>
      </c>
      <c r="K4020" s="17" t="s">
        <v>184</v>
      </c>
      <c r="L4020">
        <v>3</v>
      </c>
    </row>
    <row r="4021" spans="1:12" x14ac:dyDescent="0.25">
      <c r="A4021" t="s">
        <v>8133</v>
      </c>
      <c r="B4021" t="s">
        <v>1706</v>
      </c>
      <c r="C4021" t="s">
        <v>1734</v>
      </c>
      <c r="D4021" t="s">
        <v>9527</v>
      </c>
      <c r="E4021">
        <v>41</v>
      </c>
      <c r="F4021" t="s">
        <v>216</v>
      </c>
      <c r="G4021" t="s">
        <v>88</v>
      </c>
      <c r="H4021" t="s">
        <v>8134</v>
      </c>
      <c r="I4021" s="1" t="d">
        <v>2007-11-22</v>
      </c>
      <c r="J4021" t="s">
        <v>1875</v>
      </c>
      <c r="K4021" s="17" t="s">
        <v>34</v>
      </c>
      <c r="L4021">
        <v>3</v>
      </c>
    </row>
    <row r="4022" spans="1:12" x14ac:dyDescent="0.25">
      <c r="A4022" t="s">
        <v>8135</v>
      </c>
      <c r="B4022" t="s">
        <v>221</v>
      </c>
      <c r="C4022" t="s">
        <v>1734</v>
      </c>
      <c r="D4022" t="s">
        <v>9527</v>
      </c>
      <c r="E4022">
        <v>36</v>
      </c>
      <c r="F4022" t="s">
        <v>319</v>
      </c>
      <c r="G4022" t="s">
        <v>115</v>
      </c>
      <c r="H4022" t="s">
        <v>8136</v>
      </c>
      <c r="I4022" s="1" t="d">
        <v>2017-01-16</v>
      </c>
      <c r="J4022" t="s">
        <v>1985</v>
      </c>
      <c r="K4022" s="17" t="s">
        <v>27</v>
      </c>
      <c r="L4022">
        <v>4</v>
      </c>
    </row>
    <row r="4023" spans="1:12" x14ac:dyDescent="0.25">
      <c r="A4023" t="s">
        <v>8137</v>
      </c>
      <c r="B4023" t="s">
        <v>130</v>
      </c>
      <c r="C4023" t="s">
        <v>215</v>
      </c>
      <c r="D4023" t="s">
        <v>9527</v>
      </c>
      <c r="E4023">
        <v>31</v>
      </c>
      <c r="F4023" t="s">
        <v>211</v>
      </c>
      <c r="G4023" t="s">
        <v>357</v>
      </c>
      <c r="H4023" t="s">
        <v>8138</v>
      </c>
      <c r="I4023" s="1" t="d">
        <v>2020-12-15</v>
      </c>
      <c r="J4023" t="s">
        <v>2176</v>
      </c>
      <c r="K4023" s="17" t="s">
        <v>370</v>
      </c>
      <c r="L4023">
        <v>4</v>
      </c>
    </row>
    <row r="4024" spans="1:12" x14ac:dyDescent="0.25">
      <c r="A4024" t="s">
        <v>8139</v>
      </c>
      <c r="B4024" t="s">
        <v>1221</v>
      </c>
      <c r="C4024" t="s">
        <v>719</v>
      </c>
      <c r="D4024" t="s">
        <v>46</v>
      </c>
      <c r="E4024">
        <v>38</v>
      </c>
      <c r="F4024" t="s">
        <v>645</v>
      </c>
      <c r="G4024" t="s">
        <v>69</v>
      </c>
      <c r="H4024" t="s">
        <v>8140</v>
      </c>
      <c r="J4024" t="s">
        <v>2698</v>
      </c>
      <c r="K4024" s="17" t="s">
        <v>118</v>
      </c>
      <c r="L4024">
        <v>3</v>
      </c>
    </row>
    <row r="4025" spans="1:12" x14ac:dyDescent="0.25">
      <c r="A4025" t="s">
        <v>8141</v>
      </c>
      <c r="B4025" t="s">
        <v>507</v>
      </c>
      <c r="C4025" t="s">
        <v>8142</v>
      </c>
      <c r="D4025" t="s">
        <v>23</v>
      </c>
      <c r="E4025">
        <v>36</v>
      </c>
      <c r="F4025" t="s">
        <v>104</v>
      </c>
      <c r="G4025" t="s">
        <v>109</v>
      </c>
      <c r="H4025" s="2">
        <v>72750</v>
      </c>
      <c r="I4025" s="1" t="d">
        <v>2016-10-20</v>
      </c>
      <c r="J4025" t="s">
        <v>4676</v>
      </c>
      <c r="K4025" s="17" t="s">
        <v>207</v>
      </c>
      <c r="L4025">
        <v>4</v>
      </c>
    </row>
    <row r="4026" spans="1:12" x14ac:dyDescent="0.25">
      <c r="A4026" t="s">
        <v>8143</v>
      </c>
      <c r="B4026" t="s">
        <v>311</v>
      </c>
      <c r="C4026" t="s">
        <v>237</v>
      </c>
      <c r="D4026" t="s">
        <v>23</v>
      </c>
      <c r="E4026">
        <v>31</v>
      </c>
      <c r="F4026" t="s">
        <v>153</v>
      </c>
      <c r="G4026" t="s">
        <v>357</v>
      </c>
      <c r="H4026">
        <v>114033</v>
      </c>
      <c r="I4026" s="1" t="d">
        <v>2020-06-17</v>
      </c>
      <c r="J4026" t="s">
        <v>3906</v>
      </c>
      <c r="K4026" s="17" t="s">
        <v>207</v>
      </c>
      <c r="L4026">
        <v>3</v>
      </c>
    </row>
    <row r="4027" spans="1:12" x14ac:dyDescent="0.25">
      <c r="A4027" t="s">
        <v>8144</v>
      </c>
      <c r="B4027" t="s">
        <v>999</v>
      </c>
      <c r="C4027" t="s">
        <v>244</v>
      </c>
      <c r="D4027" t="s">
        <v>46</v>
      </c>
      <c r="E4027">
        <v>41</v>
      </c>
      <c r="F4027" t="s">
        <v>146</v>
      </c>
      <c r="G4027" t="s">
        <v>39</v>
      </c>
      <c r="H4027">
        <v>103369</v>
      </c>
      <c r="I4027" s="1" t="d">
        <v>2021-12-01</v>
      </c>
      <c r="J4027" t="s">
        <v>8104</v>
      </c>
      <c r="K4027" s="17" t="s">
        <v>90</v>
      </c>
      <c r="L4027">
        <v>4</v>
      </c>
    </row>
    <row r="4028" spans="1:12" x14ac:dyDescent="0.25">
      <c r="A4028" t="s">
        <v>8145</v>
      </c>
      <c r="B4028" t="s">
        <v>1479</v>
      </c>
      <c r="C4028" t="s">
        <v>36</v>
      </c>
      <c r="D4028" t="s">
        <v>46</v>
      </c>
      <c r="E4028">
        <v>39</v>
      </c>
      <c r="F4028" t="s">
        <v>559</v>
      </c>
      <c r="G4028" t="s">
        <v>82</v>
      </c>
      <c r="I4028" s="1" t="d">
        <v>2023-02-16</v>
      </c>
      <c r="J4028" t="s">
        <v>1354</v>
      </c>
      <c r="K4028" s="17" t="s">
        <v>19</v>
      </c>
      <c r="L4028">
        <v>1</v>
      </c>
    </row>
    <row r="4029" spans="1:12" x14ac:dyDescent="0.25">
      <c r="A4029" t="s">
        <v>8146</v>
      </c>
      <c r="B4029" t="s">
        <v>467</v>
      </c>
      <c r="C4029" t="s">
        <v>474</v>
      </c>
      <c r="D4029" t="s">
        <v>23</v>
      </c>
      <c r="E4029">
        <v>21</v>
      </c>
      <c r="F4029" t="s">
        <v>245</v>
      </c>
      <c r="G4029" t="s">
        <v>283</v>
      </c>
      <c r="H4029" t="s">
        <v>8147</v>
      </c>
      <c r="I4029" s="1" t="d">
        <v>2011-04-21</v>
      </c>
      <c r="J4029" t="s">
        <v>4748</v>
      </c>
      <c r="K4029" s="17" t="s">
        <v>19</v>
      </c>
      <c r="L4029">
        <v>3</v>
      </c>
    </row>
    <row r="4030" spans="1:12" x14ac:dyDescent="0.25">
      <c r="A4030" t="s">
        <v>8148</v>
      </c>
      <c r="B4030" t="s">
        <v>1124</v>
      </c>
      <c r="C4030" t="s">
        <v>512</v>
      </c>
      <c r="D4030" t="s">
        <v>46</v>
      </c>
      <c r="E4030">
        <v>49</v>
      </c>
      <c r="G4030" t="s">
        <v>39</v>
      </c>
      <c r="H4030">
        <v>96527</v>
      </c>
      <c r="I4030" s="1" t="d">
        <v>2022-04-22</v>
      </c>
      <c r="J4030" t="s">
        <v>1037</v>
      </c>
      <c r="K4030" s="17" t="s">
        <v>149</v>
      </c>
      <c r="L4030">
        <v>5</v>
      </c>
    </row>
    <row r="4031" spans="1:12" x14ac:dyDescent="0.25">
      <c r="A4031" t="s">
        <v>8149</v>
      </c>
      <c r="B4031" t="s">
        <v>563</v>
      </c>
      <c r="C4031" t="s">
        <v>758</v>
      </c>
      <c r="D4031" t="s">
        <v>46</v>
      </c>
      <c r="E4031">
        <v>42</v>
      </c>
      <c r="F4031" t="s">
        <v>81</v>
      </c>
      <c r="G4031" t="s">
        <v>55</v>
      </c>
      <c r="H4031" t="s">
        <v>8150</v>
      </c>
      <c r="I4031" s="1" t="d">
        <v>2007-06-23</v>
      </c>
      <c r="J4031" t="s">
        <v>2110</v>
      </c>
      <c r="K4031" s="17" t="s">
        <v>184</v>
      </c>
      <c r="L4031">
        <v>3</v>
      </c>
    </row>
    <row r="4032" spans="1:12" x14ac:dyDescent="0.25">
      <c r="A4032" t="s">
        <v>8151</v>
      </c>
      <c r="B4032" t="s">
        <v>594</v>
      </c>
      <c r="C4032" t="s">
        <v>1010</v>
      </c>
      <c r="D4032" t="s">
        <v>46</v>
      </c>
      <c r="E4032">
        <v>43</v>
      </c>
      <c r="F4032" t="s">
        <v>38</v>
      </c>
      <c r="G4032" t="s">
        <v>170</v>
      </c>
      <c r="H4032">
        <v>52816</v>
      </c>
      <c r="I4032" s="1" t="d">
        <v>2010-02-13</v>
      </c>
      <c r="J4032" t="s">
        <v>1623</v>
      </c>
      <c r="K4032" s="17" t="s">
        <v>184</v>
      </c>
      <c r="L4032">
        <v>1</v>
      </c>
    </row>
    <row r="4033" spans="1:12" x14ac:dyDescent="0.25">
      <c r="A4033" t="s">
        <v>8152</v>
      </c>
      <c r="B4033" t="s">
        <v>1181</v>
      </c>
      <c r="C4033" t="s">
        <v>8153</v>
      </c>
      <c r="D4033" t="s">
        <v>9527</v>
      </c>
      <c r="E4033">
        <v>21</v>
      </c>
      <c r="F4033" t="s">
        <v>114</v>
      </c>
      <c r="G4033" t="s">
        <v>69</v>
      </c>
      <c r="H4033" t="s">
        <v>8154</v>
      </c>
      <c r="I4033" s="1" t="d">
        <v>2013-08-26</v>
      </c>
      <c r="J4033" t="s">
        <v>3670</v>
      </c>
      <c r="K4033" s="17" t="s">
        <v>34</v>
      </c>
      <c r="L4033">
        <v>3</v>
      </c>
    </row>
    <row r="4034" spans="1:12" x14ac:dyDescent="0.25">
      <c r="A4034" t="s">
        <v>8155</v>
      </c>
      <c r="B4034" t="s">
        <v>3587</v>
      </c>
      <c r="C4034" t="s">
        <v>8156</v>
      </c>
      <c r="D4034" t="s">
        <v>23</v>
      </c>
      <c r="E4034">
        <v>49</v>
      </c>
      <c r="G4034" t="s">
        <v>278</v>
      </c>
      <c r="H4034" t="s">
        <v>8157</v>
      </c>
      <c r="I4034" s="1" t="d">
        <v>2010-11-19</v>
      </c>
      <c r="J4034" t="s">
        <v>8158</v>
      </c>
      <c r="K4034" s="17" t="s">
        <v>207</v>
      </c>
      <c r="L4034">
        <v>2</v>
      </c>
    </row>
    <row r="4035" spans="1:12" x14ac:dyDescent="0.25">
      <c r="A4035" t="s">
        <v>8159</v>
      </c>
      <c r="B4035" t="s">
        <v>125</v>
      </c>
      <c r="C4035" t="s">
        <v>210</v>
      </c>
      <c r="D4035" t="s">
        <v>46</v>
      </c>
      <c r="E4035">
        <v>26</v>
      </c>
      <c r="F4035" t="s">
        <v>238</v>
      </c>
      <c r="G4035" t="s">
        <v>16</v>
      </c>
      <c r="I4035" s="1" t="d">
        <v>2008-07-05</v>
      </c>
      <c r="J4035" t="s">
        <v>99</v>
      </c>
      <c r="K4035" s="17" t="s">
        <v>50</v>
      </c>
      <c r="L4035">
        <v>3</v>
      </c>
    </row>
    <row r="4036" spans="1:12" x14ac:dyDescent="0.25">
      <c r="A4036" t="s">
        <v>8160</v>
      </c>
      <c r="B4036" t="s">
        <v>248</v>
      </c>
      <c r="C4036" t="s">
        <v>2300</v>
      </c>
      <c r="D4036" t="s">
        <v>46</v>
      </c>
      <c r="E4036">
        <v>32</v>
      </c>
      <c r="F4036" t="s">
        <v>54</v>
      </c>
      <c r="G4036" t="s">
        <v>69</v>
      </c>
      <c r="H4036" s="2">
        <v>66615</v>
      </c>
      <c r="I4036" s="1" t="d">
        <v>2007-04-18</v>
      </c>
      <c r="J4036" t="s">
        <v>7272</v>
      </c>
      <c r="K4036" s="17" t="s">
        <v>207</v>
      </c>
      <c r="L4036">
        <v>3</v>
      </c>
    </row>
    <row r="4037" spans="1:12" x14ac:dyDescent="0.25">
      <c r="A4037" t="s">
        <v>8161</v>
      </c>
      <c r="B4037" t="s">
        <v>3535</v>
      </c>
      <c r="C4037" t="s">
        <v>1146</v>
      </c>
      <c r="D4037" t="s">
        <v>9527</v>
      </c>
      <c r="E4037">
        <v>42</v>
      </c>
      <c r="F4037" t="s">
        <v>373</v>
      </c>
      <c r="G4037" t="s">
        <v>39</v>
      </c>
      <c r="H4037" t="s">
        <v>8162</v>
      </c>
      <c r="I4037" s="1" t="d">
        <v>2010-07-20</v>
      </c>
      <c r="J4037" t="s">
        <v>2592</v>
      </c>
      <c r="K4037" s="17" t="s">
        <v>100</v>
      </c>
      <c r="L4037">
        <v>4</v>
      </c>
    </row>
    <row r="4038" spans="1:12" x14ac:dyDescent="0.25">
      <c r="A4038" t="s">
        <v>8163</v>
      </c>
      <c r="B4038" t="s">
        <v>841</v>
      </c>
      <c r="C4038" t="s">
        <v>1052</v>
      </c>
      <c r="D4038" t="s">
        <v>9527</v>
      </c>
      <c r="E4038">
        <v>33</v>
      </c>
      <c r="F4038" t="s">
        <v>649</v>
      </c>
      <c r="G4038" t="s">
        <v>1703</v>
      </c>
      <c r="H4038">
        <v>79360</v>
      </c>
      <c r="I4038" s="1" t="d">
        <v>2021-02-25</v>
      </c>
      <c r="J4038" t="s">
        <v>6649</v>
      </c>
      <c r="K4038" s="17" t="s">
        <v>149</v>
      </c>
      <c r="L4038">
        <v>5</v>
      </c>
    </row>
    <row r="4039" spans="1:12" x14ac:dyDescent="0.25">
      <c r="A4039" t="s">
        <v>8164</v>
      </c>
      <c r="B4039" t="s">
        <v>826</v>
      </c>
      <c r="C4039" t="s">
        <v>3998</v>
      </c>
      <c r="D4039" t="s">
        <v>23</v>
      </c>
      <c r="E4039">
        <v>39</v>
      </c>
      <c r="F4039" t="s">
        <v>1168</v>
      </c>
      <c r="G4039" t="s">
        <v>351</v>
      </c>
      <c r="H4039">
        <v>48331</v>
      </c>
      <c r="I4039" s="1" t="d">
        <v>2023-11-28</v>
      </c>
      <c r="J4039" t="s">
        <v>8165</v>
      </c>
      <c r="K4039" s="17" t="s">
        <v>207</v>
      </c>
      <c r="L4039">
        <v>2</v>
      </c>
    </row>
    <row r="4040" spans="1:12" x14ac:dyDescent="0.25">
      <c r="A4040" t="s">
        <v>8166</v>
      </c>
      <c r="B4040" t="s">
        <v>3569</v>
      </c>
      <c r="C4040" t="s">
        <v>152</v>
      </c>
      <c r="D4040" t="s">
        <v>23</v>
      </c>
      <c r="E4040">
        <v>37</v>
      </c>
      <c r="F4040" t="s">
        <v>126</v>
      </c>
      <c r="G4040" t="s">
        <v>39</v>
      </c>
      <c r="I4040" s="1" t="d">
        <v>2008-09-26</v>
      </c>
      <c r="J4040" t="s">
        <v>8167</v>
      </c>
      <c r="K4040" s="17" t="s">
        <v>370</v>
      </c>
      <c r="L4040">
        <v>4</v>
      </c>
    </row>
    <row r="4041" spans="1:12" x14ac:dyDescent="0.25">
      <c r="A4041" t="s">
        <v>8168</v>
      </c>
      <c r="B4041" t="s">
        <v>507</v>
      </c>
      <c r="C4041" t="s">
        <v>225</v>
      </c>
      <c r="D4041" t="s">
        <v>9527</v>
      </c>
      <c r="E4041">
        <v>42</v>
      </c>
      <c r="F4041" t="s">
        <v>122</v>
      </c>
      <c r="G4041" t="s">
        <v>217</v>
      </c>
      <c r="H4041" t="s">
        <v>8169</v>
      </c>
      <c r="I4041" s="1" t="d">
        <v>2010-11-03</v>
      </c>
      <c r="J4041" t="s">
        <v>3258</v>
      </c>
      <c r="K4041" s="17" t="s">
        <v>19</v>
      </c>
      <c r="L4041">
        <v>4</v>
      </c>
    </row>
    <row r="4042" spans="1:12" x14ac:dyDescent="0.25">
      <c r="A4042" t="s">
        <v>8170</v>
      </c>
      <c r="B4042" t="s">
        <v>1512</v>
      </c>
      <c r="C4042" t="s">
        <v>36</v>
      </c>
      <c r="D4042" t="s">
        <v>23</v>
      </c>
      <c r="E4042">
        <v>36</v>
      </c>
      <c r="F4042" t="s">
        <v>47</v>
      </c>
      <c r="G4042" t="s">
        <v>48</v>
      </c>
      <c r="H4042">
        <v>53525</v>
      </c>
      <c r="I4042" s="1" t="d">
        <v>2015-02-23</v>
      </c>
      <c r="J4042" t="s">
        <v>1808</v>
      </c>
      <c r="K4042" s="17" t="s">
        <v>118</v>
      </c>
      <c r="L4042">
        <v>3</v>
      </c>
    </row>
    <row r="4043" spans="1:12" x14ac:dyDescent="0.25">
      <c r="A4043" t="s">
        <v>2568</v>
      </c>
      <c r="B4043" t="s">
        <v>874</v>
      </c>
      <c r="C4043" t="s">
        <v>521</v>
      </c>
      <c r="D4043" t="s">
        <v>23</v>
      </c>
      <c r="E4043">
        <v>31</v>
      </c>
      <c r="F4043" t="s">
        <v>94</v>
      </c>
      <c r="G4043" t="s">
        <v>82</v>
      </c>
      <c r="I4043" s="1" t="d">
        <v>2017-09-11</v>
      </c>
      <c r="J4043" t="s">
        <v>2570</v>
      </c>
      <c r="K4043" s="17" t="s">
        <v>149</v>
      </c>
      <c r="L4043">
        <v>4</v>
      </c>
    </row>
    <row r="4044" spans="1:12" x14ac:dyDescent="0.25">
      <c r="A4044" t="s">
        <v>8171</v>
      </c>
      <c r="B4044" t="s">
        <v>2272</v>
      </c>
      <c r="C4044" t="s">
        <v>175</v>
      </c>
      <c r="D4044" t="s">
        <v>23</v>
      </c>
      <c r="E4044">
        <v>48</v>
      </c>
      <c r="F4044" t="s">
        <v>200</v>
      </c>
      <c r="G4044" t="s">
        <v>504</v>
      </c>
      <c r="H4044">
        <v>78841</v>
      </c>
      <c r="I4044" s="1" t="d">
        <v>2022-07-03</v>
      </c>
      <c r="J4044" t="s">
        <v>2815</v>
      </c>
      <c r="K4044" s="17" t="s">
        <v>50</v>
      </c>
      <c r="L4044">
        <v>3</v>
      </c>
    </row>
    <row r="4045" spans="1:12" x14ac:dyDescent="0.25">
      <c r="A4045" t="s">
        <v>8172</v>
      </c>
      <c r="B4045" t="s">
        <v>44</v>
      </c>
      <c r="C4045" t="s">
        <v>660</v>
      </c>
      <c r="D4045" t="s">
        <v>9527</v>
      </c>
      <c r="E4045">
        <v>48</v>
      </c>
      <c r="F4045" t="s">
        <v>1385</v>
      </c>
      <c r="G4045" t="s">
        <v>1329</v>
      </c>
      <c r="H4045" s="2">
        <v>83223</v>
      </c>
      <c r="I4045" s="1" t="d">
        <v>2010-04-28</v>
      </c>
      <c r="J4045" t="s">
        <v>2097</v>
      </c>
      <c r="K4045" s="17" t="s">
        <v>100</v>
      </c>
      <c r="L4045">
        <v>1</v>
      </c>
    </row>
    <row r="4046" spans="1:12" x14ac:dyDescent="0.25">
      <c r="A4046" t="s">
        <v>8173</v>
      </c>
      <c r="B4046" t="s">
        <v>841</v>
      </c>
      <c r="C4046" t="s">
        <v>189</v>
      </c>
      <c r="D4046" t="s">
        <v>23</v>
      </c>
      <c r="E4046">
        <v>40</v>
      </c>
      <c r="F4046" t="s">
        <v>406</v>
      </c>
      <c r="G4046" t="s">
        <v>48</v>
      </c>
      <c r="I4046" s="1" t="d">
        <v>2005-05-29</v>
      </c>
      <c r="J4046" t="s">
        <v>1678</v>
      </c>
      <c r="K4046" s="17" t="s">
        <v>370</v>
      </c>
      <c r="L4046">
        <v>5</v>
      </c>
    </row>
    <row r="4047" spans="1:12" x14ac:dyDescent="0.25">
      <c r="A4047" t="s">
        <v>8174</v>
      </c>
      <c r="B4047" t="s">
        <v>1241</v>
      </c>
      <c r="C4047" t="s">
        <v>2926</v>
      </c>
      <c r="D4047" t="s">
        <v>46</v>
      </c>
      <c r="E4047">
        <v>31</v>
      </c>
      <c r="F4047" t="s">
        <v>200</v>
      </c>
      <c r="G4047" t="s">
        <v>1121</v>
      </c>
      <c r="I4047" s="1" t="d">
        <v>2006-05-27</v>
      </c>
      <c r="J4047" t="s">
        <v>863</v>
      </c>
      <c r="K4047" s="17" t="s">
        <v>370</v>
      </c>
      <c r="L4047">
        <v>5</v>
      </c>
    </row>
    <row r="4048" spans="1:12" x14ac:dyDescent="0.25">
      <c r="A4048" t="s">
        <v>8175</v>
      </c>
      <c r="B4048" t="s">
        <v>151</v>
      </c>
      <c r="C4048" t="s">
        <v>858</v>
      </c>
      <c r="D4048" t="s">
        <v>23</v>
      </c>
      <c r="E4048">
        <v>36</v>
      </c>
      <c r="F4048" t="s">
        <v>692</v>
      </c>
      <c r="G4048" t="s">
        <v>191</v>
      </c>
      <c r="I4048" s="1" t="d">
        <v>2022-02-25</v>
      </c>
      <c r="J4048" t="s">
        <v>6480</v>
      </c>
      <c r="K4048" s="17" t="s">
        <v>50</v>
      </c>
      <c r="L4048">
        <v>3</v>
      </c>
    </row>
    <row r="4049" spans="1:12" x14ac:dyDescent="0.25">
      <c r="A4049" t="s">
        <v>2953</v>
      </c>
      <c r="B4049" t="s">
        <v>2954</v>
      </c>
      <c r="C4049" t="s">
        <v>699</v>
      </c>
      <c r="D4049" t="s">
        <v>23</v>
      </c>
      <c r="E4049">
        <v>33</v>
      </c>
      <c r="F4049" t="s">
        <v>196</v>
      </c>
      <c r="G4049" t="s">
        <v>288</v>
      </c>
      <c r="H4049" t="s">
        <v>2955</v>
      </c>
      <c r="J4049" t="s">
        <v>2956</v>
      </c>
      <c r="K4049" s="17" t="s">
        <v>34</v>
      </c>
      <c r="L4049">
        <v>3</v>
      </c>
    </row>
    <row r="4050" spans="1:12" x14ac:dyDescent="0.25">
      <c r="A4050" t="s">
        <v>8176</v>
      </c>
      <c r="B4050" t="s">
        <v>444</v>
      </c>
      <c r="C4050" t="s">
        <v>1964</v>
      </c>
      <c r="D4050" t="s">
        <v>46</v>
      </c>
      <c r="E4050">
        <v>28</v>
      </c>
      <c r="F4050" t="s">
        <v>296</v>
      </c>
      <c r="G4050" t="s">
        <v>16</v>
      </c>
      <c r="I4050" s="1" t="d">
        <v>2012-08-07</v>
      </c>
      <c r="J4050" t="s">
        <v>2792</v>
      </c>
      <c r="K4050" s="17" t="s">
        <v>34</v>
      </c>
      <c r="L4050">
        <v>5</v>
      </c>
    </row>
    <row r="4051" spans="1:12" x14ac:dyDescent="0.25">
      <c r="A4051" t="s">
        <v>8177</v>
      </c>
      <c r="B4051" t="s">
        <v>718</v>
      </c>
      <c r="C4051" t="s">
        <v>1030</v>
      </c>
      <c r="D4051" t="s">
        <v>23</v>
      </c>
      <c r="E4051">
        <v>35</v>
      </c>
      <c r="F4051" t="s">
        <v>114</v>
      </c>
      <c r="G4051" t="s">
        <v>69</v>
      </c>
      <c r="H4051" s="2">
        <v>111005</v>
      </c>
      <c r="I4051" s="1" t="d">
        <v>2016-10-15</v>
      </c>
      <c r="J4051" t="s">
        <v>4060</v>
      </c>
      <c r="K4051" s="17" t="s">
        <v>149</v>
      </c>
      <c r="L4051">
        <v>4</v>
      </c>
    </row>
    <row r="4052" spans="1:12" x14ac:dyDescent="0.25">
      <c r="A4052" t="s">
        <v>8178</v>
      </c>
      <c r="B4052" t="s">
        <v>52</v>
      </c>
      <c r="C4052" t="s">
        <v>1576</v>
      </c>
      <c r="D4052" t="s">
        <v>23</v>
      </c>
      <c r="E4052">
        <v>34</v>
      </c>
      <c r="F4052" t="s">
        <v>94</v>
      </c>
      <c r="G4052" t="s">
        <v>191</v>
      </c>
      <c r="H4052" t="s">
        <v>8179</v>
      </c>
      <c r="J4052" t="s">
        <v>8180</v>
      </c>
      <c r="K4052" s="17" t="s">
        <v>58</v>
      </c>
      <c r="L4052">
        <v>4</v>
      </c>
    </row>
    <row r="4053" spans="1:12" x14ac:dyDescent="0.25">
      <c r="A4053" t="s">
        <v>8181</v>
      </c>
      <c r="B4053" t="s">
        <v>404</v>
      </c>
      <c r="C4053" t="s">
        <v>1298</v>
      </c>
      <c r="D4053" t="s">
        <v>9527</v>
      </c>
      <c r="E4053">
        <v>37</v>
      </c>
      <c r="F4053" t="s">
        <v>200</v>
      </c>
      <c r="G4053" t="s">
        <v>82</v>
      </c>
      <c r="H4053" t="s">
        <v>8182</v>
      </c>
      <c r="I4053" s="1" t="d">
        <v>2006-07-12</v>
      </c>
      <c r="J4053" t="s">
        <v>1948</v>
      </c>
      <c r="K4053" s="17" t="s">
        <v>370</v>
      </c>
      <c r="L4053">
        <v>3</v>
      </c>
    </row>
    <row r="4054" spans="1:12" x14ac:dyDescent="0.25">
      <c r="A4054" t="s">
        <v>8183</v>
      </c>
      <c r="B4054" t="s">
        <v>1096</v>
      </c>
      <c r="C4054" t="s">
        <v>282</v>
      </c>
      <c r="D4054" t="s">
        <v>9527</v>
      </c>
      <c r="E4054">
        <v>42</v>
      </c>
      <c r="F4054" t="s">
        <v>3316</v>
      </c>
      <c r="G4054" t="s">
        <v>177</v>
      </c>
      <c r="H4054">
        <v>75571</v>
      </c>
      <c r="I4054" s="1" t="d">
        <v>2005-03-01</v>
      </c>
      <c r="J4054" t="s">
        <v>5256</v>
      </c>
      <c r="K4054" s="17" t="s">
        <v>34</v>
      </c>
      <c r="L4054">
        <v>2</v>
      </c>
    </row>
    <row r="4055" spans="1:12" x14ac:dyDescent="0.25">
      <c r="A4055" t="s">
        <v>8184</v>
      </c>
      <c r="B4055" t="s">
        <v>1706</v>
      </c>
      <c r="C4055" t="s">
        <v>1205</v>
      </c>
      <c r="D4055" t="s">
        <v>9527</v>
      </c>
      <c r="E4055">
        <v>40</v>
      </c>
      <c r="F4055" t="s">
        <v>31</v>
      </c>
      <c r="G4055" t="s">
        <v>212</v>
      </c>
      <c r="H4055" t="s">
        <v>8185</v>
      </c>
      <c r="I4055" s="1" t="d">
        <v>2017-05-04</v>
      </c>
      <c r="J4055" t="s">
        <v>3871</v>
      </c>
      <c r="K4055" s="17" t="s">
        <v>58</v>
      </c>
      <c r="L4055">
        <v>5</v>
      </c>
    </row>
    <row r="4056" spans="1:12" x14ac:dyDescent="0.25">
      <c r="A4056" t="s">
        <v>8186</v>
      </c>
      <c r="B4056" t="s">
        <v>833</v>
      </c>
      <c r="C4056" t="s">
        <v>1472</v>
      </c>
      <c r="D4056" t="s">
        <v>23</v>
      </c>
      <c r="E4056">
        <v>59</v>
      </c>
      <c r="F4056" t="s">
        <v>47</v>
      </c>
      <c r="G4056" t="s">
        <v>288</v>
      </c>
      <c r="H4056" t="s">
        <v>8187</v>
      </c>
      <c r="I4056" s="1" t="d">
        <v>2014-06-07</v>
      </c>
      <c r="J4056" t="s">
        <v>2470</v>
      </c>
      <c r="K4056" s="17" t="s">
        <v>100</v>
      </c>
      <c r="L4056">
        <v>5</v>
      </c>
    </row>
    <row r="4057" spans="1:12" x14ac:dyDescent="0.25">
      <c r="A4057" t="s">
        <v>8188</v>
      </c>
      <c r="B4057" t="s">
        <v>507</v>
      </c>
      <c r="C4057" t="s">
        <v>869</v>
      </c>
      <c r="D4057" t="s">
        <v>9527</v>
      </c>
      <c r="E4057">
        <v>34</v>
      </c>
      <c r="F4057" t="s">
        <v>589</v>
      </c>
      <c r="G4057" t="s">
        <v>177</v>
      </c>
      <c r="H4057">
        <v>40816</v>
      </c>
      <c r="I4057" s="1" t="d">
        <v>2015-07-31</v>
      </c>
      <c r="J4057" t="s">
        <v>2826</v>
      </c>
      <c r="K4057" s="17" t="s">
        <v>149</v>
      </c>
      <c r="L4057">
        <v>4</v>
      </c>
    </row>
    <row r="4058" spans="1:12" x14ac:dyDescent="0.25">
      <c r="A4058" t="s">
        <v>8189</v>
      </c>
      <c r="B4058" t="s">
        <v>630</v>
      </c>
      <c r="C4058" t="s">
        <v>2606</v>
      </c>
      <c r="D4058" t="s">
        <v>46</v>
      </c>
      <c r="E4058">
        <v>52</v>
      </c>
      <c r="F4058" t="s">
        <v>114</v>
      </c>
      <c r="G4058" t="s">
        <v>48</v>
      </c>
      <c r="I4058" s="1" t="d">
        <v>2022-11-29</v>
      </c>
      <c r="J4058" t="s">
        <v>1497</v>
      </c>
      <c r="K4058" s="17" t="s">
        <v>90</v>
      </c>
      <c r="L4058">
        <v>3</v>
      </c>
    </row>
    <row r="4059" spans="1:12" x14ac:dyDescent="0.25">
      <c r="A4059" t="s">
        <v>6960</v>
      </c>
      <c r="B4059" t="s">
        <v>2491</v>
      </c>
      <c r="C4059" t="s">
        <v>1258</v>
      </c>
      <c r="D4059" t="s">
        <v>9527</v>
      </c>
      <c r="E4059">
        <v>30</v>
      </c>
      <c r="F4059" t="s">
        <v>978</v>
      </c>
      <c r="G4059" t="s">
        <v>16</v>
      </c>
      <c r="H4059">
        <v>120411</v>
      </c>
      <c r="I4059" s="1" t="d">
        <v>2010-11-22</v>
      </c>
      <c r="J4059" t="s">
        <v>1289</v>
      </c>
      <c r="K4059" s="17" t="s">
        <v>50</v>
      </c>
      <c r="L4059">
        <v>3</v>
      </c>
    </row>
    <row r="4060" spans="1:12" x14ac:dyDescent="0.25">
      <c r="A4060" t="s">
        <v>8190</v>
      </c>
      <c r="B4060" t="s">
        <v>21</v>
      </c>
      <c r="C4060" t="s">
        <v>521</v>
      </c>
      <c r="D4060" t="s">
        <v>46</v>
      </c>
      <c r="E4060">
        <v>37</v>
      </c>
      <c r="F4060" t="s">
        <v>54</v>
      </c>
      <c r="G4060" t="s">
        <v>127</v>
      </c>
      <c r="H4060" t="s">
        <v>8191</v>
      </c>
      <c r="I4060" s="1" t="d">
        <v>2015-02-14</v>
      </c>
      <c r="J4060" t="s">
        <v>2809</v>
      </c>
      <c r="K4060" s="17" t="s">
        <v>27</v>
      </c>
      <c r="L4060">
        <v>3</v>
      </c>
    </row>
    <row r="4061" spans="1:12" x14ac:dyDescent="0.25">
      <c r="A4061" t="s">
        <v>8192</v>
      </c>
      <c r="B4061" t="s">
        <v>251</v>
      </c>
      <c r="C4061" t="s">
        <v>386</v>
      </c>
      <c r="D4061" t="s">
        <v>46</v>
      </c>
      <c r="E4061">
        <v>42</v>
      </c>
      <c r="F4061" t="s">
        <v>75</v>
      </c>
      <c r="G4061" t="s">
        <v>182</v>
      </c>
      <c r="I4061" s="1" t="d">
        <v>2023-10-17</v>
      </c>
      <c r="J4061" t="s">
        <v>4131</v>
      </c>
      <c r="K4061" s="17" t="s">
        <v>50</v>
      </c>
      <c r="L4061">
        <v>4</v>
      </c>
    </row>
    <row r="4062" spans="1:12" x14ac:dyDescent="0.25">
      <c r="A4062" t="s">
        <v>2905</v>
      </c>
      <c r="B4062" t="s">
        <v>993</v>
      </c>
      <c r="C4062" t="s">
        <v>5632</v>
      </c>
      <c r="D4062" t="s">
        <v>9527</v>
      </c>
      <c r="E4062">
        <v>52</v>
      </c>
      <c r="F4062" t="s">
        <v>532</v>
      </c>
      <c r="G4062" t="s">
        <v>131</v>
      </c>
      <c r="H4062" t="s">
        <v>8193</v>
      </c>
      <c r="I4062" s="1" t="d">
        <v>2009-06-13</v>
      </c>
      <c r="J4062" t="s">
        <v>2906</v>
      </c>
      <c r="K4062" s="17" t="s">
        <v>19</v>
      </c>
      <c r="L4062">
        <v>4</v>
      </c>
    </row>
    <row r="4063" spans="1:12" x14ac:dyDescent="0.25">
      <c r="A4063" t="s">
        <v>8194</v>
      </c>
      <c r="B4063" t="s">
        <v>1096</v>
      </c>
      <c r="C4063" t="s">
        <v>286</v>
      </c>
      <c r="D4063" t="s">
        <v>23</v>
      </c>
      <c r="E4063">
        <v>46</v>
      </c>
      <c r="G4063" t="s">
        <v>88</v>
      </c>
      <c r="H4063" t="s">
        <v>8195</v>
      </c>
      <c r="I4063" s="1" t="d">
        <v>2009-06-20</v>
      </c>
      <c r="J4063" t="s">
        <v>7929</v>
      </c>
      <c r="K4063" s="17" t="s">
        <v>42</v>
      </c>
      <c r="L4063">
        <v>3</v>
      </c>
    </row>
    <row r="4064" spans="1:12" x14ac:dyDescent="0.25">
      <c r="A4064" t="s">
        <v>8196</v>
      </c>
      <c r="B4064" t="s">
        <v>709</v>
      </c>
      <c r="C4064" t="s">
        <v>5654</v>
      </c>
      <c r="D4064" t="s">
        <v>23</v>
      </c>
      <c r="E4064">
        <v>54</v>
      </c>
      <c r="F4064" t="s">
        <v>559</v>
      </c>
      <c r="G4064" t="s">
        <v>191</v>
      </c>
      <c r="H4064">
        <v>-98979</v>
      </c>
      <c r="I4064" s="1" t="d">
        <v>2012-11-21</v>
      </c>
      <c r="J4064" t="s">
        <v>8197</v>
      </c>
      <c r="K4064" s="17" t="s">
        <v>184</v>
      </c>
      <c r="L4064">
        <v>2</v>
      </c>
    </row>
    <row r="4065" spans="1:12" x14ac:dyDescent="0.25">
      <c r="A4065" t="s">
        <v>8198</v>
      </c>
      <c r="B4065" t="s">
        <v>315</v>
      </c>
      <c r="C4065" t="s">
        <v>175</v>
      </c>
      <c r="D4065" t="s">
        <v>9527</v>
      </c>
      <c r="E4065">
        <v>21</v>
      </c>
      <c r="F4065" t="s">
        <v>522</v>
      </c>
      <c r="G4065" t="s">
        <v>141</v>
      </c>
      <c r="J4065" t="s">
        <v>1211</v>
      </c>
      <c r="K4065" s="17" t="s">
        <v>42</v>
      </c>
      <c r="L4065">
        <v>4</v>
      </c>
    </row>
    <row r="4066" spans="1:12" x14ac:dyDescent="0.25">
      <c r="A4066" t="s">
        <v>2936</v>
      </c>
      <c r="B4066" t="s">
        <v>456</v>
      </c>
      <c r="C4066" t="s">
        <v>22</v>
      </c>
      <c r="D4066" t="s">
        <v>9527</v>
      </c>
      <c r="E4066">
        <v>42</v>
      </c>
      <c r="F4066" t="s">
        <v>645</v>
      </c>
      <c r="G4066" t="s">
        <v>504</v>
      </c>
      <c r="H4066">
        <v>37625</v>
      </c>
      <c r="I4066" s="1" t="d">
        <v>2009-10-18</v>
      </c>
      <c r="J4066" t="s">
        <v>2213</v>
      </c>
      <c r="K4066" s="17" t="s">
        <v>90</v>
      </c>
      <c r="L4066">
        <v>3</v>
      </c>
    </row>
    <row r="4067" spans="1:12" x14ac:dyDescent="0.25">
      <c r="A4067" t="s">
        <v>8199</v>
      </c>
      <c r="B4067" t="s">
        <v>199</v>
      </c>
      <c r="C4067" t="s">
        <v>1326</v>
      </c>
      <c r="D4067" t="s">
        <v>9527</v>
      </c>
      <c r="E4067">
        <v>33</v>
      </c>
      <c r="F4067" t="s">
        <v>559</v>
      </c>
      <c r="G4067" t="s">
        <v>39</v>
      </c>
      <c r="I4067" s="1" t="d">
        <v>2014-03-04</v>
      </c>
      <c r="J4067" t="s">
        <v>2056</v>
      </c>
      <c r="K4067" s="17" t="s">
        <v>71</v>
      </c>
      <c r="L4067">
        <v>3</v>
      </c>
    </row>
    <row r="4068" spans="1:12" x14ac:dyDescent="0.25">
      <c r="A4068" t="s">
        <v>8200</v>
      </c>
      <c r="B4068" t="s">
        <v>1086</v>
      </c>
      <c r="C4068" t="s">
        <v>8201</v>
      </c>
      <c r="D4068" t="s">
        <v>23</v>
      </c>
      <c r="E4068">
        <v>41</v>
      </c>
      <c r="F4068" t="s">
        <v>211</v>
      </c>
      <c r="G4068" t="s">
        <v>3197</v>
      </c>
      <c r="H4068" t="s">
        <v>8202</v>
      </c>
      <c r="I4068" s="1" t="d">
        <v>2011-08-02</v>
      </c>
      <c r="J4068" t="s">
        <v>6767</v>
      </c>
      <c r="K4068" s="17" t="s">
        <v>42</v>
      </c>
      <c r="L4068">
        <v>2</v>
      </c>
    </row>
    <row r="4069" spans="1:12" x14ac:dyDescent="0.25">
      <c r="A4069" t="s">
        <v>8203</v>
      </c>
      <c r="B4069" t="s">
        <v>8204</v>
      </c>
      <c r="C4069" t="s">
        <v>2300</v>
      </c>
      <c r="D4069" t="s">
        <v>46</v>
      </c>
      <c r="E4069">
        <v>48</v>
      </c>
      <c r="F4069" t="s">
        <v>319</v>
      </c>
      <c r="G4069" t="s">
        <v>115</v>
      </c>
      <c r="H4069">
        <v>56273</v>
      </c>
      <c r="I4069" s="1" t="d">
        <v>2018-12-22</v>
      </c>
      <c r="J4069" t="s">
        <v>2395</v>
      </c>
      <c r="K4069" s="17" t="s">
        <v>27</v>
      </c>
      <c r="L4069">
        <v>5</v>
      </c>
    </row>
    <row r="4070" spans="1:12" x14ac:dyDescent="0.25">
      <c r="A4070" t="s">
        <v>8205</v>
      </c>
      <c r="B4070" t="s">
        <v>670</v>
      </c>
      <c r="C4070" t="s">
        <v>1320</v>
      </c>
      <c r="D4070" t="s">
        <v>9527</v>
      </c>
      <c r="E4070">
        <v>44</v>
      </c>
      <c r="F4070" t="s">
        <v>319</v>
      </c>
      <c r="G4070" t="s">
        <v>351</v>
      </c>
      <c r="H4070" s="2">
        <v>-36366</v>
      </c>
      <c r="I4070" s="1" t="d">
        <v>2012-07-27</v>
      </c>
      <c r="J4070" t="s">
        <v>3255</v>
      </c>
      <c r="K4070" s="17" t="s">
        <v>100</v>
      </c>
      <c r="L4070">
        <v>4</v>
      </c>
    </row>
    <row r="4071" spans="1:12" x14ac:dyDescent="0.25">
      <c r="A4071" t="s">
        <v>8206</v>
      </c>
      <c r="B4071" t="s">
        <v>13</v>
      </c>
      <c r="C4071" t="s">
        <v>37</v>
      </c>
      <c r="D4071" t="s">
        <v>46</v>
      </c>
      <c r="E4071">
        <v>28</v>
      </c>
      <c r="F4071" t="s">
        <v>589</v>
      </c>
      <c r="G4071" t="s">
        <v>159</v>
      </c>
      <c r="H4071" s="2">
        <v>56580</v>
      </c>
      <c r="I4071" s="1" t="d">
        <v>2015-12-17</v>
      </c>
      <c r="J4071" t="s">
        <v>3647</v>
      </c>
      <c r="K4071" s="17" t="s">
        <v>50</v>
      </c>
      <c r="L4071">
        <v>4</v>
      </c>
    </row>
    <row r="4072" spans="1:12" x14ac:dyDescent="0.25">
      <c r="A4072" t="s">
        <v>8207</v>
      </c>
      <c r="B4072" t="s">
        <v>1096</v>
      </c>
      <c r="C4072" t="s">
        <v>295</v>
      </c>
      <c r="D4072" t="s">
        <v>23</v>
      </c>
      <c r="E4072">
        <v>35</v>
      </c>
      <c r="F4072" t="s">
        <v>75</v>
      </c>
      <c r="G4072" t="s">
        <v>500</v>
      </c>
      <c r="I4072" s="1" t="d">
        <v>2024-10-29</v>
      </c>
      <c r="J4072" t="s">
        <v>1389</v>
      </c>
      <c r="K4072" s="17" t="s">
        <v>71</v>
      </c>
      <c r="L4072">
        <v>2</v>
      </c>
    </row>
    <row r="4073" spans="1:12" x14ac:dyDescent="0.25">
      <c r="A4073" t="s">
        <v>8208</v>
      </c>
      <c r="B4073" t="s">
        <v>709</v>
      </c>
      <c r="C4073" t="s">
        <v>1326</v>
      </c>
      <c r="D4073" t="s">
        <v>9527</v>
      </c>
      <c r="E4073">
        <v>45</v>
      </c>
      <c r="F4073" t="s">
        <v>365</v>
      </c>
      <c r="G4073" t="s">
        <v>1446</v>
      </c>
      <c r="H4073" t="s">
        <v>8209</v>
      </c>
      <c r="I4073" s="1" t="d">
        <v>2007-10-01</v>
      </c>
      <c r="J4073" t="s">
        <v>1404</v>
      </c>
      <c r="K4073" s="17" t="s">
        <v>27</v>
      </c>
      <c r="L4073">
        <v>4</v>
      </c>
    </row>
    <row r="4074" spans="1:12" x14ac:dyDescent="0.25">
      <c r="A4074" t="s">
        <v>8210</v>
      </c>
      <c r="B4074" t="s">
        <v>3569</v>
      </c>
      <c r="C4074" t="s">
        <v>295</v>
      </c>
      <c r="D4074" t="s">
        <v>9527</v>
      </c>
      <c r="E4074">
        <v>38</v>
      </c>
      <c r="F4074" t="s">
        <v>104</v>
      </c>
      <c r="G4074" t="s">
        <v>141</v>
      </c>
      <c r="H4074" s="2">
        <v>69012</v>
      </c>
      <c r="I4074" s="1" t="d">
        <v>2015-03-26</v>
      </c>
      <c r="J4074" t="s">
        <v>298</v>
      </c>
      <c r="K4074" s="17" t="s">
        <v>19</v>
      </c>
      <c r="L4074">
        <v>2</v>
      </c>
    </row>
    <row r="4075" spans="1:12" x14ac:dyDescent="0.25">
      <c r="A4075" t="s">
        <v>8211</v>
      </c>
      <c r="B4075" t="s">
        <v>1086</v>
      </c>
      <c r="C4075" t="s">
        <v>268</v>
      </c>
      <c r="D4075" t="s">
        <v>23</v>
      </c>
      <c r="E4075">
        <v>36</v>
      </c>
      <c r="F4075" t="s">
        <v>258</v>
      </c>
      <c r="G4075" t="s">
        <v>39</v>
      </c>
      <c r="I4075" s="1" t="d">
        <v>2024-11-14</v>
      </c>
      <c r="J4075" t="s">
        <v>6950</v>
      </c>
      <c r="K4075" s="17" t="s">
        <v>58</v>
      </c>
      <c r="L4075">
        <v>2</v>
      </c>
    </row>
    <row r="4076" spans="1:12" x14ac:dyDescent="0.25">
      <c r="A4076" t="s">
        <v>8212</v>
      </c>
      <c r="B4076" t="s">
        <v>1799</v>
      </c>
      <c r="C4076" t="s">
        <v>381</v>
      </c>
      <c r="D4076" t="s">
        <v>46</v>
      </c>
      <c r="E4076">
        <v>32</v>
      </c>
      <c r="F4076" t="s">
        <v>1110</v>
      </c>
      <c r="G4076" t="s">
        <v>115</v>
      </c>
      <c r="H4076" t="s">
        <v>8213</v>
      </c>
      <c r="I4076" s="1" t="d">
        <v>2013-05-21</v>
      </c>
      <c r="J4076" t="s">
        <v>737</v>
      </c>
      <c r="K4076" s="17" t="s">
        <v>118</v>
      </c>
      <c r="L4076">
        <v>3</v>
      </c>
    </row>
    <row r="4077" spans="1:12" x14ac:dyDescent="0.25">
      <c r="A4077" t="s">
        <v>8214</v>
      </c>
      <c r="B4077" t="s">
        <v>92</v>
      </c>
      <c r="C4077" t="s">
        <v>263</v>
      </c>
      <c r="D4077" t="s">
        <v>9527</v>
      </c>
      <c r="E4077">
        <v>55</v>
      </c>
      <c r="F4077" t="s">
        <v>399</v>
      </c>
      <c r="G4077" t="s">
        <v>170</v>
      </c>
      <c r="H4077" s="2">
        <v>51348</v>
      </c>
      <c r="I4077" s="1" t="d">
        <v>2010-04-22</v>
      </c>
      <c r="J4077" t="s">
        <v>2946</v>
      </c>
      <c r="K4077" s="17" t="s">
        <v>71</v>
      </c>
      <c r="L4077">
        <v>3</v>
      </c>
    </row>
    <row r="4078" spans="1:12" x14ac:dyDescent="0.25">
      <c r="A4078" t="s">
        <v>8215</v>
      </c>
      <c r="B4078" t="s">
        <v>680</v>
      </c>
      <c r="C4078" t="s">
        <v>1770</v>
      </c>
      <c r="D4078" t="s">
        <v>23</v>
      </c>
      <c r="E4078">
        <v>44</v>
      </c>
      <c r="F4078" t="s">
        <v>576</v>
      </c>
      <c r="G4078" t="s">
        <v>3243</v>
      </c>
      <c r="H4078" s="2">
        <v>253403</v>
      </c>
      <c r="I4078" s="1" t="d">
        <v>2009-05-30</v>
      </c>
      <c r="J4078" t="s">
        <v>8216</v>
      </c>
      <c r="K4078" s="17" t="s">
        <v>50</v>
      </c>
      <c r="L4078">
        <v>4</v>
      </c>
    </row>
    <row r="4079" spans="1:12" x14ac:dyDescent="0.25">
      <c r="A4079" t="s">
        <v>8217</v>
      </c>
      <c r="B4079" t="s">
        <v>3127</v>
      </c>
      <c r="C4079" t="s">
        <v>6871</v>
      </c>
      <c r="D4079" t="s">
        <v>9527</v>
      </c>
      <c r="E4079">
        <v>47</v>
      </c>
      <c r="F4079" t="s">
        <v>3280</v>
      </c>
      <c r="G4079" t="s">
        <v>159</v>
      </c>
      <c r="H4079" t="s">
        <v>8218</v>
      </c>
      <c r="I4079" s="1" t="d">
        <v>2006-08-10</v>
      </c>
      <c r="J4079" t="s">
        <v>1275</v>
      </c>
      <c r="K4079" s="17" t="s">
        <v>50</v>
      </c>
      <c r="L4079">
        <v>3</v>
      </c>
    </row>
    <row r="4080" spans="1:12" x14ac:dyDescent="0.25">
      <c r="A4080" t="s">
        <v>8219</v>
      </c>
      <c r="B4080" t="s">
        <v>583</v>
      </c>
      <c r="C4080" t="s">
        <v>30</v>
      </c>
      <c r="D4080" t="s">
        <v>46</v>
      </c>
      <c r="E4080">
        <v>32</v>
      </c>
      <c r="F4080" t="s">
        <v>238</v>
      </c>
      <c r="G4080" t="s">
        <v>39</v>
      </c>
      <c r="H4080" t="s">
        <v>8220</v>
      </c>
      <c r="I4080" s="1" t="d">
        <v>2018-04-14</v>
      </c>
      <c r="J4080" t="s">
        <v>3047</v>
      </c>
      <c r="K4080" s="17" t="s">
        <v>207</v>
      </c>
      <c r="L4080">
        <v>3</v>
      </c>
    </row>
    <row r="4081" spans="1:12" x14ac:dyDescent="0.25">
      <c r="A4081" t="s">
        <v>8221</v>
      </c>
      <c r="B4081" t="s">
        <v>79</v>
      </c>
      <c r="C4081" t="s">
        <v>158</v>
      </c>
      <c r="D4081" t="s">
        <v>46</v>
      </c>
      <c r="E4081">
        <v>39</v>
      </c>
      <c r="F4081" t="s">
        <v>373</v>
      </c>
      <c r="G4081" t="s">
        <v>55</v>
      </c>
      <c r="H4081" t="s">
        <v>8222</v>
      </c>
      <c r="I4081" s="1" t="d">
        <v>2008-05-05</v>
      </c>
      <c r="J4081" t="s">
        <v>2669</v>
      </c>
      <c r="K4081" s="17" t="s">
        <v>184</v>
      </c>
      <c r="L4081">
        <v>3</v>
      </c>
    </row>
    <row r="4082" spans="1:12" x14ac:dyDescent="0.25">
      <c r="A4082" t="s">
        <v>8223</v>
      </c>
      <c r="B4082" t="s">
        <v>2697</v>
      </c>
      <c r="C4082" t="s">
        <v>699</v>
      </c>
      <c r="D4082" t="s">
        <v>46</v>
      </c>
      <c r="E4082">
        <v>53</v>
      </c>
      <c r="F4082" t="s">
        <v>122</v>
      </c>
      <c r="G4082" t="s">
        <v>205</v>
      </c>
      <c r="H4082" t="s">
        <v>8224</v>
      </c>
      <c r="I4082" s="1" t="d">
        <v>2015-03-02</v>
      </c>
      <c r="J4082" t="s">
        <v>2434</v>
      </c>
      <c r="K4082" s="17" t="s">
        <v>19</v>
      </c>
      <c r="L4082">
        <v>3</v>
      </c>
    </row>
    <row r="4083" spans="1:12" x14ac:dyDescent="0.25">
      <c r="A4083" t="s">
        <v>8225</v>
      </c>
      <c r="B4083" t="s">
        <v>786</v>
      </c>
      <c r="C4083" t="s">
        <v>751</v>
      </c>
      <c r="D4083" t="s">
        <v>9527</v>
      </c>
      <c r="E4083">
        <v>45</v>
      </c>
      <c r="F4083" t="s">
        <v>859</v>
      </c>
      <c r="G4083" t="s">
        <v>182</v>
      </c>
      <c r="I4083" s="1" t="d">
        <v>2024-04-29</v>
      </c>
      <c r="J4083" t="s">
        <v>780</v>
      </c>
      <c r="K4083" s="17" t="s">
        <v>19</v>
      </c>
      <c r="L4083">
        <v>5</v>
      </c>
    </row>
    <row r="4084" spans="1:12" x14ac:dyDescent="0.25">
      <c r="A4084" t="s">
        <v>8226</v>
      </c>
      <c r="B4084" t="s">
        <v>340</v>
      </c>
      <c r="C4084" t="s">
        <v>67</v>
      </c>
      <c r="D4084" t="s">
        <v>23</v>
      </c>
      <c r="E4084">
        <v>25</v>
      </c>
      <c r="F4084" t="s">
        <v>522</v>
      </c>
      <c r="G4084" t="s">
        <v>357</v>
      </c>
      <c r="I4084" s="1" t="d">
        <v>2018-10-13</v>
      </c>
      <c r="J4084" t="s">
        <v>4975</v>
      </c>
      <c r="K4084" s="17" t="s">
        <v>207</v>
      </c>
      <c r="L4084">
        <v>4</v>
      </c>
    </row>
    <row r="4085" spans="1:12" x14ac:dyDescent="0.25">
      <c r="A4085" t="s">
        <v>8227</v>
      </c>
      <c r="B4085" t="s">
        <v>323</v>
      </c>
      <c r="C4085" t="s">
        <v>3524</v>
      </c>
      <c r="D4085" t="s">
        <v>23</v>
      </c>
      <c r="E4085">
        <v>45</v>
      </c>
      <c r="F4085" t="s">
        <v>589</v>
      </c>
      <c r="G4085" t="s">
        <v>1121</v>
      </c>
      <c r="I4085" s="1" t="d">
        <v>2016-03-05</v>
      </c>
      <c r="J4085" t="s">
        <v>780</v>
      </c>
      <c r="K4085" s="17" t="s">
        <v>50</v>
      </c>
      <c r="L4085">
        <v>4</v>
      </c>
    </row>
    <row r="4086" spans="1:12" x14ac:dyDescent="0.25">
      <c r="A4086" t="s">
        <v>8228</v>
      </c>
      <c r="B4086" t="s">
        <v>804</v>
      </c>
      <c r="C4086" t="s">
        <v>295</v>
      </c>
      <c r="D4086" t="s">
        <v>23</v>
      </c>
      <c r="E4086">
        <v>34</v>
      </c>
      <c r="F4086" t="s">
        <v>2004</v>
      </c>
      <c r="G4086" t="s">
        <v>63</v>
      </c>
      <c r="H4086" s="2">
        <v>101492</v>
      </c>
      <c r="I4086" s="1" t="d">
        <v>2019-08-19</v>
      </c>
      <c r="J4086" t="s">
        <v>8229</v>
      </c>
      <c r="K4086" s="17" t="s">
        <v>149</v>
      </c>
      <c r="L4086">
        <v>4</v>
      </c>
    </row>
    <row r="4087" spans="1:12" x14ac:dyDescent="0.25">
      <c r="A4087" t="s">
        <v>8230</v>
      </c>
      <c r="B4087" t="s">
        <v>52</v>
      </c>
      <c r="C4087" t="s">
        <v>225</v>
      </c>
      <c r="D4087" t="s">
        <v>46</v>
      </c>
      <c r="E4087">
        <v>51</v>
      </c>
      <c r="F4087" t="s">
        <v>258</v>
      </c>
      <c r="G4087" t="s">
        <v>55</v>
      </c>
      <c r="H4087">
        <v>55248</v>
      </c>
      <c r="I4087" s="1" t="d">
        <v>2018-05-20</v>
      </c>
      <c r="J4087" t="s">
        <v>1521</v>
      </c>
      <c r="K4087" s="17" t="s">
        <v>50</v>
      </c>
      <c r="L4087">
        <v>4</v>
      </c>
    </row>
    <row r="4088" spans="1:12" x14ac:dyDescent="0.25">
      <c r="A4088" t="s">
        <v>8231</v>
      </c>
      <c r="B4088" t="s">
        <v>21</v>
      </c>
      <c r="C4088" t="s">
        <v>521</v>
      </c>
      <c r="D4088" t="s">
        <v>23</v>
      </c>
      <c r="E4088">
        <v>45</v>
      </c>
      <c r="F4088" t="s">
        <v>1116</v>
      </c>
      <c r="G4088" t="s">
        <v>69</v>
      </c>
      <c r="H4088">
        <v>79882</v>
      </c>
      <c r="I4088" s="1" t="d">
        <v>2006-06-04</v>
      </c>
      <c r="J4088" t="s">
        <v>2809</v>
      </c>
      <c r="K4088" s="17" t="s">
        <v>370</v>
      </c>
      <c r="L4088">
        <v>3</v>
      </c>
    </row>
    <row r="4089" spans="1:12" x14ac:dyDescent="0.25">
      <c r="A4089" t="s">
        <v>8232</v>
      </c>
      <c r="B4089" t="s">
        <v>1051</v>
      </c>
      <c r="C4089" t="s">
        <v>2064</v>
      </c>
      <c r="D4089" t="s">
        <v>23</v>
      </c>
      <c r="E4089">
        <v>55</v>
      </c>
      <c r="F4089" t="s">
        <v>75</v>
      </c>
      <c r="G4089" t="s">
        <v>88</v>
      </c>
      <c r="H4089" s="2">
        <v>77405</v>
      </c>
      <c r="I4089" s="1" t="d">
        <v>2016-03-03</v>
      </c>
      <c r="J4089" t="s">
        <v>6944</v>
      </c>
      <c r="K4089" s="17" t="s">
        <v>19</v>
      </c>
      <c r="L4089">
        <v>2</v>
      </c>
    </row>
    <row r="4090" spans="1:12" x14ac:dyDescent="0.25">
      <c r="A4090" t="s">
        <v>4864</v>
      </c>
      <c r="B4090" t="s">
        <v>4865</v>
      </c>
      <c r="C4090" t="s">
        <v>624</v>
      </c>
      <c r="D4090" t="s">
        <v>46</v>
      </c>
      <c r="E4090">
        <v>35</v>
      </c>
      <c r="F4090" t="s">
        <v>559</v>
      </c>
      <c r="G4090" t="s">
        <v>48</v>
      </c>
      <c r="H4090">
        <v>94360</v>
      </c>
      <c r="I4090" s="1" t="d">
        <v>2024-05-08</v>
      </c>
      <c r="J4090" t="s">
        <v>4866</v>
      </c>
      <c r="K4090" s="17" t="s">
        <v>100</v>
      </c>
      <c r="L4090">
        <v>5</v>
      </c>
    </row>
    <row r="4091" spans="1:12" x14ac:dyDescent="0.25">
      <c r="A4091" t="s">
        <v>8233</v>
      </c>
      <c r="B4091" t="s">
        <v>130</v>
      </c>
      <c r="C4091" t="s">
        <v>395</v>
      </c>
      <c r="D4091" t="s">
        <v>46</v>
      </c>
      <c r="E4091">
        <v>43</v>
      </c>
      <c r="F4091" t="s">
        <v>264</v>
      </c>
      <c r="G4091" t="s">
        <v>88</v>
      </c>
      <c r="H4091" t="s">
        <v>8234</v>
      </c>
      <c r="I4091" s="1" t="d">
        <v>2011-06-11</v>
      </c>
      <c r="J4091" t="s">
        <v>2815</v>
      </c>
      <c r="K4091" s="17" t="s">
        <v>71</v>
      </c>
      <c r="L4091">
        <v>3</v>
      </c>
    </row>
    <row r="4092" spans="1:12" x14ac:dyDescent="0.25">
      <c r="A4092" t="s">
        <v>1042</v>
      </c>
      <c r="B4092" t="s">
        <v>1043</v>
      </c>
      <c r="C4092" t="s">
        <v>210</v>
      </c>
      <c r="D4092" t="s">
        <v>23</v>
      </c>
      <c r="E4092">
        <v>42</v>
      </c>
      <c r="F4092" t="s">
        <v>645</v>
      </c>
      <c r="G4092" t="s">
        <v>191</v>
      </c>
      <c r="H4092" t="s">
        <v>1044</v>
      </c>
      <c r="I4092" s="1" t="d">
        <v>2006-09-01</v>
      </c>
      <c r="J4092" t="s">
        <v>96</v>
      </c>
      <c r="K4092" s="17" t="s">
        <v>90</v>
      </c>
      <c r="L4092">
        <v>3</v>
      </c>
    </row>
    <row r="4093" spans="1:12" x14ac:dyDescent="0.25">
      <c r="A4093" t="s">
        <v>8235</v>
      </c>
      <c r="B4093" t="s">
        <v>709</v>
      </c>
      <c r="C4093" t="s">
        <v>521</v>
      </c>
      <c r="D4093" t="s">
        <v>9527</v>
      </c>
      <c r="E4093">
        <v>38</v>
      </c>
      <c r="F4093" t="s">
        <v>31</v>
      </c>
      <c r="G4093" t="s">
        <v>212</v>
      </c>
      <c r="H4093" t="s">
        <v>8236</v>
      </c>
      <c r="I4093" s="1" t="d">
        <v>2006-06-04</v>
      </c>
      <c r="J4093" t="s">
        <v>4430</v>
      </c>
      <c r="K4093" s="17" t="s">
        <v>370</v>
      </c>
      <c r="L4093">
        <v>3</v>
      </c>
    </row>
    <row r="4094" spans="1:12" x14ac:dyDescent="0.25">
      <c r="A4094" t="s">
        <v>8237</v>
      </c>
      <c r="B4094" t="s">
        <v>3520</v>
      </c>
      <c r="C4094" t="s">
        <v>575</v>
      </c>
      <c r="D4094" t="s">
        <v>9527</v>
      </c>
      <c r="E4094">
        <v>52</v>
      </c>
      <c r="F4094" t="s">
        <v>373</v>
      </c>
      <c r="G4094" t="s">
        <v>48</v>
      </c>
      <c r="H4094" t="s">
        <v>8238</v>
      </c>
      <c r="I4094" s="1" t="d">
        <v>2023-11-25</v>
      </c>
      <c r="J4094" t="s">
        <v>1000</v>
      </c>
      <c r="K4094" s="17" t="s">
        <v>370</v>
      </c>
      <c r="L4094">
        <v>4</v>
      </c>
    </row>
    <row r="4095" spans="1:12" x14ac:dyDescent="0.25">
      <c r="A4095" t="s">
        <v>8239</v>
      </c>
      <c r="B4095" t="s">
        <v>1784</v>
      </c>
      <c r="C4095" t="s">
        <v>2215</v>
      </c>
      <c r="D4095" t="s">
        <v>46</v>
      </c>
      <c r="E4095">
        <v>24</v>
      </c>
      <c r="F4095" t="s">
        <v>978</v>
      </c>
      <c r="G4095" t="s">
        <v>239</v>
      </c>
      <c r="H4095" t="s">
        <v>8240</v>
      </c>
      <c r="I4095" s="1" t="d">
        <v>2024-05-26</v>
      </c>
      <c r="J4095" t="s">
        <v>2518</v>
      </c>
      <c r="K4095" s="17" t="s">
        <v>149</v>
      </c>
      <c r="L4095">
        <v>4</v>
      </c>
    </row>
    <row r="4096" spans="1:12" x14ac:dyDescent="0.25">
      <c r="A4096" t="s">
        <v>8241</v>
      </c>
      <c r="B4096" t="s">
        <v>563</v>
      </c>
      <c r="C4096" t="s">
        <v>584</v>
      </c>
      <c r="D4096" t="s">
        <v>46</v>
      </c>
      <c r="E4096">
        <v>29</v>
      </c>
      <c r="F4096" t="s">
        <v>169</v>
      </c>
      <c r="G4096" t="s">
        <v>3243</v>
      </c>
      <c r="H4096">
        <v>122536</v>
      </c>
      <c r="I4096" s="1" t="d">
        <v>2018-10-17</v>
      </c>
      <c r="J4096" t="s">
        <v>1833</v>
      </c>
      <c r="K4096" s="17" t="s">
        <v>19</v>
      </c>
      <c r="L4096">
        <v>3</v>
      </c>
    </row>
    <row r="4097" spans="1:12" x14ac:dyDescent="0.25">
      <c r="A4097" t="s">
        <v>8242</v>
      </c>
      <c r="B4097" t="s">
        <v>2581</v>
      </c>
      <c r="C4097" t="s">
        <v>988</v>
      </c>
      <c r="D4097" t="s">
        <v>23</v>
      </c>
      <c r="E4097">
        <v>45</v>
      </c>
      <c r="F4097" t="s">
        <v>2707</v>
      </c>
      <c r="G4097" t="s">
        <v>32</v>
      </c>
      <c r="I4097" s="1" t="d">
        <v>2011-07-14</v>
      </c>
      <c r="J4097" t="s">
        <v>8243</v>
      </c>
      <c r="K4097" s="17" t="s">
        <v>100</v>
      </c>
      <c r="L4097">
        <v>2</v>
      </c>
    </row>
    <row r="4098" spans="1:12" x14ac:dyDescent="0.25">
      <c r="A4098" t="s">
        <v>1265</v>
      </c>
      <c r="B4098" t="s">
        <v>134</v>
      </c>
      <c r="C4098" t="s">
        <v>1266</v>
      </c>
      <c r="D4098" t="s">
        <v>9527</v>
      </c>
      <c r="E4098">
        <v>21</v>
      </c>
      <c r="F4098" t="s">
        <v>31</v>
      </c>
      <c r="G4098" t="s">
        <v>907</v>
      </c>
      <c r="H4098" s="2">
        <v>111675</v>
      </c>
      <c r="I4098" s="1" t="d">
        <v>2018-09-15</v>
      </c>
      <c r="J4098" t="s">
        <v>1267</v>
      </c>
      <c r="K4098" s="17" t="s">
        <v>370</v>
      </c>
      <c r="L4098">
        <v>5</v>
      </c>
    </row>
    <row r="4099" spans="1:12" x14ac:dyDescent="0.25">
      <c r="A4099" t="s">
        <v>8244</v>
      </c>
      <c r="B4099" t="s">
        <v>29</v>
      </c>
      <c r="C4099" t="s">
        <v>584</v>
      </c>
      <c r="D4099" t="s">
        <v>46</v>
      </c>
      <c r="E4099">
        <v>47</v>
      </c>
      <c r="F4099" t="s">
        <v>114</v>
      </c>
      <c r="G4099" t="s">
        <v>16</v>
      </c>
      <c r="H4099" t="s">
        <v>8245</v>
      </c>
      <c r="I4099" s="1" t="d">
        <v>2012-09-11</v>
      </c>
      <c r="J4099" t="s">
        <v>2266</v>
      </c>
      <c r="K4099" s="17" t="s">
        <v>184</v>
      </c>
      <c r="L4099">
        <v>3</v>
      </c>
    </row>
    <row r="4100" spans="1:12" x14ac:dyDescent="0.25">
      <c r="A4100" t="s">
        <v>8246</v>
      </c>
      <c r="B4100" t="s">
        <v>563</v>
      </c>
      <c r="C4100" t="s">
        <v>113</v>
      </c>
      <c r="D4100" t="s">
        <v>46</v>
      </c>
      <c r="E4100">
        <v>38</v>
      </c>
      <c r="F4100" t="s">
        <v>2065</v>
      </c>
      <c r="G4100" t="s">
        <v>69</v>
      </c>
      <c r="H4100">
        <v>103134</v>
      </c>
      <c r="I4100" s="1" t="d">
        <v>2016-02-14</v>
      </c>
      <c r="J4100" t="s">
        <v>3299</v>
      </c>
      <c r="K4100" s="17" t="s">
        <v>34</v>
      </c>
      <c r="L4100">
        <v>3</v>
      </c>
    </row>
    <row r="4101" spans="1:12" x14ac:dyDescent="0.25">
      <c r="A4101" t="s">
        <v>8247</v>
      </c>
      <c r="B4101" t="s">
        <v>5637</v>
      </c>
      <c r="C4101" t="s">
        <v>474</v>
      </c>
      <c r="D4101" t="s">
        <v>46</v>
      </c>
      <c r="E4101">
        <v>36</v>
      </c>
      <c r="F4101" t="s">
        <v>104</v>
      </c>
      <c r="G4101" t="s">
        <v>283</v>
      </c>
      <c r="H4101" t="s">
        <v>8248</v>
      </c>
      <c r="I4101" s="1" t="d">
        <v>2022-12-30</v>
      </c>
      <c r="J4101" t="s">
        <v>1928</v>
      </c>
      <c r="K4101" s="17" t="s">
        <v>184</v>
      </c>
      <c r="L4101">
        <v>5</v>
      </c>
    </row>
    <row r="4102" spans="1:12" x14ac:dyDescent="0.25">
      <c r="A4102" t="s">
        <v>8249</v>
      </c>
      <c r="B4102" t="s">
        <v>8250</v>
      </c>
      <c r="C4102" t="s">
        <v>8251</v>
      </c>
      <c r="D4102" t="s">
        <v>23</v>
      </c>
      <c r="E4102">
        <v>41</v>
      </c>
      <c r="F4102" t="s">
        <v>15</v>
      </c>
      <c r="G4102" t="s">
        <v>82</v>
      </c>
      <c r="I4102" s="1" t="d">
        <v>2007-06-20</v>
      </c>
      <c r="J4102" t="s">
        <v>5094</v>
      </c>
      <c r="K4102" s="17" t="s">
        <v>100</v>
      </c>
      <c r="L4102">
        <v>4</v>
      </c>
    </row>
    <row r="4103" spans="1:12" x14ac:dyDescent="0.25">
      <c r="A4103" t="s">
        <v>8252</v>
      </c>
      <c r="B4103" t="s">
        <v>448</v>
      </c>
      <c r="C4103" t="s">
        <v>45</v>
      </c>
      <c r="D4103" t="s">
        <v>23</v>
      </c>
      <c r="E4103">
        <v>45</v>
      </c>
      <c r="F4103" t="s">
        <v>54</v>
      </c>
      <c r="G4103" t="s">
        <v>351</v>
      </c>
      <c r="H4103">
        <v>49796</v>
      </c>
      <c r="I4103" s="1" t="d">
        <v>2018-04-16</v>
      </c>
      <c r="J4103" t="s">
        <v>5107</v>
      </c>
      <c r="K4103" s="17" t="s">
        <v>118</v>
      </c>
      <c r="L4103">
        <v>3</v>
      </c>
    </row>
    <row r="4104" spans="1:12" x14ac:dyDescent="0.25">
      <c r="A4104" t="s">
        <v>8253</v>
      </c>
      <c r="B4104" t="s">
        <v>251</v>
      </c>
      <c r="C4104" t="s">
        <v>858</v>
      </c>
      <c r="D4104" t="s">
        <v>9527</v>
      </c>
      <c r="E4104">
        <v>53</v>
      </c>
      <c r="F4104" t="s">
        <v>3978</v>
      </c>
      <c r="G4104" t="s">
        <v>25</v>
      </c>
      <c r="H4104" s="2">
        <v>131590</v>
      </c>
      <c r="I4104" s="1" t="d">
        <v>2008-01-30</v>
      </c>
      <c r="J4104" t="s">
        <v>1025</v>
      </c>
      <c r="K4104" s="17" t="s">
        <v>207</v>
      </c>
      <c r="L4104">
        <v>4</v>
      </c>
    </row>
    <row r="4105" spans="1:12" x14ac:dyDescent="0.25">
      <c r="A4105" t="s">
        <v>8254</v>
      </c>
      <c r="B4105" t="s">
        <v>275</v>
      </c>
      <c r="C4105" t="s">
        <v>229</v>
      </c>
      <c r="D4105" t="s">
        <v>23</v>
      </c>
      <c r="E4105">
        <v>21</v>
      </c>
      <c r="F4105" t="s">
        <v>126</v>
      </c>
      <c r="G4105" t="s">
        <v>3277</v>
      </c>
      <c r="H4105">
        <v>130277</v>
      </c>
      <c r="I4105" s="1" t="d">
        <v>2014-11-18</v>
      </c>
      <c r="J4105" t="s">
        <v>7474</v>
      </c>
      <c r="K4105" s="17" t="s">
        <v>34</v>
      </c>
      <c r="L4105">
        <v>3</v>
      </c>
    </row>
    <row r="4106" spans="1:12" x14ac:dyDescent="0.25">
      <c r="A4106" t="s">
        <v>8255</v>
      </c>
      <c r="B4106" t="s">
        <v>718</v>
      </c>
      <c r="C4106" t="s">
        <v>1326</v>
      </c>
      <c r="D4106" t="s">
        <v>23</v>
      </c>
      <c r="E4106">
        <v>26</v>
      </c>
      <c r="F4106" t="s">
        <v>532</v>
      </c>
      <c r="G4106" t="s">
        <v>25</v>
      </c>
      <c r="I4106" s="1" t="d">
        <v>2020-04-08</v>
      </c>
      <c r="J4106" t="s">
        <v>8256</v>
      </c>
      <c r="K4106" s="17" t="s">
        <v>149</v>
      </c>
      <c r="L4106">
        <v>5</v>
      </c>
    </row>
    <row r="4107" spans="1:12" x14ac:dyDescent="0.25">
      <c r="A4107" t="s">
        <v>8257</v>
      </c>
      <c r="B4107" t="s">
        <v>1051</v>
      </c>
      <c r="C4107" t="s">
        <v>805</v>
      </c>
      <c r="D4107" t="s">
        <v>23</v>
      </c>
      <c r="E4107">
        <v>31</v>
      </c>
      <c r="F4107" t="s">
        <v>47</v>
      </c>
      <c r="G4107" t="s">
        <v>141</v>
      </c>
      <c r="H4107" t="s">
        <v>8258</v>
      </c>
      <c r="I4107" s="1" t="d">
        <v>2014-08-08</v>
      </c>
      <c r="J4107" t="s">
        <v>3064</v>
      </c>
      <c r="K4107" s="17" t="s">
        <v>71</v>
      </c>
      <c r="L4107">
        <v>3</v>
      </c>
    </row>
    <row r="4108" spans="1:12" x14ac:dyDescent="0.25">
      <c r="A4108" t="s">
        <v>8259</v>
      </c>
      <c r="B4108" t="s">
        <v>426</v>
      </c>
      <c r="C4108" t="s">
        <v>1030</v>
      </c>
      <c r="D4108" t="s">
        <v>9527</v>
      </c>
      <c r="E4108">
        <v>31</v>
      </c>
      <c r="F4108" t="s">
        <v>38</v>
      </c>
      <c r="G4108" t="s">
        <v>69</v>
      </c>
      <c r="H4108" s="2">
        <v>64062</v>
      </c>
      <c r="I4108" s="1" t="d">
        <v>2016-12-29</v>
      </c>
      <c r="J4108" t="s">
        <v>105</v>
      </c>
      <c r="K4108" s="17" t="s">
        <v>90</v>
      </c>
      <c r="L4108">
        <v>3</v>
      </c>
    </row>
    <row r="4109" spans="1:12" x14ac:dyDescent="0.25">
      <c r="A4109" t="s">
        <v>8260</v>
      </c>
      <c r="B4109" t="s">
        <v>180</v>
      </c>
      <c r="C4109" t="s">
        <v>324</v>
      </c>
      <c r="D4109" t="s">
        <v>46</v>
      </c>
      <c r="E4109">
        <v>25</v>
      </c>
      <c r="F4109" t="s">
        <v>126</v>
      </c>
      <c r="G4109" t="s">
        <v>164</v>
      </c>
      <c r="H4109">
        <v>78445</v>
      </c>
      <c r="J4109" t="s">
        <v>6355</v>
      </c>
      <c r="K4109" s="17" t="s">
        <v>58</v>
      </c>
      <c r="L4109">
        <v>3</v>
      </c>
    </row>
    <row r="4110" spans="1:12" x14ac:dyDescent="0.25">
      <c r="A4110" t="s">
        <v>8261</v>
      </c>
      <c r="B4110" t="s">
        <v>999</v>
      </c>
      <c r="C4110" t="s">
        <v>107</v>
      </c>
      <c r="D4110" t="s">
        <v>46</v>
      </c>
      <c r="E4110">
        <v>31</v>
      </c>
      <c r="F4110" t="s">
        <v>1116</v>
      </c>
      <c r="G4110" t="s">
        <v>191</v>
      </c>
      <c r="H4110" s="2">
        <v>73975</v>
      </c>
      <c r="I4110" s="1" t="d">
        <v>2009-11-10</v>
      </c>
      <c r="J4110" t="s">
        <v>4052</v>
      </c>
      <c r="K4110" s="17" t="s">
        <v>100</v>
      </c>
      <c r="L4110">
        <v>5</v>
      </c>
    </row>
    <row r="4111" spans="1:12" x14ac:dyDescent="0.25">
      <c r="A4111" t="s">
        <v>8262</v>
      </c>
      <c r="B4111" t="s">
        <v>520</v>
      </c>
      <c r="C4111" t="s">
        <v>483</v>
      </c>
      <c r="D4111" t="s">
        <v>46</v>
      </c>
      <c r="E4111">
        <v>41</v>
      </c>
      <c r="F4111" t="s">
        <v>350</v>
      </c>
      <c r="G4111" t="s">
        <v>141</v>
      </c>
      <c r="H4111" t="s">
        <v>8263</v>
      </c>
      <c r="I4111" s="1" t="d">
        <v>2018-07-22</v>
      </c>
      <c r="J4111" t="s">
        <v>2906</v>
      </c>
      <c r="K4111" s="17" t="s">
        <v>118</v>
      </c>
      <c r="L4111">
        <v>4</v>
      </c>
    </row>
    <row r="4112" spans="1:12" x14ac:dyDescent="0.25">
      <c r="A4112" t="s">
        <v>8264</v>
      </c>
      <c r="B4112" t="s">
        <v>881</v>
      </c>
      <c r="C4112" t="s">
        <v>1442</v>
      </c>
      <c r="D4112" t="s">
        <v>46</v>
      </c>
      <c r="E4112">
        <v>43</v>
      </c>
      <c r="F4112" t="s">
        <v>495</v>
      </c>
      <c r="G4112" t="s">
        <v>69</v>
      </c>
      <c r="I4112" s="1" t="d">
        <v>2008-01-06</v>
      </c>
      <c r="J4112" t="s">
        <v>2893</v>
      </c>
      <c r="K4112" s="17" t="s">
        <v>42</v>
      </c>
      <c r="L4112">
        <v>5</v>
      </c>
    </row>
    <row r="4113" spans="1:12" x14ac:dyDescent="0.25">
      <c r="A4113" t="s">
        <v>8265</v>
      </c>
      <c r="B4113" t="s">
        <v>86</v>
      </c>
      <c r="C4113" t="s">
        <v>395</v>
      </c>
      <c r="D4113" t="s">
        <v>9527</v>
      </c>
      <c r="E4113">
        <v>35</v>
      </c>
      <c r="F4113" t="s">
        <v>365</v>
      </c>
      <c r="G4113" t="s">
        <v>39</v>
      </c>
      <c r="H4113">
        <v>52339</v>
      </c>
      <c r="I4113" s="1" t="d">
        <v>2019-04-22</v>
      </c>
      <c r="J4113" t="s">
        <v>4445</v>
      </c>
      <c r="K4113" s="17" t="s">
        <v>71</v>
      </c>
      <c r="L4113">
        <v>2</v>
      </c>
    </row>
    <row r="4114" spans="1:12" x14ac:dyDescent="0.25">
      <c r="A4114" t="s">
        <v>8266</v>
      </c>
      <c r="B4114" t="s">
        <v>684</v>
      </c>
      <c r="C4114" t="s">
        <v>710</v>
      </c>
      <c r="D4114" t="s">
        <v>23</v>
      </c>
      <c r="E4114">
        <v>23</v>
      </c>
      <c r="F4114" t="s">
        <v>230</v>
      </c>
      <c r="G4114" t="s">
        <v>177</v>
      </c>
      <c r="H4114" s="2">
        <v>51828</v>
      </c>
      <c r="I4114" s="1" t="d">
        <v>2007-03-07</v>
      </c>
      <c r="J4114" t="s">
        <v>5956</v>
      </c>
      <c r="K4114" s="17" t="s">
        <v>100</v>
      </c>
      <c r="L4114">
        <v>4</v>
      </c>
    </row>
    <row r="4115" spans="1:12" x14ac:dyDescent="0.25">
      <c r="A4115" t="s">
        <v>8267</v>
      </c>
      <c r="B4115" t="s">
        <v>841</v>
      </c>
      <c r="C4115" t="s">
        <v>696</v>
      </c>
      <c r="D4115" t="s">
        <v>9527</v>
      </c>
      <c r="E4115">
        <v>31</v>
      </c>
      <c r="F4115" t="s">
        <v>365</v>
      </c>
      <c r="G4115" t="s">
        <v>127</v>
      </c>
      <c r="H4115" t="s">
        <v>8268</v>
      </c>
      <c r="I4115" s="1" t="d">
        <v>2024-09-15</v>
      </c>
      <c r="J4115" t="s">
        <v>1211</v>
      </c>
      <c r="K4115" s="17" t="s">
        <v>27</v>
      </c>
      <c r="L4115">
        <v>4</v>
      </c>
    </row>
    <row r="4116" spans="1:12" x14ac:dyDescent="0.25">
      <c r="A4116" t="s">
        <v>8269</v>
      </c>
      <c r="B4116" t="s">
        <v>404</v>
      </c>
      <c r="C4116" t="s">
        <v>898</v>
      </c>
      <c r="D4116" t="s">
        <v>46</v>
      </c>
      <c r="E4116">
        <v>29</v>
      </c>
      <c r="F4116" t="s">
        <v>978</v>
      </c>
      <c r="G4116" t="s">
        <v>48</v>
      </c>
      <c r="H4116" t="s">
        <v>8270</v>
      </c>
      <c r="I4116" s="1" t="d">
        <v>2006-07-25</v>
      </c>
      <c r="J4116" t="s">
        <v>2646</v>
      </c>
      <c r="K4116" s="17" t="s">
        <v>370</v>
      </c>
      <c r="L4116">
        <v>5</v>
      </c>
    </row>
    <row r="4117" spans="1:12" x14ac:dyDescent="0.25">
      <c r="A4117" t="s">
        <v>8271</v>
      </c>
      <c r="B4117" t="s">
        <v>499</v>
      </c>
      <c r="C4117" t="s">
        <v>1306</v>
      </c>
      <c r="D4117" t="s">
        <v>46</v>
      </c>
      <c r="E4117">
        <v>30</v>
      </c>
      <c r="F4117" t="s">
        <v>522</v>
      </c>
      <c r="G4117" t="s">
        <v>39</v>
      </c>
      <c r="H4117" s="2">
        <v>91027</v>
      </c>
      <c r="I4117" s="1" t="d">
        <v>2005-04-18</v>
      </c>
      <c r="J4117" t="s">
        <v>5971</v>
      </c>
      <c r="K4117" s="17" t="s">
        <v>149</v>
      </c>
      <c r="L4117">
        <v>4</v>
      </c>
    </row>
    <row r="4118" spans="1:12" x14ac:dyDescent="0.25">
      <c r="A4118" t="s">
        <v>8272</v>
      </c>
      <c r="B4118" t="s">
        <v>1689</v>
      </c>
      <c r="C4118" t="s">
        <v>1377</v>
      </c>
      <c r="D4118" t="s">
        <v>46</v>
      </c>
      <c r="E4118">
        <v>48</v>
      </c>
      <c r="F4118" t="s">
        <v>2400</v>
      </c>
      <c r="G4118" t="s">
        <v>55</v>
      </c>
      <c r="H4118" t="s">
        <v>8273</v>
      </c>
      <c r="I4118" s="1" t="d">
        <v>2007-02-03</v>
      </c>
      <c r="J4118" t="s">
        <v>3825</v>
      </c>
      <c r="K4118" s="17" t="s">
        <v>42</v>
      </c>
      <c r="L4118">
        <v>5</v>
      </c>
    </row>
    <row r="4119" spans="1:12" x14ac:dyDescent="0.25">
      <c r="A4119" t="s">
        <v>8274</v>
      </c>
      <c r="B4119" t="s">
        <v>92</v>
      </c>
      <c r="C4119" t="s">
        <v>1564</v>
      </c>
      <c r="D4119" t="s">
        <v>9527</v>
      </c>
      <c r="E4119">
        <v>30</v>
      </c>
      <c r="F4119" t="s">
        <v>216</v>
      </c>
      <c r="G4119" t="s">
        <v>82</v>
      </c>
      <c r="H4119">
        <v>56115</v>
      </c>
      <c r="I4119" s="1" t="d">
        <v>2005-08-28</v>
      </c>
      <c r="J4119" t="s">
        <v>2961</v>
      </c>
      <c r="K4119" s="17" t="s">
        <v>50</v>
      </c>
      <c r="L4119">
        <v>5</v>
      </c>
    </row>
    <row r="4120" spans="1:12" x14ac:dyDescent="0.25">
      <c r="A4120" t="s">
        <v>8275</v>
      </c>
      <c r="B4120" t="s">
        <v>841</v>
      </c>
      <c r="C4120" t="s">
        <v>377</v>
      </c>
      <c r="D4120" t="s">
        <v>9527</v>
      </c>
      <c r="E4120">
        <v>40</v>
      </c>
      <c r="F4120" t="s">
        <v>589</v>
      </c>
      <c r="G4120" t="s">
        <v>69</v>
      </c>
      <c r="H4120" s="2">
        <v>59797</v>
      </c>
      <c r="I4120" s="1" t="d">
        <v>2021-08-15</v>
      </c>
      <c r="J4120" t="s">
        <v>1060</v>
      </c>
      <c r="K4120" s="17" t="s">
        <v>370</v>
      </c>
      <c r="L4120">
        <v>3</v>
      </c>
    </row>
    <row r="4121" spans="1:12" x14ac:dyDescent="0.25">
      <c r="A4121" t="s">
        <v>663</v>
      </c>
      <c r="B4121" t="s">
        <v>13</v>
      </c>
      <c r="C4121" t="s">
        <v>665</v>
      </c>
      <c r="D4121" t="s">
        <v>9527</v>
      </c>
      <c r="E4121">
        <v>39</v>
      </c>
      <c r="F4121" t="s">
        <v>81</v>
      </c>
      <c r="G4121" t="s">
        <v>115</v>
      </c>
      <c r="I4121" s="1" t="d">
        <v>2016-04-10</v>
      </c>
      <c r="J4121" t="s">
        <v>668</v>
      </c>
      <c r="K4121" s="17" t="s">
        <v>90</v>
      </c>
      <c r="L4121">
        <v>1</v>
      </c>
    </row>
    <row r="4122" spans="1:12" x14ac:dyDescent="0.25">
      <c r="A4122" t="s">
        <v>8276</v>
      </c>
      <c r="B4122" t="s">
        <v>1241</v>
      </c>
      <c r="C4122" t="s">
        <v>377</v>
      </c>
      <c r="D4122" t="s">
        <v>23</v>
      </c>
      <c r="E4122">
        <v>44</v>
      </c>
      <c r="F4122" t="s">
        <v>211</v>
      </c>
      <c r="G4122" t="s">
        <v>39</v>
      </c>
      <c r="H4122" t="s">
        <v>8277</v>
      </c>
      <c r="I4122" s="1" t="d">
        <v>2017-08-30</v>
      </c>
      <c r="J4122" t="s">
        <v>6450</v>
      </c>
      <c r="K4122" s="17" t="s">
        <v>34</v>
      </c>
      <c r="L4122">
        <v>4</v>
      </c>
    </row>
    <row r="4123" spans="1:12" x14ac:dyDescent="0.25">
      <c r="A4123" t="s">
        <v>8278</v>
      </c>
      <c r="B4123" t="s">
        <v>3743</v>
      </c>
      <c r="C4123" t="s">
        <v>898</v>
      </c>
      <c r="D4123" t="s">
        <v>46</v>
      </c>
      <c r="E4123">
        <v>35</v>
      </c>
      <c r="F4123" t="s">
        <v>1116</v>
      </c>
      <c r="G4123" t="s">
        <v>170</v>
      </c>
      <c r="H4123" t="s">
        <v>8279</v>
      </c>
      <c r="I4123" s="1" t="d">
        <v>2009-07-01</v>
      </c>
      <c r="J4123" t="s">
        <v>3875</v>
      </c>
      <c r="K4123" s="17" t="s">
        <v>42</v>
      </c>
      <c r="L4123">
        <v>3</v>
      </c>
    </row>
    <row r="4124" spans="1:12" x14ac:dyDescent="0.25">
      <c r="A4124" t="s">
        <v>8280</v>
      </c>
      <c r="B4124" t="s">
        <v>520</v>
      </c>
      <c r="C4124" t="s">
        <v>158</v>
      </c>
      <c r="D4124" t="s">
        <v>9527</v>
      </c>
      <c r="E4124">
        <v>43</v>
      </c>
      <c r="F4124" t="s">
        <v>146</v>
      </c>
      <c r="G4124" t="s">
        <v>39</v>
      </c>
      <c r="H4124">
        <v>95102</v>
      </c>
      <c r="I4124" s="1" t="d">
        <v>2010-05-06</v>
      </c>
      <c r="J4124" t="s">
        <v>1201</v>
      </c>
      <c r="K4124" s="17" t="s">
        <v>34</v>
      </c>
      <c r="L4124">
        <v>5</v>
      </c>
    </row>
    <row r="4125" spans="1:12" x14ac:dyDescent="0.25">
      <c r="A4125" t="s">
        <v>8281</v>
      </c>
      <c r="B4125" t="s">
        <v>1877</v>
      </c>
      <c r="C4125" t="s">
        <v>521</v>
      </c>
      <c r="D4125" t="s">
        <v>9527</v>
      </c>
      <c r="E4125">
        <v>49</v>
      </c>
      <c r="F4125" t="s">
        <v>153</v>
      </c>
      <c r="G4125" t="s">
        <v>170</v>
      </c>
      <c r="H4125" t="s">
        <v>8282</v>
      </c>
      <c r="I4125" s="1" t="d">
        <v>2012-10-20</v>
      </c>
      <c r="J4125" t="s">
        <v>2508</v>
      </c>
      <c r="K4125" s="17" t="s">
        <v>370</v>
      </c>
      <c r="L4125">
        <v>3</v>
      </c>
    </row>
    <row r="4126" spans="1:12" x14ac:dyDescent="0.25">
      <c r="A4126" t="s">
        <v>8283</v>
      </c>
      <c r="B4126" t="s">
        <v>1368</v>
      </c>
      <c r="C4126" t="s">
        <v>521</v>
      </c>
      <c r="D4126" t="s">
        <v>46</v>
      </c>
      <c r="E4126">
        <v>52</v>
      </c>
      <c r="G4126" t="s">
        <v>504</v>
      </c>
      <c r="I4126" s="1" t="d">
        <v>2015-10-26</v>
      </c>
      <c r="J4126" t="s">
        <v>1105</v>
      </c>
      <c r="K4126" s="17" t="s">
        <v>34</v>
      </c>
      <c r="L4126">
        <v>4</v>
      </c>
    </row>
    <row r="4127" spans="1:12" x14ac:dyDescent="0.25">
      <c r="A4127" t="s">
        <v>4014</v>
      </c>
      <c r="B4127" t="s">
        <v>2643</v>
      </c>
      <c r="C4127" t="s">
        <v>8153</v>
      </c>
      <c r="D4127" t="s">
        <v>23</v>
      </c>
      <c r="E4127">
        <v>58</v>
      </c>
      <c r="F4127" t="s">
        <v>3085</v>
      </c>
      <c r="G4127" t="s">
        <v>39</v>
      </c>
      <c r="I4127" s="1" t="d">
        <v>2011-03-23</v>
      </c>
      <c r="J4127" t="s">
        <v>3567</v>
      </c>
      <c r="K4127" s="17" t="s">
        <v>19</v>
      </c>
      <c r="L4127">
        <v>3</v>
      </c>
    </row>
    <row r="4128" spans="1:12" x14ac:dyDescent="0.25">
      <c r="A4128" t="s">
        <v>8284</v>
      </c>
      <c r="B4128" t="s">
        <v>826</v>
      </c>
      <c r="C4128" t="s">
        <v>121</v>
      </c>
      <c r="D4128" t="s">
        <v>23</v>
      </c>
      <c r="E4128">
        <v>58</v>
      </c>
      <c r="F4128" t="s">
        <v>47</v>
      </c>
      <c r="G4128" t="s">
        <v>39</v>
      </c>
      <c r="H4128" t="s">
        <v>8285</v>
      </c>
      <c r="J4128" t="s">
        <v>7971</v>
      </c>
      <c r="K4128" s="17" t="s">
        <v>42</v>
      </c>
      <c r="L4128">
        <v>3</v>
      </c>
    </row>
    <row r="4129" spans="1:12" x14ac:dyDescent="0.25">
      <c r="A4129" t="s">
        <v>8286</v>
      </c>
      <c r="B4129" t="s">
        <v>841</v>
      </c>
      <c r="C4129" t="s">
        <v>1205</v>
      </c>
      <c r="D4129" t="s">
        <v>9527</v>
      </c>
      <c r="E4129">
        <v>39</v>
      </c>
      <c r="F4129" t="s">
        <v>38</v>
      </c>
      <c r="G4129" t="s">
        <v>55</v>
      </c>
      <c r="H4129" s="2">
        <v>51507</v>
      </c>
      <c r="I4129" s="1" t="d">
        <v>2012-12-30</v>
      </c>
      <c r="J4129" t="s">
        <v>6649</v>
      </c>
      <c r="K4129" s="17" t="s">
        <v>27</v>
      </c>
      <c r="L4129">
        <v>4</v>
      </c>
    </row>
    <row r="4130" spans="1:12" x14ac:dyDescent="0.25">
      <c r="A4130" t="s">
        <v>8287</v>
      </c>
      <c r="B4130" t="s">
        <v>906</v>
      </c>
      <c r="C4130" t="s">
        <v>1622</v>
      </c>
      <c r="D4130" t="s">
        <v>46</v>
      </c>
      <c r="E4130">
        <v>54</v>
      </c>
      <c r="F4130" t="s">
        <v>645</v>
      </c>
      <c r="G4130" t="s">
        <v>55</v>
      </c>
      <c r="H4130" s="2">
        <v>40533</v>
      </c>
      <c r="I4130" s="1" t="d">
        <v>2021-01-13</v>
      </c>
      <c r="J4130" t="s">
        <v>2002</v>
      </c>
      <c r="K4130" s="17" t="s">
        <v>34</v>
      </c>
      <c r="L4130">
        <v>3</v>
      </c>
    </row>
    <row r="4131" spans="1:12" x14ac:dyDescent="0.25">
      <c r="A4131" t="s">
        <v>8288</v>
      </c>
      <c r="B4131" t="s">
        <v>98</v>
      </c>
      <c r="C4131" t="s">
        <v>45</v>
      </c>
      <c r="D4131" t="s">
        <v>23</v>
      </c>
      <c r="E4131">
        <v>36</v>
      </c>
      <c r="F4131" t="s">
        <v>522</v>
      </c>
      <c r="G4131" t="s">
        <v>205</v>
      </c>
      <c r="H4131">
        <v>99340</v>
      </c>
      <c r="I4131" s="1" t="d">
        <v>2011-07-19</v>
      </c>
      <c r="J4131" t="s">
        <v>1562</v>
      </c>
      <c r="K4131" s="17" t="s">
        <v>207</v>
      </c>
      <c r="L4131">
        <v>3</v>
      </c>
    </row>
    <row r="4132" spans="1:12" x14ac:dyDescent="0.25">
      <c r="A4132" t="s">
        <v>8289</v>
      </c>
      <c r="B4132" t="s">
        <v>2234</v>
      </c>
      <c r="C4132" t="s">
        <v>488</v>
      </c>
      <c r="D4132" t="s">
        <v>9527</v>
      </c>
      <c r="E4132">
        <v>33</v>
      </c>
      <c r="F4132" t="s">
        <v>216</v>
      </c>
      <c r="G4132" t="s">
        <v>239</v>
      </c>
      <c r="H4132">
        <v>-62627</v>
      </c>
      <c r="I4132" s="1" t="d">
        <v>2021-07-18</v>
      </c>
      <c r="J4132" t="s">
        <v>876</v>
      </c>
      <c r="K4132" s="17" t="s">
        <v>149</v>
      </c>
      <c r="L4132">
        <v>3</v>
      </c>
    </row>
    <row r="4133" spans="1:12" x14ac:dyDescent="0.25">
      <c r="A4133" t="s">
        <v>8290</v>
      </c>
      <c r="B4133" t="s">
        <v>79</v>
      </c>
      <c r="C4133" t="s">
        <v>1248</v>
      </c>
      <c r="D4133" t="s">
        <v>23</v>
      </c>
      <c r="E4133">
        <v>49</v>
      </c>
      <c r="G4133" t="s">
        <v>127</v>
      </c>
      <c r="H4133">
        <v>75748</v>
      </c>
      <c r="I4133" s="1" t="d">
        <v>2016-10-05</v>
      </c>
      <c r="J4133" t="s">
        <v>2159</v>
      </c>
      <c r="K4133" s="17" t="s">
        <v>34</v>
      </c>
      <c r="L4133">
        <v>3</v>
      </c>
    </row>
    <row r="4134" spans="1:12" x14ac:dyDescent="0.25">
      <c r="A4134" t="s">
        <v>8291</v>
      </c>
      <c r="B4134" t="s">
        <v>3486</v>
      </c>
      <c r="C4134" t="s">
        <v>1052</v>
      </c>
      <c r="D4134" t="s">
        <v>46</v>
      </c>
      <c r="E4134">
        <v>46</v>
      </c>
      <c r="F4134" t="s">
        <v>230</v>
      </c>
      <c r="G4134" t="s">
        <v>16</v>
      </c>
      <c r="H4134" t="s">
        <v>8292</v>
      </c>
      <c r="I4134" s="1" t="d">
        <v>2020-01-31</v>
      </c>
      <c r="J4134" t="s">
        <v>3208</v>
      </c>
      <c r="K4134" s="17" t="s">
        <v>71</v>
      </c>
      <c r="L4134">
        <v>5</v>
      </c>
    </row>
    <row r="4135" spans="1:12" x14ac:dyDescent="0.25">
      <c r="A4135" t="s">
        <v>8293</v>
      </c>
      <c r="B4135" t="s">
        <v>112</v>
      </c>
      <c r="C4135" t="s">
        <v>225</v>
      </c>
      <c r="D4135" t="s">
        <v>23</v>
      </c>
      <c r="E4135">
        <v>37</v>
      </c>
      <c r="F4135" t="s">
        <v>31</v>
      </c>
      <c r="G4135" t="s">
        <v>55</v>
      </c>
      <c r="I4135" s="1" t="d">
        <v>2018-04-14</v>
      </c>
      <c r="J4135" t="s">
        <v>1574</v>
      </c>
      <c r="K4135" s="17" t="s">
        <v>370</v>
      </c>
      <c r="L4135">
        <v>4</v>
      </c>
    </row>
    <row r="4136" spans="1:12" x14ac:dyDescent="0.25">
      <c r="A4136" t="s">
        <v>8294</v>
      </c>
      <c r="B4136" t="s">
        <v>630</v>
      </c>
      <c r="C4136" t="s">
        <v>405</v>
      </c>
      <c r="D4136" t="s">
        <v>46</v>
      </c>
      <c r="E4136">
        <v>24</v>
      </c>
      <c r="F4136" t="s">
        <v>122</v>
      </c>
      <c r="G4136" t="s">
        <v>337</v>
      </c>
      <c r="I4136" s="1" t="d">
        <v>2015-04-27</v>
      </c>
      <c r="J4136" t="s">
        <v>2627</v>
      </c>
      <c r="K4136" s="17" t="s">
        <v>90</v>
      </c>
      <c r="L4136">
        <v>4</v>
      </c>
    </row>
    <row r="4137" spans="1:12" x14ac:dyDescent="0.25">
      <c r="A4137" t="s">
        <v>2882</v>
      </c>
      <c r="B4137" t="s">
        <v>199</v>
      </c>
      <c r="C4137" t="s">
        <v>107</v>
      </c>
      <c r="D4137" t="s">
        <v>9527</v>
      </c>
      <c r="E4137">
        <v>35</v>
      </c>
      <c r="F4137" t="s">
        <v>230</v>
      </c>
      <c r="G4137" t="s">
        <v>39</v>
      </c>
      <c r="I4137" s="1" t="d">
        <v>2019-04-12</v>
      </c>
      <c r="J4137" t="s">
        <v>2618</v>
      </c>
      <c r="K4137" s="17" t="s">
        <v>118</v>
      </c>
      <c r="L4137">
        <v>4</v>
      </c>
    </row>
    <row r="4138" spans="1:12" x14ac:dyDescent="0.25">
      <c r="A4138" t="s">
        <v>8295</v>
      </c>
      <c r="B4138" t="s">
        <v>881</v>
      </c>
      <c r="C4138" t="s">
        <v>2023</v>
      </c>
      <c r="D4138" t="s">
        <v>9527</v>
      </c>
      <c r="E4138">
        <v>34</v>
      </c>
      <c r="F4138" t="s">
        <v>196</v>
      </c>
      <c r="G4138" t="s">
        <v>297</v>
      </c>
      <c r="H4138" t="s">
        <v>8296</v>
      </c>
      <c r="I4138" s="1" t="d">
        <v>2005-05-13</v>
      </c>
      <c r="J4138" t="s">
        <v>2025</v>
      </c>
      <c r="K4138" s="17" t="s">
        <v>118</v>
      </c>
      <c r="L4138">
        <v>3</v>
      </c>
    </row>
    <row r="4139" spans="1:12" x14ac:dyDescent="0.25">
      <c r="A4139" t="s">
        <v>8297</v>
      </c>
      <c r="B4139" t="s">
        <v>571</v>
      </c>
      <c r="C4139" t="s">
        <v>381</v>
      </c>
      <c r="D4139" t="s">
        <v>23</v>
      </c>
      <c r="E4139">
        <v>28</v>
      </c>
      <c r="F4139" t="s">
        <v>978</v>
      </c>
      <c r="G4139" t="s">
        <v>39</v>
      </c>
      <c r="H4139">
        <v>80117</v>
      </c>
      <c r="I4139" s="1" t="d">
        <v>2016-10-15</v>
      </c>
      <c r="J4139" t="s">
        <v>1070</v>
      </c>
      <c r="K4139" s="17" t="s">
        <v>34</v>
      </c>
      <c r="L4139">
        <v>4</v>
      </c>
    </row>
    <row r="4140" spans="1:12" x14ac:dyDescent="0.25">
      <c r="A4140" t="s">
        <v>8298</v>
      </c>
      <c r="B4140" t="s">
        <v>482</v>
      </c>
      <c r="C4140" t="s">
        <v>715</v>
      </c>
      <c r="D4140" t="s">
        <v>23</v>
      </c>
      <c r="E4140">
        <v>43</v>
      </c>
      <c r="F4140" t="s">
        <v>269</v>
      </c>
      <c r="G4140" t="s">
        <v>95</v>
      </c>
      <c r="H4140" t="s">
        <v>8299</v>
      </c>
      <c r="I4140" s="1" t="d">
        <v>2013-12-01</v>
      </c>
      <c r="J4140" t="s">
        <v>1239</v>
      </c>
      <c r="K4140" s="17" t="s">
        <v>100</v>
      </c>
      <c r="L4140">
        <v>3</v>
      </c>
    </row>
    <row r="4141" spans="1:12" x14ac:dyDescent="0.25">
      <c r="A4141" t="s">
        <v>8300</v>
      </c>
      <c r="B4141" t="s">
        <v>906</v>
      </c>
      <c r="C4141" t="s">
        <v>763</v>
      </c>
      <c r="D4141" t="s">
        <v>9527</v>
      </c>
      <c r="E4141">
        <v>41</v>
      </c>
      <c r="F4141" t="s">
        <v>126</v>
      </c>
      <c r="G4141" t="s">
        <v>82</v>
      </c>
      <c r="H4141" t="s">
        <v>8301</v>
      </c>
      <c r="I4141" s="1" t="d">
        <v>2011-07-23</v>
      </c>
      <c r="J4141" t="s">
        <v>6170</v>
      </c>
      <c r="K4141" s="17" t="s">
        <v>149</v>
      </c>
      <c r="L4141">
        <v>3</v>
      </c>
    </row>
    <row r="4142" spans="1:12" x14ac:dyDescent="0.25">
      <c r="A4142" t="s">
        <v>8302</v>
      </c>
      <c r="B4142" t="s">
        <v>993</v>
      </c>
      <c r="C4142" t="s">
        <v>1332</v>
      </c>
      <c r="D4142" t="s">
        <v>9527</v>
      </c>
      <c r="E4142">
        <v>34</v>
      </c>
      <c r="F4142" t="s">
        <v>169</v>
      </c>
      <c r="G4142" t="s">
        <v>69</v>
      </c>
      <c r="H4142" t="s">
        <v>8303</v>
      </c>
      <c r="I4142" s="1" t="d">
        <v>2008-02-08</v>
      </c>
      <c r="J4142" t="s">
        <v>1697</v>
      </c>
      <c r="K4142" s="17" t="s">
        <v>207</v>
      </c>
      <c r="L4142">
        <v>4</v>
      </c>
    </row>
    <row r="4143" spans="1:12" x14ac:dyDescent="0.25">
      <c r="A4143" t="s">
        <v>1256</v>
      </c>
      <c r="B4143" t="s">
        <v>1481</v>
      </c>
      <c r="C4143" t="s">
        <v>512</v>
      </c>
      <c r="D4143" t="s">
        <v>23</v>
      </c>
      <c r="E4143">
        <v>42</v>
      </c>
      <c r="F4143" t="s">
        <v>15</v>
      </c>
      <c r="G4143" t="s">
        <v>82</v>
      </c>
      <c r="H4143" s="2">
        <v>94088</v>
      </c>
      <c r="I4143" s="1" t="d">
        <v>2008-12-19</v>
      </c>
      <c r="J4143" t="s">
        <v>1259</v>
      </c>
      <c r="K4143" s="17" t="s">
        <v>50</v>
      </c>
      <c r="L4143">
        <v>4</v>
      </c>
    </row>
    <row r="4144" spans="1:12" x14ac:dyDescent="0.25">
      <c r="A4144" t="s">
        <v>8304</v>
      </c>
      <c r="B4144" t="s">
        <v>1181</v>
      </c>
      <c r="C4144" t="s">
        <v>103</v>
      </c>
      <c r="D4144" t="s">
        <v>23</v>
      </c>
      <c r="E4144">
        <v>38</v>
      </c>
      <c r="G4144" t="s">
        <v>82</v>
      </c>
      <c r="H4144" t="s">
        <v>8305</v>
      </c>
      <c r="I4144" s="1" t="d">
        <v>2008-11-13</v>
      </c>
      <c r="J4144" t="s">
        <v>1118</v>
      </c>
      <c r="K4144" s="17" t="s">
        <v>184</v>
      </c>
      <c r="L4144">
        <v>4</v>
      </c>
    </row>
    <row r="4145" spans="1:12" x14ac:dyDescent="0.25">
      <c r="A4145" t="s">
        <v>8306</v>
      </c>
      <c r="B4145" t="s">
        <v>2350</v>
      </c>
      <c r="C4145" t="s">
        <v>37</v>
      </c>
      <c r="D4145" t="s">
        <v>46</v>
      </c>
      <c r="E4145">
        <v>22</v>
      </c>
      <c r="F4145" t="s">
        <v>450</v>
      </c>
      <c r="G4145" t="s">
        <v>55</v>
      </c>
      <c r="H4145">
        <v>52020</v>
      </c>
      <c r="I4145" s="1" t="d">
        <v>2017-10-13</v>
      </c>
      <c r="J4145" t="s">
        <v>2351</v>
      </c>
      <c r="K4145" s="17" t="s">
        <v>90</v>
      </c>
      <c r="L4145">
        <v>4</v>
      </c>
    </row>
    <row r="4146" spans="1:12" x14ac:dyDescent="0.25">
      <c r="A4146" t="s">
        <v>8307</v>
      </c>
      <c r="B4146" t="s">
        <v>8308</v>
      </c>
      <c r="C4146" t="s">
        <v>552</v>
      </c>
      <c r="D4146" t="s">
        <v>9527</v>
      </c>
      <c r="E4146">
        <v>33</v>
      </c>
      <c r="F4146" t="s">
        <v>38</v>
      </c>
      <c r="G4146" t="s">
        <v>39</v>
      </c>
      <c r="H4146" t="s">
        <v>8309</v>
      </c>
      <c r="I4146" s="1" t="d">
        <v>2017-09-21</v>
      </c>
      <c r="J4146" t="s">
        <v>1019</v>
      </c>
      <c r="K4146" s="17" t="s">
        <v>71</v>
      </c>
      <c r="L4146">
        <v>4</v>
      </c>
    </row>
    <row r="4147" spans="1:12" x14ac:dyDescent="0.25">
      <c r="A4147" t="s">
        <v>5908</v>
      </c>
      <c r="B4147" t="s">
        <v>1213</v>
      </c>
      <c r="C4147" t="s">
        <v>1538</v>
      </c>
      <c r="D4147" t="s">
        <v>46</v>
      </c>
      <c r="E4147">
        <v>58</v>
      </c>
      <c r="F4147" t="s">
        <v>365</v>
      </c>
      <c r="G4147" t="s">
        <v>25</v>
      </c>
      <c r="H4147">
        <v>80854</v>
      </c>
      <c r="I4147" s="1" t="d">
        <v>2009-04-09</v>
      </c>
      <c r="J4147" t="s">
        <v>2792</v>
      </c>
      <c r="K4147" s="17" t="s">
        <v>370</v>
      </c>
      <c r="L4147">
        <v>4</v>
      </c>
    </row>
    <row r="4148" spans="1:12" x14ac:dyDescent="0.25">
      <c r="A4148" t="s">
        <v>8310</v>
      </c>
      <c r="B4148" t="s">
        <v>548</v>
      </c>
      <c r="C4148" t="s">
        <v>584</v>
      </c>
      <c r="D4148" t="s">
        <v>23</v>
      </c>
      <c r="E4148">
        <v>42</v>
      </c>
      <c r="F4148" t="s">
        <v>24</v>
      </c>
      <c r="G4148" t="s">
        <v>205</v>
      </c>
      <c r="H4148" t="s">
        <v>8311</v>
      </c>
      <c r="I4148" s="1" t="d">
        <v>2016-07-26</v>
      </c>
      <c r="J4148" t="s">
        <v>3589</v>
      </c>
      <c r="K4148" s="17" t="s">
        <v>42</v>
      </c>
      <c r="L4148">
        <v>3</v>
      </c>
    </row>
    <row r="4149" spans="1:12" x14ac:dyDescent="0.25">
      <c r="A4149" t="s">
        <v>8312</v>
      </c>
      <c r="B4149" t="s">
        <v>874</v>
      </c>
      <c r="C4149" t="s">
        <v>4438</v>
      </c>
      <c r="D4149" t="s">
        <v>46</v>
      </c>
      <c r="E4149">
        <v>48</v>
      </c>
      <c r="F4149" t="s">
        <v>406</v>
      </c>
      <c r="G4149" t="s">
        <v>48</v>
      </c>
      <c r="I4149" s="1" t="d">
        <v>2024-08-21</v>
      </c>
      <c r="J4149" t="s">
        <v>6969</v>
      </c>
      <c r="K4149" s="17" t="s">
        <v>100</v>
      </c>
      <c r="L4149">
        <v>3</v>
      </c>
    </row>
    <row r="4150" spans="1:12" x14ac:dyDescent="0.25">
      <c r="A4150" t="s">
        <v>8313</v>
      </c>
      <c r="B4150" t="s">
        <v>936</v>
      </c>
      <c r="C4150" t="s">
        <v>440</v>
      </c>
      <c r="D4150" t="s">
        <v>9527</v>
      </c>
      <c r="E4150">
        <v>50</v>
      </c>
      <c r="F4150" t="s">
        <v>1168</v>
      </c>
      <c r="G4150" t="s">
        <v>69</v>
      </c>
      <c r="H4150" t="s">
        <v>8314</v>
      </c>
      <c r="I4150" s="1" t="d">
        <v>2012-02-03</v>
      </c>
      <c r="J4150" t="s">
        <v>4738</v>
      </c>
      <c r="K4150" s="17" t="s">
        <v>370</v>
      </c>
      <c r="L4150">
        <v>4</v>
      </c>
    </row>
    <row r="4151" spans="1:12" x14ac:dyDescent="0.25">
      <c r="A4151" t="s">
        <v>8315</v>
      </c>
      <c r="B4151" t="s">
        <v>29</v>
      </c>
      <c r="C4151" t="s">
        <v>1191</v>
      </c>
      <c r="D4151" t="s">
        <v>23</v>
      </c>
      <c r="E4151">
        <v>47</v>
      </c>
      <c r="F4151" t="s">
        <v>2604</v>
      </c>
      <c r="G4151" t="s">
        <v>82</v>
      </c>
      <c r="H4151" s="2">
        <v>999999</v>
      </c>
      <c r="I4151" s="1" t="d">
        <v>2007-05-22</v>
      </c>
      <c r="J4151" t="s">
        <v>7136</v>
      </c>
      <c r="K4151" s="17" t="s">
        <v>118</v>
      </c>
      <c r="L4151">
        <v>2</v>
      </c>
    </row>
    <row r="4152" spans="1:12" x14ac:dyDescent="0.25">
      <c r="A4152" t="s">
        <v>8316</v>
      </c>
      <c r="B4152" t="s">
        <v>130</v>
      </c>
      <c r="C4152" t="s">
        <v>1205</v>
      </c>
      <c r="D4152" t="s">
        <v>46</v>
      </c>
      <c r="E4152">
        <v>40</v>
      </c>
      <c r="F4152" t="s">
        <v>441</v>
      </c>
      <c r="G4152" t="s">
        <v>82</v>
      </c>
      <c r="H4152" t="s">
        <v>8317</v>
      </c>
      <c r="I4152" s="1" t="d">
        <v>2014-08-10</v>
      </c>
      <c r="J4152" t="s">
        <v>2763</v>
      </c>
      <c r="K4152" s="17" t="s">
        <v>50</v>
      </c>
      <c r="L4152">
        <v>1</v>
      </c>
    </row>
    <row r="4153" spans="1:12" x14ac:dyDescent="0.25">
      <c r="A4153" t="s">
        <v>8318</v>
      </c>
      <c r="B4153" t="s">
        <v>1512</v>
      </c>
      <c r="C4153" t="s">
        <v>453</v>
      </c>
      <c r="D4153" t="s">
        <v>9527</v>
      </c>
      <c r="E4153">
        <v>21</v>
      </c>
      <c r="F4153" t="s">
        <v>978</v>
      </c>
      <c r="G4153" t="s">
        <v>88</v>
      </c>
      <c r="H4153" s="2">
        <v>90464</v>
      </c>
      <c r="I4153" s="1" t="d">
        <v>2023-02-27</v>
      </c>
      <c r="J4153" t="s">
        <v>8319</v>
      </c>
      <c r="K4153" s="17" t="s">
        <v>27</v>
      </c>
      <c r="L4153">
        <v>4</v>
      </c>
    </row>
    <row r="4154" spans="1:12" x14ac:dyDescent="0.25">
      <c r="A4154" t="s">
        <v>3923</v>
      </c>
      <c r="B4154" t="s">
        <v>448</v>
      </c>
      <c r="C4154" t="s">
        <v>521</v>
      </c>
      <c r="D4154" t="s">
        <v>23</v>
      </c>
      <c r="E4154">
        <v>29</v>
      </c>
      <c r="F4154" t="s">
        <v>81</v>
      </c>
      <c r="G4154" t="s">
        <v>115</v>
      </c>
      <c r="H4154" s="2">
        <v>61981</v>
      </c>
      <c r="I4154" s="1" t="d">
        <v>2006-09-02</v>
      </c>
      <c r="J4154" t="s">
        <v>3925</v>
      </c>
      <c r="K4154" s="17" t="s">
        <v>42</v>
      </c>
      <c r="L4154">
        <v>3</v>
      </c>
    </row>
    <row r="4155" spans="1:12" x14ac:dyDescent="0.25">
      <c r="A4155" t="s">
        <v>8320</v>
      </c>
      <c r="B4155" t="s">
        <v>709</v>
      </c>
      <c r="C4155" t="s">
        <v>540</v>
      </c>
      <c r="D4155" t="s">
        <v>23</v>
      </c>
      <c r="E4155">
        <v>36</v>
      </c>
      <c r="F4155" t="s">
        <v>146</v>
      </c>
      <c r="G4155" t="s">
        <v>69</v>
      </c>
      <c r="H4155" s="2">
        <v>119181</v>
      </c>
      <c r="I4155" s="1" t="d">
        <v>2017-10-22</v>
      </c>
      <c r="J4155" t="s">
        <v>1603</v>
      </c>
      <c r="K4155" s="17" t="s">
        <v>100</v>
      </c>
      <c r="L4155">
        <v>3</v>
      </c>
    </row>
    <row r="4156" spans="1:12" x14ac:dyDescent="0.25">
      <c r="A4156" t="s">
        <v>8321</v>
      </c>
      <c r="B4156" t="s">
        <v>728</v>
      </c>
      <c r="C4156" t="s">
        <v>1487</v>
      </c>
      <c r="D4156" t="s">
        <v>23</v>
      </c>
      <c r="E4156">
        <v>42</v>
      </c>
      <c r="F4156" t="s">
        <v>47</v>
      </c>
      <c r="G4156" t="s">
        <v>141</v>
      </c>
      <c r="I4156" s="1" t="d">
        <v>2009-05-24</v>
      </c>
      <c r="J4156" t="s">
        <v>2556</v>
      </c>
      <c r="K4156" s="17" t="s">
        <v>149</v>
      </c>
      <c r="L4156">
        <v>2</v>
      </c>
    </row>
    <row r="4157" spans="1:12" x14ac:dyDescent="0.25">
      <c r="A4157" t="s">
        <v>8322</v>
      </c>
      <c r="B4157" t="s">
        <v>1503</v>
      </c>
      <c r="C4157" t="s">
        <v>61</v>
      </c>
      <c r="D4157" t="s">
        <v>23</v>
      </c>
      <c r="E4157">
        <v>32</v>
      </c>
      <c r="F4157" t="s">
        <v>216</v>
      </c>
      <c r="G4157" t="s">
        <v>504</v>
      </c>
      <c r="H4157" t="s">
        <v>8323</v>
      </c>
      <c r="I4157" s="1" t="d">
        <v>2017-02-13</v>
      </c>
      <c r="J4157" t="s">
        <v>3556</v>
      </c>
      <c r="K4157" s="17" t="s">
        <v>207</v>
      </c>
      <c r="L4157">
        <v>3</v>
      </c>
    </row>
    <row r="4158" spans="1:12" x14ac:dyDescent="0.25">
      <c r="A4158" t="s">
        <v>8324</v>
      </c>
      <c r="B4158" t="s">
        <v>833</v>
      </c>
      <c r="C4158" t="s">
        <v>631</v>
      </c>
      <c r="D4158" t="s">
        <v>23</v>
      </c>
      <c r="E4158">
        <v>27</v>
      </c>
      <c r="F4158" t="s">
        <v>153</v>
      </c>
      <c r="G4158" t="s">
        <v>1277</v>
      </c>
      <c r="H4158">
        <v>70613</v>
      </c>
      <c r="I4158" s="1" t="d">
        <v>2021-07-29</v>
      </c>
      <c r="J4158" t="s">
        <v>3922</v>
      </c>
      <c r="K4158" s="17" t="s">
        <v>19</v>
      </c>
      <c r="L4158">
        <v>5</v>
      </c>
    </row>
    <row r="4159" spans="1:12" x14ac:dyDescent="0.25">
      <c r="A4159" t="s">
        <v>8325</v>
      </c>
      <c r="B4159" t="s">
        <v>1512</v>
      </c>
      <c r="C4159" t="s">
        <v>1622</v>
      </c>
      <c r="D4159" t="s">
        <v>23</v>
      </c>
      <c r="E4159">
        <v>34</v>
      </c>
      <c r="F4159" t="s">
        <v>196</v>
      </c>
      <c r="G4159" t="s">
        <v>16</v>
      </c>
      <c r="H4159" s="2">
        <v>65879</v>
      </c>
      <c r="J4159" t="s">
        <v>7297</v>
      </c>
      <c r="K4159" s="17" t="s">
        <v>27</v>
      </c>
      <c r="L4159">
        <v>3</v>
      </c>
    </row>
    <row r="4160" spans="1:12" x14ac:dyDescent="0.25">
      <c r="A4160" t="s">
        <v>8326</v>
      </c>
      <c r="B4160" t="s">
        <v>833</v>
      </c>
      <c r="C4160" t="s">
        <v>395</v>
      </c>
      <c r="D4160" t="s">
        <v>23</v>
      </c>
      <c r="E4160">
        <v>32</v>
      </c>
      <c r="F4160" t="s">
        <v>104</v>
      </c>
      <c r="G4160" t="s">
        <v>82</v>
      </c>
      <c r="H4160" t="s">
        <v>8327</v>
      </c>
      <c r="I4160" s="1" t="d">
        <v>2008-01-14</v>
      </c>
      <c r="J4160" t="s">
        <v>2145</v>
      </c>
      <c r="K4160" s="17" t="s">
        <v>71</v>
      </c>
      <c r="L4160">
        <v>5</v>
      </c>
    </row>
    <row r="4161" spans="1:12" x14ac:dyDescent="0.25">
      <c r="A4161" t="s">
        <v>8328</v>
      </c>
      <c r="B4161" t="s">
        <v>1241</v>
      </c>
      <c r="C4161" t="s">
        <v>405</v>
      </c>
      <c r="D4161" t="s">
        <v>9527</v>
      </c>
      <c r="E4161">
        <v>43</v>
      </c>
      <c r="F4161" t="s">
        <v>373</v>
      </c>
      <c r="G4161" t="s">
        <v>212</v>
      </c>
      <c r="H4161" s="2">
        <v>100595</v>
      </c>
      <c r="I4161" s="1" t="d">
        <v>2019-05-22</v>
      </c>
      <c r="J4161" t="s">
        <v>3494</v>
      </c>
      <c r="K4161" s="17" t="s">
        <v>34</v>
      </c>
      <c r="L4161">
        <v>5</v>
      </c>
    </row>
    <row r="4162" spans="1:12" x14ac:dyDescent="0.25">
      <c r="A4162" t="s">
        <v>8329</v>
      </c>
      <c r="B4162" t="s">
        <v>8330</v>
      </c>
      <c r="C4162" t="s">
        <v>210</v>
      </c>
      <c r="D4162" t="s">
        <v>46</v>
      </c>
      <c r="E4162">
        <v>33</v>
      </c>
      <c r="F4162" t="s">
        <v>104</v>
      </c>
      <c r="G4162" t="s">
        <v>55</v>
      </c>
      <c r="H4162">
        <v>49858</v>
      </c>
      <c r="I4162" s="1" t="d">
        <v>2012-08-03</v>
      </c>
      <c r="J4162" t="s">
        <v>6633</v>
      </c>
      <c r="K4162" s="17" t="s">
        <v>71</v>
      </c>
      <c r="L4162">
        <v>4</v>
      </c>
    </row>
    <row r="4163" spans="1:12" x14ac:dyDescent="0.25">
      <c r="A4163" t="s">
        <v>8331</v>
      </c>
      <c r="B4163" t="s">
        <v>789</v>
      </c>
      <c r="C4163" t="s">
        <v>135</v>
      </c>
      <c r="D4163" t="s">
        <v>23</v>
      </c>
      <c r="E4163">
        <v>46</v>
      </c>
      <c r="F4163" t="s">
        <v>2302</v>
      </c>
      <c r="G4163" t="s">
        <v>159</v>
      </c>
      <c r="H4163">
        <v>89200</v>
      </c>
      <c r="I4163" s="1" t="d">
        <v>2010-04-20</v>
      </c>
      <c r="J4163" t="s">
        <v>2198</v>
      </c>
      <c r="K4163" s="17" t="s">
        <v>58</v>
      </c>
      <c r="L4163">
        <v>4</v>
      </c>
    </row>
    <row r="4164" spans="1:12" x14ac:dyDescent="0.25">
      <c r="A4164" t="s">
        <v>8332</v>
      </c>
      <c r="B4164" t="s">
        <v>315</v>
      </c>
      <c r="C4164" t="s">
        <v>763</v>
      </c>
      <c r="D4164" t="s">
        <v>46</v>
      </c>
      <c r="E4164">
        <v>35</v>
      </c>
      <c r="F4164" t="s">
        <v>186</v>
      </c>
      <c r="G4164" t="s">
        <v>141</v>
      </c>
      <c r="I4164" s="1" t="d">
        <v>2018-10-26</v>
      </c>
      <c r="J4164" t="s">
        <v>2766</v>
      </c>
      <c r="K4164" s="17" t="s">
        <v>100</v>
      </c>
      <c r="L4164">
        <v>3</v>
      </c>
    </row>
    <row r="4165" spans="1:12" x14ac:dyDescent="0.25">
      <c r="A4165" t="s">
        <v>8333</v>
      </c>
      <c r="B4165" t="s">
        <v>221</v>
      </c>
      <c r="C4165" t="s">
        <v>93</v>
      </c>
      <c r="D4165" t="s">
        <v>9527</v>
      </c>
      <c r="E4165">
        <v>27</v>
      </c>
      <c r="G4165" t="s">
        <v>357</v>
      </c>
      <c r="H4165">
        <v>138246</v>
      </c>
      <c r="I4165" s="1" t="d">
        <v>2015-12-22</v>
      </c>
      <c r="J4165" t="s">
        <v>4635</v>
      </c>
      <c r="K4165" s="17" t="s">
        <v>149</v>
      </c>
      <c r="L4165">
        <v>5</v>
      </c>
    </row>
    <row r="4166" spans="1:12" x14ac:dyDescent="0.25">
      <c r="A4166" t="s">
        <v>8334</v>
      </c>
      <c r="B4166" t="s">
        <v>251</v>
      </c>
      <c r="C4166" t="s">
        <v>681</v>
      </c>
      <c r="D4166" t="s">
        <v>9527</v>
      </c>
      <c r="E4166">
        <v>24</v>
      </c>
      <c r="F4166" t="s">
        <v>559</v>
      </c>
      <c r="G4166" t="s">
        <v>1285</v>
      </c>
      <c r="H4166">
        <v>93651</v>
      </c>
      <c r="J4166" t="s">
        <v>2629</v>
      </c>
      <c r="K4166" s="17" t="s">
        <v>71</v>
      </c>
      <c r="L4166">
        <v>2</v>
      </c>
    </row>
    <row r="4167" spans="1:12" x14ac:dyDescent="0.25">
      <c r="A4167" t="s">
        <v>8335</v>
      </c>
      <c r="B4167" t="s">
        <v>467</v>
      </c>
      <c r="C4167" t="s">
        <v>145</v>
      </c>
      <c r="D4167" t="s">
        <v>23</v>
      </c>
      <c r="E4167">
        <v>49</v>
      </c>
      <c r="F4167" t="s">
        <v>522</v>
      </c>
      <c r="G4167" t="s">
        <v>25</v>
      </c>
      <c r="H4167">
        <v>126563</v>
      </c>
      <c r="I4167" s="1" t="d">
        <v>2013-06-27</v>
      </c>
      <c r="J4167" t="s">
        <v>2869</v>
      </c>
      <c r="K4167" s="17" t="s">
        <v>50</v>
      </c>
      <c r="L4167">
        <v>4</v>
      </c>
    </row>
    <row r="4168" spans="1:12" x14ac:dyDescent="0.25">
      <c r="A4168" t="s">
        <v>8336</v>
      </c>
      <c r="B4168" t="s">
        <v>1096</v>
      </c>
      <c r="C4168" t="s">
        <v>2249</v>
      </c>
      <c r="D4168" t="s">
        <v>9527</v>
      </c>
      <c r="E4168">
        <v>30</v>
      </c>
      <c r="F4168" t="s">
        <v>38</v>
      </c>
      <c r="G4168" t="s">
        <v>205</v>
      </c>
      <c r="I4168" s="1" t="d">
        <v>2017-10-30</v>
      </c>
      <c r="J4168" t="s">
        <v>1580</v>
      </c>
      <c r="K4168" s="17" t="s">
        <v>34</v>
      </c>
      <c r="L4168">
        <v>3</v>
      </c>
    </row>
    <row r="4169" spans="1:12" x14ac:dyDescent="0.25">
      <c r="A4169" t="s">
        <v>8337</v>
      </c>
      <c r="B4169" t="s">
        <v>2222</v>
      </c>
      <c r="C4169" t="s">
        <v>74</v>
      </c>
      <c r="D4169" t="s">
        <v>9527</v>
      </c>
      <c r="E4169">
        <v>51</v>
      </c>
      <c r="F4169" t="s">
        <v>918</v>
      </c>
      <c r="G4169" t="s">
        <v>170</v>
      </c>
      <c r="H4169">
        <v>81923</v>
      </c>
      <c r="I4169" s="1" t="d">
        <v>2007-02-08</v>
      </c>
      <c r="J4169" t="s">
        <v>4434</v>
      </c>
      <c r="K4169" s="17" t="s">
        <v>34</v>
      </c>
      <c r="L4169">
        <v>3</v>
      </c>
    </row>
    <row r="4170" spans="1:12" x14ac:dyDescent="0.25">
      <c r="A4170" t="s">
        <v>8338</v>
      </c>
      <c r="B4170" t="s">
        <v>125</v>
      </c>
      <c r="C4170" t="s">
        <v>2432</v>
      </c>
      <c r="D4170" t="s">
        <v>23</v>
      </c>
      <c r="E4170">
        <v>23</v>
      </c>
      <c r="F4170" t="s">
        <v>62</v>
      </c>
      <c r="G4170" t="s">
        <v>115</v>
      </c>
      <c r="H4170">
        <v>81826</v>
      </c>
      <c r="I4170" s="1" t="d">
        <v>2007-10-14</v>
      </c>
      <c r="J4170" t="s">
        <v>7232</v>
      </c>
      <c r="K4170" s="17" t="s">
        <v>90</v>
      </c>
      <c r="L4170">
        <v>3</v>
      </c>
    </row>
    <row r="4171" spans="1:12" x14ac:dyDescent="0.25">
      <c r="A4171" t="s">
        <v>2301</v>
      </c>
      <c r="B4171" t="s">
        <v>548</v>
      </c>
      <c r="C4171" t="s">
        <v>1494</v>
      </c>
      <c r="D4171" t="s">
        <v>9527</v>
      </c>
      <c r="E4171">
        <v>41</v>
      </c>
      <c r="F4171" t="s">
        <v>2302</v>
      </c>
      <c r="G4171" t="s">
        <v>1703</v>
      </c>
      <c r="I4171" s="1" t="d">
        <v>2009-09-15</v>
      </c>
      <c r="J4171" t="s">
        <v>2303</v>
      </c>
      <c r="K4171" s="17" t="s">
        <v>19</v>
      </c>
      <c r="L4171">
        <v>4</v>
      </c>
    </row>
    <row r="4172" spans="1:12" x14ac:dyDescent="0.25">
      <c r="A4172" t="s">
        <v>8339</v>
      </c>
      <c r="B4172" t="s">
        <v>773</v>
      </c>
      <c r="C4172" t="s">
        <v>1442</v>
      </c>
      <c r="D4172" t="s">
        <v>9527</v>
      </c>
      <c r="E4172">
        <v>50</v>
      </c>
      <c r="F4172" t="s">
        <v>211</v>
      </c>
      <c r="G4172" t="s">
        <v>39</v>
      </c>
      <c r="H4172" t="s">
        <v>8340</v>
      </c>
      <c r="J4172" t="s">
        <v>3325</v>
      </c>
      <c r="K4172" s="17" t="s">
        <v>100</v>
      </c>
      <c r="L4172">
        <v>3</v>
      </c>
    </row>
    <row r="4173" spans="1:12" x14ac:dyDescent="0.25">
      <c r="A4173" t="s">
        <v>8341</v>
      </c>
      <c r="B4173" t="s">
        <v>664</v>
      </c>
      <c r="C4173" t="s">
        <v>681</v>
      </c>
      <c r="D4173" t="s">
        <v>23</v>
      </c>
      <c r="E4173">
        <v>37</v>
      </c>
      <c r="F4173" t="s">
        <v>200</v>
      </c>
      <c r="G4173" t="s">
        <v>1285</v>
      </c>
      <c r="H4173" t="s">
        <v>8342</v>
      </c>
      <c r="I4173" s="1" t="d">
        <v>2007-12-13</v>
      </c>
      <c r="J4173" t="s">
        <v>4278</v>
      </c>
      <c r="K4173" s="17" t="s">
        <v>19</v>
      </c>
      <c r="L4173">
        <v>2</v>
      </c>
    </row>
    <row r="4174" spans="1:12" x14ac:dyDescent="0.25">
      <c r="A4174" t="s">
        <v>8343</v>
      </c>
      <c r="B4174" t="s">
        <v>520</v>
      </c>
      <c r="C4174" t="s">
        <v>3551</v>
      </c>
      <c r="D4174" t="s">
        <v>46</v>
      </c>
      <c r="E4174">
        <v>23</v>
      </c>
      <c r="F4174" t="s">
        <v>356</v>
      </c>
      <c r="G4174" t="s">
        <v>16</v>
      </c>
      <c r="H4174" s="2">
        <v>119541</v>
      </c>
      <c r="I4174" s="1" t="d">
        <v>2016-06-27</v>
      </c>
      <c r="J4174" t="s">
        <v>994</v>
      </c>
      <c r="K4174" s="17" t="s">
        <v>370</v>
      </c>
      <c r="L4174">
        <v>3</v>
      </c>
    </row>
    <row r="4175" spans="1:12" x14ac:dyDescent="0.25">
      <c r="A4175" t="s">
        <v>8344</v>
      </c>
      <c r="B4175" t="s">
        <v>1064</v>
      </c>
      <c r="C4175" t="s">
        <v>4438</v>
      </c>
      <c r="D4175" t="s">
        <v>23</v>
      </c>
      <c r="E4175">
        <v>45</v>
      </c>
      <c r="F4175" t="s">
        <v>1546</v>
      </c>
      <c r="G4175" t="s">
        <v>3253</v>
      </c>
      <c r="H4175" t="s">
        <v>8345</v>
      </c>
      <c r="I4175" s="1" t="d">
        <v>2014-05-23</v>
      </c>
      <c r="J4175" t="s">
        <v>2420</v>
      </c>
      <c r="K4175" s="17" t="s">
        <v>71</v>
      </c>
      <c r="L4175">
        <v>2</v>
      </c>
    </row>
    <row r="4176" spans="1:12" x14ac:dyDescent="0.25">
      <c r="A4176" t="s">
        <v>8346</v>
      </c>
      <c r="B4176" t="s">
        <v>1479</v>
      </c>
      <c r="C4176" t="s">
        <v>135</v>
      </c>
      <c r="D4176" t="s">
        <v>46</v>
      </c>
      <c r="E4176">
        <v>57</v>
      </c>
      <c r="F4176" t="s">
        <v>2065</v>
      </c>
      <c r="G4176" t="s">
        <v>937</v>
      </c>
      <c r="H4176" t="s">
        <v>8347</v>
      </c>
      <c r="I4176" s="1" t="d">
        <v>2007-08-22</v>
      </c>
      <c r="J4176" t="s">
        <v>2005</v>
      </c>
      <c r="K4176" s="17" t="s">
        <v>100</v>
      </c>
      <c r="L4176">
        <v>4</v>
      </c>
    </row>
    <row r="4177" spans="1:12" x14ac:dyDescent="0.25">
      <c r="A4177" t="s">
        <v>8348</v>
      </c>
      <c r="B4177" t="s">
        <v>2697</v>
      </c>
      <c r="C4177" t="s">
        <v>624</v>
      </c>
      <c r="D4177" t="s">
        <v>9527</v>
      </c>
      <c r="E4177">
        <v>38</v>
      </c>
      <c r="F4177" t="s">
        <v>649</v>
      </c>
      <c r="G4177" t="s">
        <v>903</v>
      </c>
      <c r="H4177" s="2">
        <v>55347</v>
      </c>
      <c r="I4177" s="1" t="d">
        <v>2005-03-25</v>
      </c>
      <c r="J4177" t="s">
        <v>4263</v>
      </c>
      <c r="K4177" s="17" t="s">
        <v>207</v>
      </c>
      <c r="L4177">
        <v>4</v>
      </c>
    </row>
    <row r="4178" spans="1:12" x14ac:dyDescent="0.25">
      <c r="A4178" t="s">
        <v>8349</v>
      </c>
      <c r="B4178" t="s">
        <v>37</v>
      </c>
      <c r="C4178" t="s">
        <v>763</v>
      </c>
      <c r="D4178" t="s">
        <v>23</v>
      </c>
      <c r="E4178">
        <v>47</v>
      </c>
      <c r="F4178" t="s">
        <v>31</v>
      </c>
      <c r="G4178" t="s">
        <v>39</v>
      </c>
      <c r="H4178" t="s">
        <v>8350</v>
      </c>
      <c r="I4178" s="1" t="d">
        <v>2024-08-06</v>
      </c>
      <c r="J4178" t="s">
        <v>8351</v>
      </c>
      <c r="K4178" s="17" t="s">
        <v>71</v>
      </c>
      <c r="L4178">
        <v>3</v>
      </c>
    </row>
    <row r="4179" spans="1:12" x14ac:dyDescent="0.25">
      <c r="A4179" t="s">
        <v>8352</v>
      </c>
      <c r="B4179" t="s">
        <v>144</v>
      </c>
      <c r="C4179" t="s">
        <v>6965</v>
      </c>
      <c r="D4179" t="s">
        <v>9527</v>
      </c>
      <c r="E4179">
        <v>30</v>
      </c>
      <c r="F4179" t="s">
        <v>153</v>
      </c>
      <c r="G4179" t="s">
        <v>82</v>
      </c>
      <c r="H4179" t="s">
        <v>8353</v>
      </c>
      <c r="I4179" s="1" t="d">
        <v>2006-04-29</v>
      </c>
      <c r="J4179" t="s">
        <v>424</v>
      </c>
      <c r="K4179" s="17" t="s">
        <v>27</v>
      </c>
      <c r="L4179">
        <v>3</v>
      </c>
    </row>
    <row r="4180" spans="1:12" x14ac:dyDescent="0.25">
      <c r="A4180" t="s">
        <v>8354</v>
      </c>
      <c r="B4180" t="s">
        <v>4544</v>
      </c>
      <c r="C4180" t="s">
        <v>237</v>
      </c>
      <c r="D4180" t="s">
        <v>46</v>
      </c>
      <c r="E4180">
        <v>35</v>
      </c>
      <c r="F4180" t="s">
        <v>406</v>
      </c>
      <c r="G4180" t="s">
        <v>39</v>
      </c>
      <c r="H4180" t="s">
        <v>8355</v>
      </c>
      <c r="I4180" s="1" t="d">
        <v>2005-11-06</v>
      </c>
      <c r="J4180" t="s">
        <v>5645</v>
      </c>
      <c r="K4180" s="17" t="s">
        <v>58</v>
      </c>
      <c r="L4180">
        <v>3</v>
      </c>
    </row>
    <row r="4181" spans="1:12" x14ac:dyDescent="0.25">
      <c r="A4181" t="s">
        <v>8356</v>
      </c>
      <c r="B4181" t="s">
        <v>1213</v>
      </c>
      <c r="C4181" t="s">
        <v>291</v>
      </c>
      <c r="D4181" t="s">
        <v>46</v>
      </c>
      <c r="E4181">
        <v>33</v>
      </c>
      <c r="F4181" t="s">
        <v>269</v>
      </c>
      <c r="G4181" t="s">
        <v>69</v>
      </c>
      <c r="H4181" s="2">
        <v>-47951</v>
      </c>
      <c r="I4181" s="1" t="d">
        <v>2005-06-19</v>
      </c>
      <c r="J4181" t="s">
        <v>1704</v>
      </c>
      <c r="K4181" s="17" t="s">
        <v>71</v>
      </c>
      <c r="L4181">
        <v>3</v>
      </c>
    </row>
    <row r="4182" spans="1:12" x14ac:dyDescent="0.25">
      <c r="A4182" t="s">
        <v>8357</v>
      </c>
      <c r="B4182" t="s">
        <v>60</v>
      </c>
      <c r="C4182" t="s">
        <v>67</v>
      </c>
      <c r="D4182" t="s">
        <v>23</v>
      </c>
      <c r="E4182">
        <v>44</v>
      </c>
      <c r="F4182" t="s">
        <v>146</v>
      </c>
      <c r="G4182" t="s">
        <v>115</v>
      </c>
      <c r="H4182" s="2">
        <v>103508</v>
      </c>
      <c r="I4182" s="1" t="d">
        <v>2017-11-19</v>
      </c>
      <c r="J4182" t="s">
        <v>4141</v>
      </c>
      <c r="K4182" s="17" t="s">
        <v>370</v>
      </c>
      <c r="L4182">
        <v>5</v>
      </c>
    </row>
    <row r="4183" spans="1:12" x14ac:dyDescent="0.25">
      <c r="A4183" t="s">
        <v>8358</v>
      </c>
      <c r="B4183" t="s">
        <v>52</v>
      </c>
      <c r="C4183" t="s">
        <v>1039</v>
      </c>
      <c r="D4183" t="s">
        <v>9527</v>
      </c>
      <c r="E4183">
        <v>43</v>
      </c>
      <c r="F4183" t="s">
        <v>692</v>
      </c>
      <c r="G4183" t="s">
        <v>4763</v>
      </c>
      <c r="H4183" t="s">
        <v>8359</v>
      </c>
      <c r="I4183" s="1" t="d">
        <v>2013-03-30</v>
      </c>
      <c r="J4183" t="s">
        <v>1628</v>
      </c>
      <c r="K4183" s="17" t="s">
        <v>34</v>
      </c>
      <c r="L4183">
        <v>1</v>
      </c>
    </row>
    <row r="4184" spans="1:12" x14ac:dyDescent="0.25">
      <c r="A4184" t="s">
        <v>8360</v>
      </c>
      <c r="B4184" t="s">
        <v>773</v>
      </c>
      <c r="C4184" t="s">
        <v>2118</v>
      </c>
      <c r="D4184" t="s">
        <v>46</v>
      </c>
      <c r="E4184">
        <v>39</v>
      </c>
      <c r="F4184" t="s">
        <v>196</v>
      </c>
      <c r="G4184" t="s">
        <v>170</v>
      </c>
      <c r="I4184" s="1" t="d">
        <v>2020-12-24</v>
      </c>
      <c r="J4184" t="s">
        <v>3105</v>
      </c>
      <c r="K4184" s="17" t="s">
        <v>71</v>
      </c>
      <c r="L4184">
        <v>3</v>
      </c>
    </row>
    <row r="4185" spans="1:12" x14ac:dyDescent="0.25">
      <c r="A4185" t="s">
        <v>8361</v>
      </c>
      <c r="B4185" t="s">
        <v>936</v>
      </c>
      <c r="C4185" t="s">
        <v>462</v>
      </c>
      <c r="D4185" t="s">
        <v>23</v>
      </c>
      <c r="E4185">
        <v>30</v>
      </c>
      <c r="F4185" t="s">
        <v>114</v>
      </c>
      <c r="G4185" t="s">
        <v>141</v>
      </c>
      <c r="H4185" t="s">
        <v>8362</v>
      </c>
      <c r="I4185" s="1" t="d">
        <v>2008-02-08</v>
      </c>
      <c r="J4185" t="s">
        <v>5815</v>
      </c>
      <c r="K4185" s="17" t="s">
        <v>118</v>
      </c>
      <c r="L4185">
        <v>4</v>
      </c>
    </row>
    <row r="4186" spans="1:12" x14ac:dyDescent="0.25">
      <c r="A4186" t="s">
        <v>8363</v>
      </c>
      <c r="B4186" t="s">
        <v>746</v>
      </c>
      <c r="C4186" t="s">
        <v>660</v>
      </c>
      <c r="D4186" t="s">
        <v>23</v>
      </c>
      <c r="E4186">
        <v>40</v>
      </c>
      <c r="F4186" t="s">
        <v>576</v>
      </c>
      <c r="G4186" t="s">
        <v>8364</v>
      </c>
      <c r="H4186" s="2">
        <v>144662</v>
      </c>
      <c r="I4186" s="1" t="d">
        <v>2007-03-30</v>
      </c>
      <c r="J4186" t="s">
        <v>8365</v>
      </c>
      <c r="K4186" s="17" t="s">
        <v>27</v>
      </c>
      <c r="L4186">
        <v>4</v>
      </c>
    </row>
    <row r="4187" spans="1:12" x14ac:dyDescent="0.25">
      <c r="A4187" t="s">
        <v>8366</v>
      </c>
      <c r="B4187" t="s">
        <v>1422</v>
      </c>
      <c r="C4187" t="s">
        <v>386</v>
      </c>
      <c r="D4187" t="s">
        <v>46</v>
      </c>
      <c r="E4187">
        <v>47</v>
      </c>
      <c r="G4187" t="s">
        <v>48</v>
      </c>
      <c r="H4187">
        <v>43859</v>
      </c>
      <c r="I4187" s="1" t="d">
        <v>2020-04-02</v>
      </c>
      <c r="J4187" t="s">
        <v>8367</v>
      </c>
      <c r="K4187" s="17" t="s">
        <v>71</v>
      </c>
      <c r="L4187">
        <v>3</v>
      </c>
    </row>
    <row r="4188" spans="1:12" x14ac:dyDescent="0.25">
      <c r="A4188" t="s">
        <v>8368</v>
      </c>
      <c r="B4188" t="s">
        <v>901</v>
      </c>
      <c r="C4188" t="s">
        <v>181</v>
      </c>
      <c r="D4188" t="s">
        <v>9527</v>
      </c>
      <c r="E4188">
        <v>48</v>
      </c>
      <c r="F4188" t="s">
        <v>532</v>
      </c>
      <c r="G4188" t="s">
        <v>82</v>
      </c>
      <c r="H4188" t="s">
        <v>8369</v>
      </c>
      <c r="J4188" t="s">
        <v>1003</v>
      </c>
      <c r="K4188" s="17" t="s">
        <v>50</v>
      </c>
      <c r="L4188">
        <v>3</v>
      </c>
    </row>
    <row r="4189" spans="1:12" x14ac:dyDescent="0.25">
      <c r="A4189" t="s">
        <v>8370</v>
      </c>
      <c r="B4189" t="s">
        <v>439</v>
      </c>
      <c r="C4189" t="s">
        <v>521</v>
      </c>
      <c r="D4189" t="s">
        <v>9527</v>
      </c>
      <c r="E4189">
        <v>28</v>
      </c>
      <c r="F4189" t="s">
        <v>411</v>
      </c>
      <c r="G4189" t="s">
        <v>177</v>
      </c>
      <c r="H4189" t="s">
        <v>8371</v>
      </c>
      <c r="I4189" s="1" t="d">
        <v>2016-09-01</v>
      </c>
      <c r="J4189" t="s">
        <v>2361</v>
      </c>
      <c r="K4189" s="17" t="s">
        <v>27</v>
      </c>
      <c r="L4189">
        <v>4</v>
      </c>
    </row>
    <row r="4190" spans="1:12" x14ac:dyDescent="0.25">
      <c r="A4190" t="s">
        <v>8372</v>
      </c>
      <c r="B4190" t="s">
        <v>335</v>
      </c>
      <c r="C4190" t="s">
        <v>140</v>
      </c>
      <c r="D4190" t="s">
        <v>46</v>
      </c>
      <c r="E4190">
        <v>44</v>
      </c>
      <c r="F4190" t="s">
        <v>253</v>
      </c>
      <c r="G4190" t="s">
        <v>1215</v>
      </c>
      <c r="H4190">
        <v>56898</v>
      </c>
      <c r="I4190" s="1" t="d">
        <v>2011-07-03</v>
      </c>
      <c r="J4190" t="s">
        <v>3603</v>
      </c>
      <c r="K4190" s="17" t="s">
        <v>50</v>
      </c>
      <c r="L4190">
        <v>5</v>
      </c>
    </row>
    <row r="4191" spans="1:12" x14ac:dyDescent="0.25">
      <c r="A4191" t="s">
        <v>8373</v>
      </c>
      <c r="B4191" t="s">
        <v>520</v>
      </c>
      <c r="C4191" t="s">
        <v>710</v>
      </c>
      <c r="D4191" t="s">
        <v>23</v>
      </c>
      <c r="E4191">
        <v>27</v>
      </c>
      <c r="F4191" t="s">
        <v>108</v>
      </c>
      <c r="G4191" t="s">
        <v>39</v>
      </c>
      <c r="H4191">
        <v>78614</v>
      </c>
      <c r="I4191" s="1" t="d">
        <v>2011-10-25</v>
      </c>
      <c r="J4191" t="s">
        <v>3613</v>
      </c>
      <c r="K4191" s="17" t="s">
        <v>207</v>
      </c>
      <c r="L4191">
        <v>4</v>
      </c>
    </row>
    <row r="4192" spans="1:12" x14ac:dyDescent="0.25">
      <c r="A4192" t="s">
        <v>8374</v>
      </c>
      <c r="B4192" t="s">
        <v>630</v>
      </c>
      <c r="C4192" t="s">
        <v>2380</v>
      </c>
      <c r="D4192" t="s">
        <v>23</v>
      </c>
      <c r="E4192">
        <v>38</v>
      </c>
      <c r="F4192" t="s">
        <v>373</v>
      </c>
      <c r="G4192" t="s">
        <v>115</v>
      </c>
      <c r="H4192">
        <v>98332</v>
      </c>
      <c r="I4192" s="1" t="d">
        <v>2008-05-02</v>
      </c>
      <c r="J4192" t="s">
        <v>8375</v>
      </c>
      <c r="K4192" s="17" t="s">
        <v>58</v>
      </c>
      <c r="L4192">
        <v>3</v>
      </c>
    </row>
    <row r="4193" spans="1:12" x14ac:dyDescent="0.25">
      <c r="A4193" t="s">
        <v>6600</v>
      </c>
      <c r="B4193" t="s">
        <v>718</v>
      </c>
      <c r="C4193" t="s">
        <v>204</v>
      </c>
      <c r="D4193" t="s">
        <v>23</v>
      </c>
      <c r="E4193">
        <v>53</v>
      </c>
      <c r="F4193" t="s">
        <v>365</v>
      </c>
      <c r="G4193" t="s">
        <v>16</v>
      </c>
      <c r="H4193" s="2">
        <v>64198</v>
      </c>
      <c r="I4193" s="1" t="d">
        <v>2005-04-24</v>
      </c>
      <c r="J4193" t="s">
        <v>4754</v>
      </c>
      <c r="K4193" s="17" t="s">
        <v>42</v>
      </c>
      <c r="L4193">
        <v>2</v>
      </c>
    </row>
    <row r="4194" spans="1:12" x14ac:dyDescent="0.25">
      <c r="A4194" t="s">
        <v>8376</v>
      </c>
      <c r="B4194" t="s">
        <v>1689</v>
      </c>
      <c r="C4194" t="s">
        <v>4756</v>
      </c>
      <c r="D4194" t="s">
        <v>46</v>
      </c>
      <c r="E4194">
        <v>44</v>
      </c>
      <c r="F4194" t="s">
        <v>230</v>
      </c>
      <c r="G4194" t="s">
        <v>1285</v>
      </c>
      <c r="H4194" s="2">
        <v>68905</v>
      </c>
      <c r="I4194" s="1" t="d">
        <v>2023-09-10</v>
      </c>
      <c r="J4194" t="s">
        <v>5312</v>
      </c>
      <c r="K4194" s="17" t="s">
        <v>184</v>
      </c>
      <c r="L4194">
        <v>3</v>
      </c>
    </row>
    <row r="4195" spans="1:12" x14ac:dyDescent="0.25">
      <c r="A4195" t="s">
        <v>8377</v>
      </c>
      <c r="B4195" t="s">
        <v>130</v>
      </c>
      <c r="C4195" t="s">
        <v>45</v>
      </c>
      <c r="D4195" t="s">
        <v>46</v>
      </c>
      <c r="E4195">
        <v>30</v>
      </c>
      <c r="F4195" t="s">
        <v>104</v>
      </c>
      <c r="G4195" t="s">
        <v>16</v>
      </c>
      <c r="I4195" s="1" t="d">
        <v>2005-02-18</v>
      </c>
      <c r="J4195" t="s">
        <v>3092</v>
      </c>
      <c r="K4195" s="17" t="s">
        <v>370</v>
      </c>
      <c r="L4195">
        <v>3</v>
      </c>
    </row>
    <row r="4196" spans="1:12" x14ac:dyDescent="0.25">
      <c r="A4196" t="s">
        <v>8378</v>
      </c>
      <c r="B4196" t="s">
        <v>862</v>
      </c>
      <c r="C4196" t="s">
        <v>395</v>
      </c>
      <c r="D4196" t="s">
        <v>23</v>
      </c>
      <c r="E4196">
        <v>35</v>
      </c>
      <c r="F4196" t="s">
        <v>253</v>
      </c>
      <c r="G4196" t="s">
        <v>141</v>
      </c>
      <c r="H4196" t="s">
        <v>8379</v>
      </c>
      <c r="I4196" s="1" t="d">
        <v>2005-09-25</v>
      </c>
      <c r="J4196" t="s">
        <v>6969</v>
      </c>
      <c r="K4196" s="17" t="s">
        <v>184</v>
      </c>
      <c r="L4196">
        <v>4</v>
      </c>
    </row>
    <row r="4197" spans="1:12" x14ac:dyDescent="0.25">
      <c r="A4197" t="s">
        <v>8380</v>
      </c>
      <c r="B4197" t="s">
        <v>102</v>
      </c>
      <c r="C4197" t="s">
        <v>195</v>
      </c>
      <c r="D4197" t="s">
        <v>23</v>
      </c>
      <c r="E4197">
        <v>33</v>
      </c>
      <c r="F4197" t="s">
        <v>399</v>
      </c>
      <c r="G4197" t="s">
        <v>191</v>
      </c>
      <c r="H4197">
        <v>50832</v>
      </c>
      <c r="I4197" s="1" t="d">
        <v>2021-09-13</v>
      </c>
      <c r="J4197" t="s">
        <v>3045</v>
      </c>
      <c r="K4197" s="17" t="s">
        <v>19</v>
      </c>
      <c r="L4197">
        <v>4</v>
      </c>
    </row>
    <row r="4198" spans="1:12" x14ac:dyDescent="0.25">
      <c r="A4198" t="s">
        <v>8381</v>
      </c>
      <c r="B4198" t="s">
        <v>993</v>
      </c>
      <c r="C4198" t="s">
        <v>1269</v>
      </c>
      <c r="D4198" t="s">
        <v>46</v>
      </c>
      <c r="E4198">
        <v>31</v>
      </c>
      <c r="F4198" t="s">
        <v>153</v>
      </c>
      <c r="G4198" t="s">
        <v>217</v>
      </c>
      <c r="H4198" t="s">
        <v>8382</v>
      </c>
      <c r="I4198" s="1" t="d">
        <v>2015-08-18</v>
      </c>
      <c r="J4198" t="s">
        <v>362</v>
      </c>
      <c r="K4198" s="17" t="s">
        <v>34</v>
      </c>
      <c r="L4198">
        <v>5</v>
      </c>
    </row>
    <row r="4199" spans="1:12" x14ac:dyDescent="0.25">
      <c r="A4199" t="s">
        <v>8383</v>
      </c>
      <c r="B4199" t="s">
        <v>630</v>
      </c>
      <c r="C4199" t="s">
        <v>827</v>
      </c>
      <c r="D4199" t="s">
        <v>9527</v>
      </c>
      <c r="E4199">
        <v>40</v>
      </c>
      <c r="F4199" t="s">
        <v>859</v>
      </c>
      <c r="G4199" t="s">
        <v>39</v>
      </c>
      <c r="H4199" s="2">
        <v>54160</v>
      </c>
      <c r="I4199" s="1" t="d">
        <v>2012-01-31</v>
      </c>
      <c r="J4199" t="s">
        <v>5107</v>
      </c>
      <c r="K4199" s="17" t="s">
        <v>184</v>
      </c>
      <c r="L4199">
        <v>4</v>
      </c>
    </row>
    <row r="4200" spans="1:12" x14ac:dyDescent="0.25">
      <c r="A4200" t="s">
        <v>8384</v>
      </c>
      <c r="B4200" t="s">
        <v>773</v>
      </c>
      <c r="C4200" t="s">
        <v>152</v>
      </c>
      <c r="D4200" t="s">
        <v>46</v>
      </c>
      <c r="E4200">
        <v>26</v>
      </c>
      <c r="G4200" t="s">
        <v>191</v>
      </c>
      <c r="H4200" t="s">
        <v>8385</v>
      </c>
      <c r="I4200" s="1" t="d">
        <v>2019-03-19</v>
      </c>
      <c r="J4200" t="s">
        <v>4218</v>
      </c>
      <c r="K4200" s="17" t="s">
        <v>58</v>
      </c>
      <c r="L4200">
        <v>2</v>
      </c>
    </row>
    <row r="4201" spans="1:12" x14ac:dyDescent="0.25">
      <c r="A4201" t="s">
        <v>2111</v>
      </c>
      <c r="B4201" t="s">
        <v>199</v>
      </c>
      <c r="C4201" t="s">
        <v>665</v>
      </c>
      <c r="D4201" t="s">
        <v>23</v>
      </c>
      <c r="E4201">
        <v>43</v>
      </c>
      <c r="F4201" t="s">
        <v>859</v>
      </c>
      <c r="G4201" t="s">
        <v>526</v>
      </c>
      <c r="H4201" t="s">
        <v>2112</v>
      </c>
      <c r="I4201" s="1" t="d">
        <v>2019-05-29</v>
      </c>
      <c r="J4201" t="s">
        <v>2113</v>
      </c>
      <c r="K4201" s="17" t="s">
        <v>90</v>
      </c>
      <c r="L4201">
        <v>5</v>
      </c>
    </row>
    <row r="4202" spans="1:12" x14ac:dyDescent="0.25">
      <c r="A4202" t="s">
        <v>8386</v>
      </c>
      <c r="B4202" t="s">
        <v>404</v>
      </c>
      <c r="C4202" t="s">
        <v>618</v>
      </c>
      <c r="D4202" t="s">
        <v>23</v>
      </c>
      <c r="E4202">
        <v>30</v>
      </c>
      <c r="F4202" t="s">
        <v>365</v>
      </c>
      <c r="G4202" t="s">
        <v>1329</v>
      </c>
      <c r="H4202" t="s">
        <v>8387</v>
      </c>
      <c r="I4202" s="1" t="d">
        <v>2024-03-29</v>
      </c>
      <c r="J4202" t="s">
        <v>6486</v>
      </c>
      <c r="K4202" s="17" t="s">
        <v>42</v>
      </c>
      <c r="L4202">
        <v>3</v>
      </c>
    </row>
    <row r="4203" spans="1:12" x14ac:dyDescent="0.25">
      <c r="A4203" t="s">
        <v>8388</v>
      </c>
      <c r="B4203" t="s">
        <v>44</v>
      </c>
      <c r="C4203" t="s">
        <v>766</v>
      </c>
      <c r="D4203" t="s">
        <v>23</v>
      </c>
      <c r="E4203">
        <v>35</v>
      </c>
      <c r="F4203" t="s">
        <v>31</v>
      </c>
      <c r="G4203" t="s">
        <v>48</v>
      </c>
      <c r="H4203" t="s">
        <v>8389</v>
      </c>
      <c r="I4203" s="1" t="d">
        <v>2006-08-18</v>
      </c>
      <c r="J4203" t="s">
        <v>3289</v>
      </c>
      <c r="K4203" s="17" t="s">
        <v>100</v>
      </c>
      <c r="L4203">
        <v>3</v>
      </c>
    </row>
    <row r="4204" spans="1:12" x14ac:dyDescent="0.25">
      <c r="A4204" t="s">
        <v>8390</v>
      </c>
      <c r="B4204" t="s">
        <v>162</v>
      </c>
      <c r="C4204" t="s">
        <v>121</v>
      </c>
      <c r="D4204" t="s">
        <v>46</v>
      </c>
      <c r="E4204">
        <v>33</v>
      </c>
      <c r="F4204" t="s">
        <v>350</v>
      </c>
      <c r="G4204" t="s">
        <v>82</v>
      </c>
      <c r="H4204" t="s">
        <v>8391</v>
      </c>
      <c r="I4204" s="1" t="d">
        <v>2014-02-05</v>
      </c>
      <c r="J4204" t="s">
        <v>602</v>
      </c>
      <c r="K4204" s="17" t="s">
        <v>71</v>
      </c>
      <c r="L4204">
        <v>4</v>
      </c>
    </row>
    <row r="4205" spans="1:12" x14ac:dyDescent="0.25">
      <c r="A4205" t="s">
        <v>7809</v>
      </c>
      <c r="B4205" t="s">
        <v>901</v>
      </c>
      <c r="C4205" t="s">
        <v>268</v>
      </c>
      <c r="D4205" t="s">
        <v>23</v>
      </c>
      <c r="E4205">
        <v>23</v>
      </c>
      <c r="F4205" t="s">
        <v>576</v>
      </c>
      <c r="G4205" t="s">
        <v>1556</v>
      </c>
      <c r="I4205" s="1" t="d">
        <v>2016-09-15</v>
      </c>
      <c r="J4205" t="s">
        <v>7811</v>
      </c>
      <c r="K4205" s="17" t="s">
        <v>90</v>
      </c>
      <c r="L4205">
        <v>4</v>
      </c>
    </row>
    <row r="4206" spans="1:12" x14ac:dyDescent="0.25">
      <c r="A4206" t="s">
        <v>8392</v>
      </c>
      <c r="B4206" t="s">
        <v>793</v>
      </c>
      <c r="C4206" t="s">
        <v>552</v>
      </c>
      <c r="D4206" t="s">
        <v>46</v>
      </c>
      <c r="E4206">
        <v>63</v>
      </c>
      <c r="F4206" t="s">
        <v>7239</v>
      </c>
      <c r="G4206" t="s">
        <v>159</v>
      </c>
      <c r="I4206" s="1" t="d">
        <v>2012-08-16</v>
      </c>
      <c r="J4206" t="s">
        <v>2713</v>
      </c>
      <c r="K4206" s="17" t="s">
        <v>184</v>
      </c>
      <c r="L4206">
        <v>5</v>
      </c>
    </row>
    <row r="4207" spans="1:12" x14ac:dyDescent="0.25">
      <c r="A4207" t="s">
        <v>8393</v>
      </c>
      <c r="B4207" t="s">
        <v>2856</v>
      </c>
      <c r="C4207" t="s">
        <v>1015</v>
      </c>
      <c r="D4207" t="s">
        <v>23</v>
      </c>
      <c r="E4207">
        <v>43</v>
      </c>
      <c r="F4207" t="s">
        <v>15</v>
      </c>
      <c r="G4207" t="s">
        <v>217</v>
      </c>
      <c r="H4207">
        <v>143056</v>
      </c>
      <c r="I4207" s="1" t="d">
        <v>2007-12-30</v>
      </c>
      <c r="J4207" t="s">
        <v>1229</v>
      </c>
      <c r="K4207" s="17" t="s">
        <v>71</v>
      </c>
      <c r="L4207">
        <v>4</v>
      </c>
    </row>
    <row r="4208" spans="1:12" x14ac:dyDescent="0.25">
      <c r="A4208" t="s">
        <v>8394</v>
      </c>
      <c r="B4208" t="s">
        <v>2847</v>
      </c>
      <c r="C4208" t="s">
        <v>1253</v>
      </c>
      <c r="D4208" t="s">
        <v>9527</v>
      </c>
      <c r="E4208">
        <v>24</v>
      </c>
      <c r="F4208" t="s">
        <v>296</v>
      </c>
      <c r="G4208" t="s">
        <v>177</v>
      </c>
      <c r="I4208" s="1" t="d">
        <v>2006-11-28</v>
      </c>
      <c r="J4208" t="s">
        <v>3099</v>
      </c>
      <c r="K4208" s="17" t="s">
        <v>19</v>
      </c>
      <c r="L4208">
        <v>4</v>
      </c>
    </row>
    <row r="4209" spans="1:12" x14ac:dyDescent="0.25">
      <c r="A4209" t="s">
        <v>8395</v>
      </c>
      <c r="B4209" t="s">
        <v>1213</v>
      </c>
      <c r="C4209" t="s">
        <v>1055</v>
      </c>
      <c r="D4209" t="s">
        <v>9527</v>
      </c>
      <c r="E4209">
        <v>36</v>
      </c>
      <c r="F4209" t="s">
        <v>1785</v>
      </c>
      <c r="G4209" t="s">
        <v>288</v>
      </c>
      <c r="H4209" s="2">
        <v>37224</v>
      </c>
      <c r="I4209" s="1" t="d">
        <v>2024-10-26</v>
      </c>
      <c r="J4209" t="s">
        <v>8396</v>
      </c>
      <c r="K4209" s="17" t="s">
        <v>50</v>
      </c>
      <c r="L4209">
        <v>4</v>
      </c>
    </row>
    <row r="4210" spans="1:12" x14ac:dyDescent="0.25">
      <c r="A4210" t="s">
        <v>8397</v>
      </c>
      <c r="B4210" t="s">
        <v>5100</v>
      </c>
      <c r="C4210" t="s">
        <v>751</v>
      </c>
      <c r="D4210" t="s">
        <v>23</v>
      </c>
      <c r="E4210">
        <v>46</v>
      </c>
      <c r="F4210" t="s">
        <v>576</v>
      </c>
      <c r="G4210" t="s">
        <v>351</v>
      </c>
      <c r="H4210" t="s">
        <v>8398</v>
      </c>
      <c r="I4210" s="1" t="d">
        <v>2024-06-23</v>
      </c>
      <c r="J4210" t="s">
        <v>2930</v>
      </c>
      <c r="K4210" s="17" t="s">
        <v>184</v>
      </c>
      <c r="L4210">
        <v>3</v>
      </c>
    </row>
    <row r="4211" spans="1:12" x14ac:dyDescent="0.25">
      <c r="A4211" t="s">
        <v>6155</v>
      </c>
      <c r="B4211" t="s">
        <v>4760</v>
      </c>
      <c r="C4211" t="s">
        <v>1326</v>
      </c>
      <c r="D4211" t="s">
        <v>23</v>
      </c>
      <c r="E4211">
        <v>52</v>
      </c>
      <c r="F4211" t="s">
        <v>238</v>
      </c>
      <c r="G4211" t="s">
        <v>55</v>
      </c>
      <c r="H4211" t="s">
        <v>6156</v>
      </c>
      <c r="I4211" s="1" t="d">
        <v>2016-12-22</v>
      </c>
      <c r="J4211" t="s">
        <v>2134</v>
      </c>
      <c r="K4211" s="17" t="s">
        <v>90</v>
      </c>
      <c r="L4211">
        <v>3</v>
      </c>
    </row>
    <row r="4212" spans="1:12" x14ac:dyDescent="0.25">
      <c r="A4212" t="s">
        <v>8399</v>
      </c>
      <c r="B4212" t="s">
        <v>199</v>
      </c>
      <c r="C4212" t="s">
        <v>2242</v>
      </c>
      <c r="D4212" t="s">
        <v>46</v>
      </c>
      <c r="E4212">
        <v>42</v>
      </c>
      <c r="F4212" t="s">
        <v>75</v>
      </c>
      <c r="G4212" t="s">
        <v>39</v>
      </c>
      <c r="H4212" t="s">
        <v>8400</v>
      </c>
      <c r="I4212" s="1" t="d">
        <v>2024-11-16</v>
      </c>
      <c r="J4212" t="s">
        <v>608</v>
      </c>
      <c r="K4212" s="17" t="s">
        <v>207</v>
      </c>
      <c r="L4212">
        <v>3</v>
      </c>
    </row>
    <row r="4213" spans="1:12" x14ac:dyDescent="0.25">
      <c r="A4213" t="s">
        <v>8401</v>
      </c>
      <c r="B4213" t="s">
        <v>1002</v>
      </c>
      <c r="C4213" t="s">
        <v>1326</v>
      </c>
      <c r="D4213" t="s">
        <v>9527</v>
      </c>
      <c r="E4213">
        <v>42</v>
      </c>
      <c r="F4213" t="s">
        <v>3280</v>
      </c>
      <c r="G4213" t="s">
        <v>16</v>
      </c>
      <c r="H4213" t="s">
        <v>8402</v>
      </c>
      <c r="I4213" s="1" t="d">
        <v>2005-07-18</v>
      </c>
      <c r="J4213" t="s">
        <v>2679</v>
      </c>
      <c r="K4213" s="17" t="s">
        <v>100</v>
      </c>
      <c r="L4213">
        <v>5</v>
      </c>
    </row>
    <row r="4214" spans="1:12" x14ac:dyDescent="0.25">
      <c r="A4214" t="s">
        <v>8403</v>
      </c>
      <c r="B4214" t="s">
        <v>3443</v>
      </c>
      <c r="C4214" t="s">
        <v>1587</v>
      </c>
      <c r="D4214" t="s">
        <v>9527</v>
      </c>
      <c r="E4214">
        <v>28</v>
      </c>
      <c r="F4214" t="s">
        <v>365</v>
      </c>
      <c r="G4214" t="s">
        <v>39</v>
      </c>
      <c r="H4214" s="2">
        <v>54062</v>
      </c>
      <c r="I4214" s="1" t="d">
        <v>2022-10-28</v>
      </c>
      <c r="J4214" t="s">
        <v>6398</v>
      </c>
      <c r="K4214" s="17" t="s">
        <v>100</v>
      </c>
      <c r="L4214">
        <v>3</v>
      </c>
    </row>
    <row r="4215" spans="1:12" x14ac:dyDescent="0.25">
      <c r="A4215" t="s">
        <v>8404</v>
      </c>
      <c r="B4215" t="s">
        <v>936</v>
      </c>
      <c r="C4215" t="s">
        <v>45</v>
      </c>
      <c r="D4215" t="s">
        <v>9527</v>
      </c>
      <c r="E4215">
        <v>46</v>
      </c>
      <c r="F4215" t="s">
        <v>216</v>
      </c>
      <c r="G4215" t="s">
        <v>25</v>
      </c>
      <c r="H4215" s="2">
        <v>89054</v>
      </c>
      <c r="I4215" s="1" t="d">
        <v>2019-07-17</v>
      </c>
      <c r="J4215" t="s">
        <v>1651</v>
      </c>
      <c r="K4215" s="17" t="s">
        <v>207</v>
      </c>
      <c r="L4215">
        <v>4</v>
      </c>
    </row>
    <row r="4216" spans="1:12" x14ac:dyDescent="0.25">
      <c r="A4216" t="s">
        <v>8405</v>
      </c>
      <c r="B4216" t="s">
        <v>1512</v>
      </c>
      <c r="C4216" t="s">
        <v>1332</v>
      </c>
      <c r="D4216" t="s">
        <v>9527</v>
      </c>
      <c r="E4216">
        <v>51</v>
      </c>
      <c r="F4216" t="s">
        <v>978</v>
      </c>
      <c r="G4216" t="s">
        <v>39</v>
      </c>
      <c r="H4216" t="s">
        <v>8406</v>
      </c>
      <c r="I4216" s="1" t="d">
        <v>2016-01-11</v>
      </c>
      <c r="J4216" t="s">
        <v>2238</v>
      </c>
      <c r="K4216" s="17" t="s">
        <v>19</v>
      </c>
      <c r="L4216">
        <v>4</v>
      </c>
    </row>
    <row r="4217" spans="1:12" x14ac:dyDescent="0.25">
      <c r="A4217" t="s">
        <v>8407</v>
      </c>
      <c r="B4217" t="s">
        <v>702</v>
      </c>
      <c r="C4217" t="s">
        <v>181</v>
      </c>
      <c r="D4217" t="s">
        <v>46</v>
      </c>
      <c r="E4217">
        <v>43</v>
      </c>
      <c r="F4217" t="s">
        <v>54</v>
      </c>
      <c r="G4217" t="s">
        <v>357</v>
      </c>
      <c r="H4217" t="s">
        <v>8408</v>
      </c>
      <c r="I4217" s="1" t="d">
        <v>2010-12-13</v>
      </c>
      <c r="J4217" t="s">
        <v>1999</v>
      </c>
      <c r="K4217" s="17" t="s">
        <v>58</v>
      </c>
      <c r="L4217">
        <v>3</v>
      </c>
    </row>
    <row r="4218" spans="1:12" x14ac:dyDescent="0.25">
      <c r="A4218" t="s">
        <v>8409</v>
      </c>
      <c r="B4218" t="s">
        <v>1316</v>
      </c>
      <c r="C4218" t="s">
        <v>361</v>
      </c>
      <c r="D4218" t="s">
        <v>9527</v>
      </c>
      <c r="E4218">
        <v>21</v>
      </c>
      <c r="F4218" t="s">
        <v>68</v>
      </c>
      <c r="G4218" t="s">
        <v>88</v>
      </c>
      <c r="H4218" t="s">
        <v>8410</v>
      </c>
      <c r="I4218" s="1" t="d">
        <v>2020-06-28</v>
      </c>
      <c r="J4218" t="s">
        <v>1314</v>
      </c>
      <c r="K4218" s="17" t="s">
        <v>184</v>
      </c>
      <c r="L4218">
        <v>2</v>
      </c>
    </row>
    <row r="4219" spans="1:12" x14ac:dyDescent="0.25">
      <c r="A4219" t="s">
        <v>8411</v>
      </c>
      <c r="B4219" t="s">
        <v>1124</v>
      </c>
      <c r="C4219" t="s">
        <v>36</v>
      </c>
      <c r="D4219" t="s">
        <v>9527</v>
      </c>
      <c r="E4219">
        <v>30</v>
      </c>
      <c r="F4219" t="s">
        <v>54</v>
      </c>
      <c r="G4219" t="s">
        <v>3277</v>
      </c>
      <c r="H4219" t="s">
        <v>8412</v>
      </c>
      <c r="I4219" s="1" t="d">
        <v>2023-04-02</v>
      </c>
      <c r="J4219" t="s">
        <v>1354</v>
      </c>
      <c r="K4219" s="17" t="s">
        <v>149</v>
      </c>
      <c r="L4219">
        <v>3</v>
      </c>
    </row>
    <row r="4220" spans="1:12" x14ac:dyDescent="0.25">
      <c r="A4220" t="s">
        <v>8413</v>
      </c>
      <c r="B4220" t="s">
        <v>786</v>
      </c>
      <c r="C4220" t="s">
        <v>1039</v>
      </c>
      <c r="D4220" t="s">
        <v>23</v>
      </c>
      <c r="E4220">
        <v>36</v>
      </c>
      <c r="F4220" t="s">
        <v>2707</v>
      </c>
      <c r="G4220" t="s">
        <v>115</v>
      </c>
      <c r="H4220">
        <v>48281</v>
      </c>
      <c r="I4220" s="1" t="d">
        <v>2015-11-09</v>
      </c>
      <c r="J4220" t="s">
        <v>3709</v>
      </c>
      <c r="K4220" s="17" t="s">
        <v>207</v>
      </c>
      <c r="L4220">
        <v>1</v>
      </c>
    </row>
    <row r="4221" spans="1:12" x14ac:dyDescent="0.25">
      <c r="A4221" t="s">
        <v>8414</v>
      </c>
      <c r="B4221" t="s">
        <v>1837</v>
      </c>
      <c r="C4221" t="s">
        <v>531</v>
      </c>
      <c r="D4221" t="s">
        <v>23</v>
      </c>
      <c r="E4221">
        <v>33</v>
      </c>
      <c r="F4221" t="s">
        <v>75</v>
      </c>
      <c r="G4221" t="s">
        <v>16</v>
      </c>
      <c r="H4221">
        <v>100493</v>
      </c>
      <c r="I4221" s="1" t="d">
        <v>2018-02-03</v>
      </c>
      <c r="J4221" t="s">
        <v>6167</v>
      </c>
      <c r="K4221" s="17" t="s">
        <v>184</v>
      </c>
      <c r="L4221">
        <v>3</v>
      </c>
    </row>
    <row r="4222" spans="1:12" x14ac:dyDescent="0.25">
      <c r="A4222" t="s">
        <v>8415</v>
      </c>
      <c r="B4222" t="s">
        <v>120</v>
      </c>
      <c r="C4222" t="s">
        <v>961</v>
      </c>
      <c r="D4222" t="s">
        <v>46</v>
      </c>
      <c r="E4222">
        <v>33</v>
      </c>
      <c r="F4222" t="s">
        <v>1590</v>
      </c>
      <c r="G4222" t="s">
        <v>95</v>
      </c>
      <c r="I4222" s="1" t="d">
        <v>2019-03-03</v>
      </c>
      <c r="J4222" t="s">
        <v>3915</v>
      </c>
      <c r="K4222" s="17" t="s">
        <v>207</v>
      </c>
      <c r="L4222">
        <v>3</v>
      </c>
    </row>
    <row r="4223" spans="1:12" x14ac:dyDescent="0.25">
      <c r="A4223" t="s">
        <v>8416</v>
      </c>
      <c r="B4223" t="s">
        <v>936</v>
      </c>
      <c r="C4223" t="s">
        <v>37</v>
      </c>
      <c r="D4223" t="s">
        <v>46</v>
      </c>
      <c r="E4223">
        <v>41</v>
      </c>
      <c r="F4223" t="s">
        <v>3150</v>
      </c>
      <c r="G4223" t="s">
        <v>82</v>
      </c>
      <c r="H4223">
        <v>91642</v>
      </c>
      <c r="I4223" s="1" t="d">
        <v>2006-01-14</v>
      </c>
      <c r="J4223" t="s">
        <v>1354</v>
      </c>
      <c r="K4223" s="17" t="s">
        <v>184</v>
      </c>
      <c r="L4223">
        <v>5</v>
      </c>
    </row>
    <row r="4224" spans="1:12" x14ac:dyDescent="0.25">
      <c r="A4224" t="s">
        <v>8417</v>
      </c>
      <c r="B4224" t="s">
        <v>162</v>
      </c>
      <c r="C4224" t="s">
        <v>37</v>
      </c>
      <c r="D4224" t="s">
        <v>23</v>
      </c>
      <c r="E4224">
        <v>54</v>
      </c>
      <c r="F4224" t="s">
        <v>238</v>
      </c>
      <c r="G4224" t="s">
        <v>205</v>
      </c>
      <c r="I4224" s="1" t="d">
        <v>2006-07-06</v>
      </c>
      <c r="J4224" t="s">
        <v>2091</v>
      </c>
      <c r="K4224" s="17" t="s">
        <v>19</v>
      </c>
      <c r="L4224">
        <v>4</v>
      </c>
    </row>
    <row r="4225" spans="1:12" x14ac:dyDescent="0.25">
      <c r="A4225" t="s">
        <v>8418</v>
      </c>
      <c r="B4225" t="s">
        <v>456</v>
      </c>
      <c r="C4225" t="s">
        <v>74</v>
      </c>
      <c r="D4225" t="s">
        <v>23</v>
      </c>
      <c r="E4225">
        <v>47</v>
      </c>
      <c r="F4225" t="s">
        <v>81</v>
      </c>
      <c r="G4225" t="s">
        <v>1329</v>
      </c>
      <c r="H4225" t="s">
        <v>8419</v>
      </c>
      <c r="I4225" s="1" t="d">
        <v>2016-12-25</v>
      </c>
      <c r="J4225" t="s">
        <v>3140</v>
      </c>
      <c r="K4225" s="17" t="s">
        <v>90</v>
      </c>
      <c r="L4225">
        <v>4</v>
      </c>
    </row>
    <row r="4226" spans="1:12" x14ac:dyDescent="0.25">
      <c r="A4226" t="s">
        <v>8420</v>
      </c>
      <c r="B4226" t="s">
        <v>221</v>
      </c>
      <c r="C4226" t="s">
        <v>1622</v>
      </c>
      <c r="D4226" t="s">
        <v>9527</v>
      </c>
      <c r="E4226">
        <v>26</v>
      </c>
      <c r="F4226" t="s">
        <v>2065</v>
      </c>
      <c r="G4226" t="s">
        <v>278</v>
      </c>
      <c r="I4226" s="1" t="d">
        <v>2017-01-23</v>
      </c>
      <c r="J4226" t="s">
        <v>1429</v>
      </c>
      <c r="K4226" s="17" t="s">
        <v>118</v>
      </c>
      <c r="L4226">
        <v>3</v>
      </c>
    </row>
    <row r="4227" spans="1:12" x14ac:dyDescent="0.25">
      <c r="A4227" t="s">
        <v>8421</v>
      </c>
      <c r="B4227" t="s">
        <v>8422</v>
      </c>
      <c r="C4227" t="s">
        <v>7071</v>
      </c>
      <c r="D4227" t="s">
        <v>9527</v>
      </c>
      <c r="E4227">
        <v>36</v>
      </c>
      <c r="F4227" t="s">
        <v>406</v>
      </c>
      <c r="G4227" t="s">
        <v>504</v>
      </c>
      <c r="H4227" t="s">
        <v>8423</v>
      </c>
      <c r="I4227" s="1" t="d">
        <v>2022-04-21</v>
      </c>
      <c r="J4227" t="s">
        <v>1429</v>
      </c>
      <c r="K4227" s="17" t="s">
        <v>370</v>
      </c>
      <c r="L4227">
        <v>4</v>
      </c>
    </row>
    <row r="4228" spans="1:12" x14ac:dyDescent="0.25">
      <c r="A4228" t="s">
        <v>8424</v>
      </c>
      <c r="B4228" t="s">
        <v>2252</v>
      </c>
      <c r="C4228" t="s">
        <v>1517</v>
      </c>
      <c r="D4228" t="s">
        <v>23</v>
      </c>
      <c r="E4228">
        <v>43</v>
      </c>
      <c r="F4228" t="s">
        <v>1699</v>
      </c>
      <c r="G4228" t="s">
        <v>212</v>
      </c>
      <c r="H4228" t="s">
        <v>8425</v>
      </c>
      <c r="I4228" s="1" t="d">
        <v>2008-07-04</v>
      </c>
      <c r="J4228" t="s">
        <v>2857</v>
      </c>
      <c r="K4228" s="17" t="s">
        <v>100</v>
      </c>
      <c r="L4228">
        <v>5</v>
      </c>
    </row>
    <row r="4229" spans="1:12" x14ac:dyDescent="0.25">
      <c r="A4229" t="s">
        <v>8426</v>
      </c>
      <c r="B4229" t="s">
        <v>566</v>
      </c>
      <c r="C4229" t="s">
        <v>1332</v>
      </c>
      <c r="D4229" t="s">
        <v>46</v>
      </c>
      <c r="E4229">
        <v>53</v>
      </c>
      <c r="F4229" t="s">
        <v>1546</v>
      </c>
      <c r="G4229" t="s">
        <v>182</v>
      </c>
      <c r="H4229" t="s">
        <v>8427</v>
      </c>
      <c r="I4229" s="1" t="d">
        <v>2011-05-26</v>
      </c>
      <c r="J4229" t="s">
        <v>6116</v>
      </c>
      <c r="K4229" s="17" t="s">
        <v>370</v>
      </c>
      <c r="L4229">
        <v>3</v>
      </c>
    </row>
    <row r="4230" spans="1:12" x14ac:dyDescent="0.25">
      <c r="A4230" t="s">
        <v>8428</v>
      </c>
      <c r="B4230" t="s">
        <v>4956</v>
      </c>
      <c r="C4230" t="s">
        <v>1332</v>
      </c>
      <c r="D4230" t="s">
        <v>9527</v>
      </c>
      <c r="E4230">
        <v>43</v>
      </c>
      <c r="F4230" t="s">
        <v>94</v>
      </c>
      <c r="G4230" t="s">
        <v>115</v>
      </c>
      <c r="H4230">
        <v>67583</v>
      </c>
      <c r="I4230" s="1" t="d">
        <v>2008-10-13</v>
      </c>
      <c r="J4230" t="s">
        <v>8429</v>
      </c>
      <c r="K4230" s="17" t="s">
        <v>90</v>
      </c>
      <c r="L4230">
        <v>5</v>
      </c>
    </row>
    <row r="4231" spans="1:12" x14ac:dyDescent="0.25">
      <c r="A4231" t="s">
        <v>8430</v>
      </c>
      <c r="B4231" t="s">
        <v>494</v>
      </c>
      <c r="C4231" t="s">
        <v>237</v>
      </c>
      <c r="D4231" t="s">
        <v>46</v>
      </c>
      <c r="E4231">
        <v>37</v>
      </c>
      <c r="F4231" t="s">
        <v>258</v>
      </c>
      <c r="G4231" t="s">
        <v>217</v>
      </c>
      <c r="H4231">
        <v>79662</v>
      </c>
      <c r="I4231" s="1" t="d">
        <v>2010-11-15</v>
      </c>
      <c r="J4231" t="s">
        <v>33</v>
      </c>
      <c r="K4231" s="17" t="s">
        <v>118</v>
      </c>
      <c r="L4231">
        <v>2</v>
      </c>
    </row>
    <row r="4232" spans="1:12" x14ac:dyDescent="0.25">
      <c r="A4232" t="s">
        <v>8431</v>
      </c>
      <c r="B4232" t="s">
        <v>439</v>
      </c>
      <c r="C4232" t="s">
        <v>710</v>
      </c>
      <c r="D4232" t="s">
        <v>46</v>
      </c>
      <c r="E4232">
        <v>34</v>
      </c>
      <c r="F4232" t="s">
        <v>15</v>
      </c>
      <c r="G4232" t="s">
        <v>796</v>
      </c>
      <c r="H4232" s="2">
        <v>85460</v>
      </c>
      <c r="I4232" s="1" t="d">
        <v>2009-04-23</v>
      </c>
      <c r="J4232" t="s">
        <v>3525</v>
      </c>
      <c r="K4232" s="17" t="s">
        <v>184</v>
      </c>
      <c r="L4232">
        <v>3</v>
      </c>
    </row>
    <row r="4233" spans="1:12" x14ac:dyDescent="0.25">
      <c r="A4233" t="s">
        <v>8432</v>
      </c>
      <c r="B4233" t="s">
        <v>8433</v>
      </c>
      <c r="C4233" t="s">
        <v>1052</v>
      </c>
      <c r="D4233" t="s">
        <v>9527</v>
      </c>
      <c r="E4233">
        <v>22</v>
      </c>
      <c r="G4233" t="s">
        <v>1771</v>
      </c>
      <c r="H4233" s="2">
        <v>76032</v>
      </c>
      <c r="I4233" s="1" t="d">
        <v>2020-03-20</v>
      </c>
      <c r="J4233" t="s">
        <v>4250</v>
      </c>
      <c r="K4233" s="17" t="s">
        <v>207</v>
      </c>
      <c r="L4233">
        <v>3</v>
      </c>
    </row>
    <row r="4234" spans="1:12" x14ac:dyDescent="0.25">
      <c r="A4234" t="s">
        <v>8434</v>
      </c>
      <c r="B4234" t="s">
        <v>2436</v>
      </c>
      <c r="C4234" t="s">
        <v>74</v>
      </c>
      <c r="D4234" t="s">
        <v>46</v>
      </c>
      <c r="E4234">
        <v>46</v>
      </c>
      <c r="F4234" t="s">
        <v>54</v>
      </c>
      <c r="G4234" t="s">
        <v>82</v>
      </c>
      <c r="H4234" t="s">
        <v>8435</v>
      </c>
      <c r="I4234" s="1" t="d">
        <v>2023-01-11</v>
      </c>
      <c r="J4234" t="s">
        <v>5552</v>
      </c>
      <c r="K4234" s="17" t="s">
        <v>370</v>
      </c>
      <c r="L4234">
        <v>3</v>
      </c>
    </row>
    <row r="4235" spans="1:12" x14ac:dyDescent="0.25">
      <c r="A4235" t="s">
        <v>8436</v>
      </c>
      <c r="B4235" t="s">
        <v>1002</v>
      </c>
      <c r="C4235" t="s">
        <v>152</v>
      </c>
      <c r="D4235" t="s">
        <v>46</v>
      </c>
      <c r="E4235">
        <v>39</v>
      </c>
      <c r="F4235" t="s">
        <v>238</v>
      </c>
      <c r="G4235" t="s">
        <v>458</v>
      </c>
      <c r="H4235" t="s">
        <v>8437</v>
      </c>
      <c r="I4235" s="1" t="d">
        <v>2012-06-02</v>
      </c>
      <c r="J4235" t="s">
        <v>1407</v>
      </c>
      <c r="K4235" s="17" t="s">
        <v>71</v>
      </c>
      <c r="L4235">
        <v>3</v>
      </c>
    </row>
    <row r="4236" spans="1:12" x14ac:dyDescent="0.25">
      <c r="A4236" t="s">
        <v>8438</v>
      </c>
      <c r="B4236" t="s">
        <v>895</v>
      </c>
      <c r="C4236" t="s">
        <v>189</v>
      </c>
      <c r="D4236" t="s">
        <v>23</v>
      </c>
      <c r="E4236">
        <v>34</v>
      </c>
      <c r="F4236" t="s">
        <v>153</v>
      </c>
      <c r="G4236" t="s">
        <v>55</v>
      </c>
      <c r="H4236" t="s">
        <v>8439</v>
      </c>
      <c r="J4236" t="s">
        <v>1489</v>
      </c>
      <c r="K4236" s="17" t="s">
        <v>184</v>
      </c>
      <c r="L4236">
        <v>3</v>
      </c>
    </row>
    <row r="4237" spans="1:12" x14ac:dyDescent="0.25">
      <c r="A4237" t="s">
        <v>8440</v>
      </c>
      <c r="B4237" t="s">
        <v>1437</v>
      </c>
      <c r="C4237" t="s">
        <v>758</v>
      </c>
      <c r="D4237" t="s">
        <v>9527</v>
      </c>
      <c r="E4237">
        <v>21</v>
      </c>
      <c r="G4237" t="s">
        <v>1645</v>
      </c>
      <c r="H4237">
        <v>62436</v>
      </c>
      <c r="I4237" s="1" t="d">
        <v>2008-10-16</v>
      </c>
      <c r="J4237" t="s">
        <v>2609</v>
      </c>
      <c r="K4237" s="17" t="s">
        <v>370</v>
      </c>
      <c r="L4237">
        <v>3</v>
      </c>
    </row>
    <row r="4238" spans="1:12" x14ac:dyDescent="0.25">
      <c r="A4238" t="s">
        <v>8441</v>
      </c>
      <c r="B4238" t="s">
        <v>355</v>
      </c>
      <c r="C4238" t="s">
        <v>30</v>
      </c>
      <c r="D4238" t="s">
        <v>46</v>
      </c>
      <c r="E4238">
        <v>30</v>
      </c>
      <c r="F4238" t="s">
        <v>918</v>
      </c>
      <c r="G4238" t="s">
        <v>16</v>
      </c>
      <c r="H4238" s="2">
        <v>104245</v>
      </c>
      <c r="I4238" s="1" t="d">
        <v>2008-01-17</v>
      </c>
      <c r="J4238" t="s">
        <v>5575</v>
      </c>
      <c r="K4238" s="17" t="s">
        <v>207</v>
      </c>
      <c r="L4238">
        <v>4</v>
      </c>
    </row>
    <row r="4239" spans="1:12" x14ac:dyDescent="0.25">
      <c r="A4239" t="s">
        <v>8442</v>
      </c>
      <c r="B4239" t="s">
        <v>404</v>
      </c>
      <c r="C4239" t="s">
        <v>8443</v>
      </c>
      <c r="D4239" t="s">
        <v>9527</v>
      </c>
      <c r="E4239">
        <v>30</v>
      </c>
      <c r="F4239" t="s">
        <v>269</v>
      </c>
      <c r="G4239" t="s">
        <v>39</v>
      </c>
      <c r="H4239">
        <v>45548</v>
      </c>
      <c r="I4239" s="1" t="d">
        <v>2024-06-29</v>
      </c>
      <c r="J4239" t="s">
        <v>2646</v>
      </c>
      <c r="K4239" s="17" t="s">
        <v>50</v>
      </c>
      <c r="L4239">
        <v>4</v>
      </c>
    </row>
    <row r="4240" spans="1:12" x14ac:dyDescent="0.25">
      <c r="A4240" t="s">
        <v>8444</v>
      </c>
      <c r="B4240" t="s">
        <v>130</v>
      </c>
      <c r="C4240" t="s">
        <v>195</v>
      </c>
      <c r="D4240" t="s">
        <v>23</v>
      </c>
      <c r="E4240">
        <v>38</v>
      </c>
      <c r="F4240" t="s">
        <v>108</v>
      </c>
      <c r="G4240" t="s">
        <v>177</v>
      </c>
      <c r="H4240">
        <v>77994</v>
      </c>
      <c r="I4240" s="1" t="d">
        <v>2009-12-12</v>
      </c>
      <c r="J4240" t="s">
        <v>2533</v>
      </c>
      <c r="K4240" s="17" t="s">
        <v>370</v>
      </c>
      <c r="L4240">
        <v>4</v>
      </c>
    </row>
    <row r="4241" spans="1:12" x14ac:dyDescent="0.25">
      <c r="A4241" t="s">
        <v>8445</v>
      </c>
      <c r="B4241" t="s">
        <v>1842</v>
      </c>
      <c r="C4241" t="s">
        <v>1010</v>
      </c>
      <c r="D4241" t="s">
        <v>23</v>
      </c>
      <c r="E4241">
        <v>27</v>
      </c>
      <c r="F4241" t="s">
        <v>54</v>
      </c>
      <c r="G4241" t="s">
        <v>39</v>
      </c>
      <c r="H4241" t="s">
        <v>8446</v>
      </c>
      <c r="I4241" s="1" t="d">
        <v>2023-10-28</v>
      </c>
      <c r="J4241" t="s">
        <v>7321</v>
      </c>
      <c r="K4241" s="17" t="s">
        <v>27</v>
      </c>
      <c r="L4241">
        <v>4</v>
      </c>
    </row>
    <row r="4242" spans="1:12" x14ac:dyDescent="0.25">
      <c r="A4242" t="s">
        <v>8447</v>
      </c>
      <c r="B4242" t="s">
        <v>120</v>
      </c>
      <c r="C4242" t="s">
        <v>584</v>
      </c>
      <c r="D4242" t="s">
        <v>9527</v>
      </c>
      <c r="E4242">
        <v>43</v>
      </c>
      <c r="F4242" t="s">
        <v>978</v>
      </c>
      <c r="G4242" t="s">
        <v>55</v>
      </c>
      <c r="H4242" s="2">
        <v>81884</v>
      </c>
      <c r="I4242" s="1" t="d">
        <v>2014-10-25</v>
      </c>
      <c r="J4242" t="s">
        <v>8448</v>
      </c>
      <c r="K4242" s="17" t="s">
        <v>184</v>
      </c>
      <c r="L4242">
        <v>3</v>
      </c>
    </row>
    <row r="4243" spans="1:12" x14ac:dyDescent="0.25">
      <c r="A4243" t="s">
        <v>8449</v>
      </c>
      <c r="B4243" t="s">
        <v>36</v>
      </c>
      <c r="C4243" t="s">
        <v>36</v>
      </c>
      <c r="D4243" t="s">
        <v>9527</v>
      </c>
      <c r="E4243">
        <v>52</v>
      </c>
      <c r="F4243" t="s">
        <v>1546</v>
      </c>
      <c r="G4243" t="s">
        <v>357</v>
      </c>
      <c r="I4243" s="1" t="d">
        <v>2015-06-27</v>
      </c>
      <c r="J4243" t="s">
        <v>41</v>
      </c>
      <c r="K4243" s="17" t="s">
        <v>207</v>
      </c>
      <c r="L4243">
        <v>4</v>
      </c>
    </row>
    <row r="4244" spans="1:12" x14ac:dyDescent="0.25">
      <c r="A4244" t="s">
        <v>8450</v>
      </c>
      <c r="B4244" t="s">
        <v>315</v>
      </c>
      <c r="C4244" t="s">
        <v>22</v>
      </c>
      <c r="D4244" t="s">
        <v>9527</v>
      </c>
      <c r="E4244">
        <v>28</v>
      </c>
      <c r="F4244" t="s">
        <v>94</v>
      </c>
      <c r="G4244" t="s">
        <v>842</v>
      </c>
      <c r="H4244" t="s">
        <v>8451</v>
      </c>
      <c r="I4244" s="1" t="d">
        <v>2015-12-19</v>
      </c>
      <c r="J4244" t="s">
        <v>737</v>
      </c>
      <c r="K4244" s="17" t="s">
        <v>58</v>
      </c>
      <c r="L4244">
        <v>2</v>
      </c>
    </row>
    <row r="4245" spans="1:12" x14ac:dyDescent="0.25">
      <c r="A4245" t="s">
        <v>8452</v>
      </c>
      <c r="B4245" t="s">
        <v>1437</v>
      </c>
      <c r="C4245" t="s">
        <v>2462</v>
      </c>
      <c r="D4245" t="s">
        <v>46</v>
      </c>
      <c r="E4245">
        <v>31</v>
      </c>
      <c r="F4245" t="s">
        <v>211</v>
      </c>
      <c r="G4245" t="s">
        <v>170</v>
      </c>
      <c r="H4245">
        <v>-49090</v>
      </c>
      <c r="I4245" s="1" t="d">
        <v>2008-10-04</v>
      </c>
      <c r="J4245" t="s">
        <v>2634</v>
      </c>
      <c r="K4245" s="17" t="s">
        <v>207</v>
      </c>
      <c r="L4245">
        <v>2</v>
      </c>
    </row>
    <row r="4246" spans="1:12" x14ac:dyDescent="0.25">
      <c r="A4246" t="s">
        <v>8453</v>
      </c>
      <c r="B4246" t="s">
        <v>130</v>
      </c>
      <c r="C4246" t="s">
        <v>2249</v>
      </c>
      <c r="D4246" t="s">
        <v>23</v>
      </c>
      <c r="E4246">
        <v>24</v>
      </c>
      <c r="F4246" t="s">
        <v>1116</v>
      </c>
      <c r="G4246" t="s">
        <v>55</v>
      </c>
      <c r="I4246" s="1" t="d">
        <v>2009-12-08</v>
      </c>
      <c r="J4246" t="s">
        <v>3539</v>
      </c>
      <c r="K4246" s="17" t="s">
        <v>100</v>
      </c>
      <c r="L4246">
        <v>5</v>
      </c>
    </row>
    <row r="4247" spans="1:12" x14ac:dyDescent="0.25">
      <c r="A4247" t="s">
        <v>4953</v>
      </c>
      <c r="B4247" t="s">
        <v>1172</v>
      </c>
      <c r="C4247" t="s">
        <v>61</v>
      </c>
      <c r="D4247" t="s">
        <v>23</v>
      </c>
      <c r="E4247">
        <v>38</v>
      </c>
      <c r="F4247" t="s">
        <v>918</v>
      </c>
      <c r="G4247" t="s">
        <v>1645</v>
      </c>
      <c r="H4247">
        <v>69351</v>
      </c>
      <c r="I4247" s="1" t="d">
        <v>2021-01-19</v>
      </c>
      <c r="J4247" t="s">
        <v>4160</v>
      </c>
      <c r="K4247" s="17" t="s">
        <v>100</v>
      </c>
      <c r="L4247">
        <v>4</v>
      </c>
    </row>
    <row r="4248" spans="1:12" x14ac:dyDescent="0.25">
      <c r="A4248" t="s">
        <v>8454</v>
      </c>
      <c r="B4248" t="s">
        <v>410</v>
      </c>
      <c r="C4248" t="s">
        <v>152</v>
      </c>
      <c r="D4248" t="s">
        <v>23</v>
      </c>
      <c r="E4248">
        <v>32</v>
      </c>
      <c r="F4248" t="s">
        <v>859</v>
      </c>
      <c r="G4248" t="s">
        <v>55</v>
      </c>
      <c r="H4248">
        <v>48094</v>
      </c>
      <c r="I4248" s="1" t="d">
        <v>2007-07-15</v>
      </c>
      <c r="J4248" t="s">
        <v>6603</v>
      </c>
      <c r="K4248" s="17" t="s">
        <v>207</v>
      </c>
      <c r="L4248">
        <v>3</v>
      </c>
    </row>
    <row r="4249" spans="1:12" x14ac:dyDescent="0.25">
      <c r="A4249" t="s">
        <v>8455</v>
      </c>
      <c r="B4249" t="s">
        <v>2681</v>
      </c>
      <c r="C4249" t="s">
        <v>67</v>
      </c>
      <c r="D4249" t="s">
        <v>23</v>
      </c>
      <c r="E4249">
        <v>44</v>
      </c>
      <c r="F4249" t="s">
        <v>918</v>
      </c>
      <c r="G4249" t="s">
        <v>205</v>
      </c>
      <c r="H4249">
        <v>99579</v>
      </c>
      <c r="I4249" s="1" t="d">
        <v>2020-02-15</v>
      </c>
      <c r="J4249" t="s">
        <v>7996</v>
      </c>
      <c r="K4249" s="17" t="s">
        <v>149</v>
      </c>
      <c r="L4249">
        <v>4</v>
      </c>
    </row>
    <row r="4250" spans="1:12" x14ac:dyDescent="0.25">
      <c r="A4250" t="s">
        <v>8456</v>
      </c>
      <c r="B4250" t="s">
        <v>664</v>
      </c>
      <c r="C4250" t="s">
        <v>67</v>
      </c>
      <c r="D4250" t="s">
        <v>46</v>
      </c>
      <c r="E4250">
        <v>62</v>
      </c>
      <c r="F4250" t="s">
        <v>114</v>
      </c>
      <c r="G4250" t="s">
        <v>212</v>
      </c>
      <c r="H4250">
        <v>113677</v>
      </c>
      <c r="I4250" s="1" t="d">
        <v>2019-10-16</v>
      </c>
      <c r="J4250" t="s">
        <v>2803</v>
      </c>
      <c r="K4250" s="17" t="s">
        <v>34</v>
      </c>
      <c r="L4250">
        <v>5</v>
      </c>
    </row>
    <row r="4251" spans="1:12" x14ac:dyDescent="0.25">
      <c r="A4251" t="s">
        <v>8457</v>
      </c>
      <c r="B4251" t="s">
        <v>3937</v>
      </c>
      <c r="C4251" t="s">
        <v>618</v>
      </c>
      <c r="D4251" t="s">
        <v>46</v>
      </c>
      <c r="E4251">
        <v>45</v>
      </c>
      <c r="F4251" t="s">
        <v>859</v>
      </c>
      <c r="G4251" t="s">
        <v>351</v>
      </c>
      <c r="H4251">
        <v>58570</v>
      </c>
      <c r="I4251" s="1" t="d">
        <v>2011-03-27</v>
      </c>
      <c r="J4251" t="s">
        <v>4427</v>
      </c>
      <c r="K4251" s="17" t="s">
        <v>34</v>
      </c>
      <c r="L4251">
        <v>3</v>
      </c>
    </row>
    <row r="4252" spans="1:12" x14ac:dyDescent="0.25">
      <c r="A4252" t="s">
        <v>8458</v>
      </c>
      <c r="B4252" t="s">
        <v>228</v>
      </c>
      <c r="C4252" t="s">
        <v>361</v>
      </c>
      <c r="D4252" t="s">
        <v>9527</v>
      </c>
      <c r="E4252">
        <v>37</v>
      </c>
      <c r="F4252" t="s">
        <v>47</v>
      </c>
      <c r="G4252" t="s">
        <v>141</v>
      </c>
      <c r="H4252" s="2">
        <v>63440</v>
      </c>
      <c r="I4252" s="1" t="d">
        <v>2005-07-03</v>
      </c>
      <c r="J4252" t="s">
        <v>4103</v>
      </c>
      <c r="K4252" s="17" t="s">
        <v>42</v>
      </c>
      <c r="L4252">
        <v>4</v>
      </c>
    </row>
    <row r="4253" spans="1:12" x14ac:dyDescent="0.25">
      <c r="A4253" t="s">
        <v>8459</v>
      </c>
      <c r="B4253" t="s">
        <v>773</v>
      </c>
      <c r="C4253" t="s">
        <v>37</v>
      </c>
      <c r="D4253" t="s">
        <v>9527</v>
      </c>
      <c r="E4253">
        <v>32</v>
      </c>
      <c r="F4253" t="s">
        <v>81</v>
      </c>
      <c r="G4253" t="s">
        <v>870</v>
      </c>
      <c r="H4253">
        <v>114079</v>
      </c>
      <c r="I4253" s="1" t="d">
        <v>2010-05-30</v>
      </c>
      <c r="J4253" t="s">
        <v>8460</v>
      </c>
      <c r="K4253" s="17" t="s">
        <v>50</v>
      </c>
      <c r="L4253">
        <v>3</v>
      </c>
    </row>
    <row r="4254" spans="1:12" x14ac:dyDescent="0.25">
      <c r="A4254" t="s">
        <v>8461</v>
      </c>
      <c r="B4254" t="s">
        <v>571</v>
      </c>
      <c r="C4254" t="s">
        <v>851</v>
      </c>
      <c r="D4254" t="s">
        <v>46</v>
      </c>
      <c r="E4254">
        <v>33</v>
      </c>
      <c r="F4254" t="s">
        <v>122</v>
      </c>
      <c r="G4254" t="s">
        <v>177</v>
      </c>
      <c r="H4254">
        <v>50072</v>
      </c>
      <c r="I4254" s="1" t="d">
        <v>2006-10-08</v>
      </c>
      <c r="J4254" t="s">
        <v>3022</v>
      </c>
      <c r="K4254" s="17" t="s">
        <v>184</v>
      </c>
      <c r="L4254">
        <v>3</v>
      </c>
    </row>
    <row r="4255" spans="1:12" x14ac:dyDescent="0.25">
      <c r="A4255" t="s">
        <v>8462</v>
      </c>
      <c r="B4255" t="s">
        <v>86</v>
      </c>
      <c r="C4255" t="s">
        <v>1194</v>
      </c>
      <c r="D4255" t="s">
        <v>46</v>
      </c>
      <c r="E4255">
        <v>35</v>
      </c>
      <c r="F4255" t="s">
        <v>8463</v>
      </c>
      <c r="G4255" t="s">
        <v>239</v>
      </c>
      <c r="H4255" t="s">
        <v>8464</v>
      </c>
      <c r="I4255" s="1" t="d">
        <v>2007-09-11</v>
      </c>
      <c r="J4255" t="s">
        <v>592</v>
      </c>
      <c r="K4255" s="17" t="s">
        <v>58</v>
      </c>
      <c r="L4255">
        <v>4</v>
      </c>
    </row>
    <row r="4256" spans="1:12" x14ac:dyDescent="0.25">
      <c r="A4256" t="s">
        <v>8465</v>
      </c>
      <c r="B4256" t="s">
        <v>311</v>
      </c>
      <c r="C4256" t="s">
        <v>268</v>
      </c>
      <c r="D4256" t="s">
        <v>9527</v>
      </c>
      <c r="E4256">
        <v>37</v>
      </c>
      <c r="F4256" t="s">
        <v>373</v>
      </c>
      <c r="G4256" t="s">
        <v>177</v>
      </c>
      <c r="H4256">
        <v>72137</v>
      </c>
      <c r="I4256" s="1" t="d">
        <v>2016-05-07</v>
      </c>
      <c r="J4256" t="s">
        <v>2747</v>
      </c>
      <c r="K4256" s="17" t="s">
        <v>27</v>
      </c>
      <c r="L4256">
        <v>5</v>
      </c>
    </row>
    <row r="4257" spans="1:12" x14ac:dyDescent="0.25">
      <c r="A4257" t="s">
        <v>8466</v>
      </c>
      <c r="B4257" t="s">
        <v>3470</v>
      </c>
      <c r="C4257" t="s">
        <v>1337</v>
      </c>
      <c r="D4257" t="s">
        <v>46</v>
      </c>
      <c r="E4257">
        <v>49</v>
      </c>
      <c r="F4257" t="s">
        <v>1116</v>
      </c>
      <c r="G4257" t="s">
        <v>177</v>
      </c>
      <c r="H4257" s="2">
        <v>56505</v>
      </c>
      <c r="I4257" s="1" t="d">
        <v>2018-01-10</v>
      </c>
      <c r="J4257" t="s">
        <v>4306</v>
      </c>
      <c r="K4257" s="17" t="s">
        <v>149</v>
      </c>
      <c r="L4257">
        <v>4</v>
      </c>
    </row>
    <row r="4258" spans="1:12" x14ac:dyDescent="0.25">
      <c r="A4258" t="s">
        <v>8467</v>
      </c>
      <c r="B4258" t="s">
        <v>44</v>
      </c>
      <c r="C4258" t="s">
        <v>74</v>
      </c>
      <c r="D4258" t="s">
        <v>9527</v>
      </c>
      <c r="E4258">
        <v>33</v>
      </c>
      <c r="F4258" t="s">
        <v>307</v>
      </c>
      <c r="G4258" t="s">
        <v>191</v>
      </c>
      <c r="H4258" t="s">
        <v>8468</v>
      </c>
      <c r="J4258" t="s">
        <v>1185</v>
      </c>
      <c r="K4258" s="17" t="s">
        <v>100</v>
      </c>
      <c r="L4258">
        <v>4</v>
      </c>
    </row>
    <row r="4259" spans="1:12" x14ac:dyDescent="0.25">
      <c r="A4259" t="s">
        <v>8469</v>
      </c>
      <c r="B4259" t="s">
        <v>21</v>
      </c>
      <c r="C4259" t="s">
        <v>449</v>
      </c>
      <c r="D4259" t="s">
        <v>9527</v>
      </c>
      <c r="E4259">
        <v>23</v>
      </c>
      <c r="F4259" t="s">
        <v>31</v>
      </c>
      <c r="G4259" t="s">
        <v>115</v>
      </c>
      <c r="H4259" t="s">
        <v>8470</v>
      </c>
      <c r="I4259" s="1" t="d">
        <v>2014-12-16</v>
      </c>
      <c r="J4259" t="s">
        <v>4709</v>
      </c>
      <c r="K4259" s="17" t="s">
        <v>370</v>
      </c>
      <c r="L4259">
        <v>3</v>
      </c>
    </row>
    <row r="4260" spans="1:12" x14ac:dyDescent="0.25">
      <c r="A4260" t="s">
        <v>8471</v>
      </c>
      <c r="B4260" t="s">
        <v>4900</v>
      </c>
      <c r="C4260" t="s">
        <v>665</v>
      </c>
      <c r="D4260" t="s">
        <v>23</v>
      </c>
      <c r="E4260">
        <v>45</v>
      </c>
      <c r="F4260" t="s">
        <v>589</v>
      </c>
      <c r="G4260" t="s">
        <v>283</v>
      </c>
      <c r="H4260" s="2">
        <v>118008</v>
      </c>
      <c r="I4260" s="1" t="d">
        <v>2005-09-01</v>
      </c>
      <c r="J4260" t="s">
        <v>3712</v>
      </c>
      <c r="K4260" s="17" t="s">
        <v>149</v>
      </c>
      <c r="L4260">
        <v>3</v>
      </c>
    </row>
    <row r="4261" spans="1:12" x14ac:dyDescent="0.25">
      <c r="A4261" t="s">
        <v>8472</v>
      </c>
      <c r="B4261" t="s">
        <v>102</v>
      </c>
      <c r="C4261" t="s">
        <v>405</v>
      </c>
      <c r="D4261" t="s">
        <v>23</v>
      </c>
      <c r="E4261">
        <v>28</v>
      </c>
      <c r="F4261" t="s">
        <v>104</v>
      </c>
      <c r="G4261" t="s">
        <v>48</v>
      </c>
      <c r="I4261" s="1" t="d">
        <v>2014-02-14</v>
      </c>
      <c r="J4261" t="s">
        <v>2615</v>
      </c>
      <c r="K4261" s="17" t="s">
        <v>42</v>
      </c>
      <c r="L4261">
        <v>3</v>
      </c>
    </row>
    <row r="4262" spans="1:12" x14ac:dyDescent="0.25">
      <c r="A4262" t="s">
        <v>8473</v>
      </c>
      <c r="B4262" t="s">
        <v>151</v>
      </c>
      <c r="C4262" t="s">
        <v>204</v>
      </c>
      <c r="D4262" t="s">
        <v>23</v>
      </c>
      <c r="E4262">
        <v>34</v>
      </c>
      <c r="G4262" t="s">
        <v>191</v>
      </c>
      <c r="H4262" t="s">
        <v>8474</v>
      </c>
      <c r="I4262" s="1" t="d">
        <v>2009-06-14</v>
      </c>
      <c r="J4262" t="s">
        <v>8475</v>
      </c>
      <c r="K4262" s="17" t="s">
        <v>100</v>
      </c>
      <c r="L4262">
        <v>3</v>
      </c>
    </row>
    <row r="4263" spans="1:12" x14ac:dyDescent="0.25">
      <c r="A4263" t="s">
        <v>8476</v>
      </c>
      <c r="B4263" t="s">
        <v>507</v>
      </c>
      <c r="C4263" t="s">
        <v>237</v>
      </c>
      <c r="D4263" t="s">
        <v>23</v>
      </c>
      <c r="E4263">
        <v>25</v>
      </c>
      <c r="F4263" t="s">
        <v>971</v>
      </c>
      <c r="G4263" t="s">
        <v>170</v>
      </c>
      <c r="H4263">
        <v>82300</v>
      </c>
      <c r="I4263" s="1" t="d">
        <v>2023-04-13</v>
      </c>
      <c r="J4263" t="s">
        <v>3445</v>
      </c>
      <c r="K4263" s="17" t="s">
        <v>27</v>
      </c>
      <c r="L4263">
        <v>3</v>
      </c>
    </row>
    <row r="4264" spans="1:12" x14ac:dyDescent="0.25">
      <c r="A4264" t="s">
        <v>8477</v>
      </c>
      <c r="B4264" t="s">
        <v>482</v>
      </c>
      <c r="C4264" t="s">
        <v>286</v>
      </c>
      <c r="D4264" t="s">
        <v>23</v>
      </c>
      <c r="E4264">
        <v>50</v>
      </c>
      <c r="F4264" t="s">
        <v>108</v>
      </c>
      <c r="G4264" t="s">
        <v>39</v>
      </c>
      <c r="I4264" s="1" t="d">
        <v>2007-08-01</v>
      </c>
      <c r="J4264" t="s">
        <v>8072</v>
      </c>
      <c r="K4264" s="17" t="s">
        <v>370</v>
      </c>
      <c r="L4264">
        <v>5</v>
      </c>
    </row>
    <row r="4265" spans="1:12" x14ac:dyDescent="0.25">
      <c r="A4265" t="s">
        <v>8478</v>
      </c>
      <c r="B4265" t="s">
        <v>2197</v>
      </c>
      <c r="C4265" t="s">
        <v>1039</v>
      </c>
      <c r="D4265" t="s">
        <v>46</v>
      </c>
      <c r="E4265">
        <v>29</v>
      </c>
      <c r="F4265" t="s">
        <v>1785</v>
      </c>
      <c r="G4265" t="s">
        <v>337</v>
      </c>
      <c r="H4265" s="2">
        <v>44148</v>
      </c>
      <c r="I4265" s="1" t="d">
        <v>2013-02-24</v>
      </c>
      <c r="J4265" t="s">
        <v>5212</v>
      </c>
      <c r="K4265" s="17" t="s">
        <v>27</v>
      </c>
      <c r="L4265">
        <v>3</v>
      </c>
    </row>
    <row r="4266" spans="1:12" x14ac:dyDescent="0.25">
      <c r="A4266" t="s">
        <v>8479</v>
      </c>
      <c r="B4266" t="s">
        <v>1644</v>
      </c>
      <c r="C4266" t="s">
        <v>14</v>
      </c>
      <c r="D4266" t="s">
        <v>46</v>
      </c>
      <c r="E4266">
        <v>37</v>
      </c>
      <c r="F4266" t="s">
        <v>373</v>
      </c>
      <c r="G4266" t="s">
        <v>16</v>
      </c>
      <c r="H4266" s="2">
        <v>120796</v>
      </c>
      <c r="I4266" s="1" t="d">
        <v>2005-01-23</v>
      </c>
      <c r="J4266" t="s">
        <v>6149</v>
      </c>
      <c r="K4266" s="17" t="s">
        <v>19</v>
      </c>
      <c r="L4266">
        <v>2</v>
      </c>
    </row>
    <row r="4267" spans="1:12" x14ac:dyDescent="0.25">
      <c r="A4267" t="s">
        <v>8480</v>
      </c>
      <c r="B4267" t="s">
        <v>906</v>
      </c>
      <c r="C4267" t="s">
        <v>61</v>
      </c>
      <c r="D4267" t="s">
        <v>46</v>
      </c>
      <c r="E4267">
        <v>26</v>
      </c>
      <c r="F4267" t="s">
        <v>216</v>
      </c>
      <c r="G4267" t="s">
        <v>82</v>
      </c>
      <c r="H4267" t="s">
        <v>8481</v>
      </c>
      <c r="I4267" s="1" t="d">
        <v>2022-05-15</v>
      </c>
      <c r="J4267" t="s">
        <v>2195</v>
      </c>
      <c r="K4267" s="17" t="s">
        <v>207</v>
      </c>
      <c r="L4267">
        <v>4</v>
      </c>
    </row>
    <row r="4268" spans="1:12" x14ac:dyDescent="0.25">
      <c r="A4268" t="s">
        <v>2663</v>
      </c>
      <c r="B4268" t="s">
        <v>2248</v>
      </c>
      <c r="C4268" t="s">
        <v>1734</v>
      </c>
      <c r="D4268" t="s">
        <v>46</v>
      </c>
      <c r="E4268">
        <v>29</v>
      </c>
      <c r="F4268" t="s">
        <v>296</v>
      </c>
      <c r="G4268" t="s">
        <v>82</v>
      </c>
      <c r="I4268" s="1" t="d">
        <v>2008-07-18</v>
      </c>
      <c r="J4268" t="s">
        <v>590</v>
      </c>
      <c r="K4268" s="17" t="s">
        <v>27</v>
      </c>
      <c r="L4268">
        <v>3</v>
      </c>
    </row>
    <row r="4269" spans="1:12" x14ac:dyDescent="0.25">
      <c r="A4269" t="s">
        <v>8482</v>
      </c>
      <c r="B4269" t="s">
        <v>21</v>
      </c>
      <c r="C4269" t="s">
        <v>474</v>
      </c>
      <c r="D4269" t="s">
        <v>9527</v>
      </c>
      <c r="E4269">
        <v>35</v>
      </c>
      <c r="F4269" t="s">
        <v>7239</v>
      </c>
      <c r="G4269" t="s">
        <v>351</v>
      </c>
      <c r="I4269" s="1" t="d">
        <v>2023-01-18</v>
      </c>
      <c r="J4269" t="s">
        <v>3472</v>
      </c>
      <c r="K4269" s="17" t="s">
        <v>50</v>
      </c>
      <c r="L4269">
        <v>4</v>
      </c>
    </row>
    <row r="4270" spans="1:12" x14ac:dyDescent="0.25">
      <c r="A4270" t="s">
        <v>8483</v>
      </c>
      <c r="B4270" t="s">
        <v>221</v>
      </c>
      <c r="C4270" t="s">
        <v>1306</v>
      </c>
      <c r="D4270" t="s">
        <v>9527</v>
      </c>
      <c r="E4270">
        <v>26</v>
      </c>
      <c r="F4270" t="s">
        <v>126</v>
      </c>
      <c r="G4270" t="s">
        <v>170</v>
      </c>
      <c r="I4270" s="1" t="d">
        <v>2019-08-16</v>
      </c>
      <c r="J4270" t="s">
        <v>3232</v>
      </c>
      <c r="K4270" s="17" t="s">
        <v>149</v>
      </c>
      <c r="L4270">
        <v>3</v>
      </c>
    </row>
    <row r="4271" spans="1:12" x14ac:dyDescent="0.25">
      <c r="A4271" t="s">
        <v>8484</v>
      </c>
      <c r="B4271" t="s">
        <v>151</v>
      </c>
      <c r="C4271" t="s">
        <v>521</v>
      </c>
      <c r="D4271" t="s">
        <v>9527</v>
      </c>
      <c r="E4271">
        <v>46</v>
      </c>
      <c r="F4271" t="s">
        <v>54</v>
      </c>
      <c r="G4271" t="s">
        <v>387</v>
      </c>
      <c r="I4271" s="1" t="d">
        <v>2009-07-03</v>
      </c>
      <c r="J4271" t="s">
        <v>2739</v>
      </c>
      <c r="K4271" s="17" t="s">
        <v>118</v>
      </c>
      <c r="L4271">
        <v>2</v>
      </c>
    </row>
    <row r="4272" spans="1:12" x14ac:dyDescent="0.25">
      <c r="A4272" t="s">
        <v>8485</v>
      </c>
      <c r="B4272" t="s">
        <v>2041</v>
      </c>
      <c r="C4272" t="s">
        <v>453</v>
      </c>
      <c r="D4272" t="s">
        <v>9527</v>
      </c>
      <c r="E4272">
        <v>29</v>
      </c>
      <c r="F4272" t="s">
        <v>258</v>
      </c>
      <c r="G4272" t="s">
        <v>182</v>
      </c>
      <c r="H4272" t="s">
        <v>8486</v>
      </c>
      <c r="I4272" s="1" t="d">
        <v>2012-12-09</v>
      </c>
      <c r="J4272" t="s">
        <v>1034</v>
      </c>
      <c r="K4272" s="17" t="s">
        <v>207</v>
      </c>
      <c r="L4272">
        <v>5</v>
      </c>
    </row>
    <row r="4273" spans="1:12" x14ac:dyDescent="0.25">
      <c r="A4273" t="s">
        <v>8487</v>
      </c>
      <c r="B4273" t="s">
        <v>1301</v>
      </c>
      <c r="C4273" t="s">
        <v>195</v>
      </c>
      <c r="D4273" t="s">
        <v>46</v>
      </c>
      <c r="E4273">
        <v>26</v>
      </c>
      <c r="F4273" t="s">
        <v>126</v>
      </c>
      <c r="G4273" t="s">
        <v>95</v>
      </c>
      <c r="H4273" t="s">
        <v>8488</v>
      </c>
      <c r="I4273" s="1" t="d">
        <v>2011-11-25</v>
      </c>
      <c r="J4273" t="s">
        <v>6817</v>
      </c>
      <c r="K4273" s="17" t="s">
        <v>71</v>
      </c>
      <c r="L4273">
        <v>4</v>
      </c>
    </row>
    <row r="4274" spans="1:12" x14ac:dyDescent="0.25">
      <c r="A4274" t="s">
        <v>8489</v>
      </c>
      <c r="B4274" t="s">
        <v>36</v>
      </c>
      <c r="C4274" t="s">
        <v>45</v>
      </c>
      <c r="D4274" t="s">
        <v>23</v>
      </c>
      <c r="E4274">
        <v>46</v>
      </c>
      <c r="F4274" t="s">
        <v>196</v>
      </c>
      <c r="G4274" t="s">
        <v>115</v>
      </c>
      <c r="H4274" t="s">
        <v>8490</v>
      </c>
      <c r="I4274" s="1" t="d">
        <v>2020-12-11</v>
      </c>
      <c r="J4274" t="s">
        <v>2753</v>
      </c>
      <c r="K4274" s="17" t="s">
        <v>184</v>
      </c>
      <c r="L4274">
        <v>5</v>
      </c>
    </row>
    <row r="4275" spans="1:12" x14ac:dyDescent="0.25">
      <c r="A4275" t="s">
        <v>8491</v>
      </c>
      <c r="B4275" t="s">
        <v>13</v>
      </c>
      <c r="C4275" t="s">
        <v>2231</v>
      </c>
      <c r="D4275" t="s">
        <v>23</v>
      </c>
      <c r="E4275">
        <v>28</v>
      </c>
      <c r="F4275" t="s">
        <v>62</v>
      </c>
      <c r="G4275" t="s">
        <v>170</v>
      </c>
      <c r="H4275" t="s">
        <v>8492</v>
      </c>
      <c r="I4275" s="1" t="d">
        <v>2020-03-01</v>
      </c>
      <c r="J4275" t="s">
        <v>5031</v>
      </c>
      <c r="K4275" s="17" t="s">
        <v>90</v>
      </c>
      <c r="L4275">
        <v>4</v>
      </c>
    </row>
    <row r="4276" spans="1:12" x14ac:dyDescent="0.25">
      <c r="A4276" t="s">
        <v>8493</v>
      </c>
      <c r="B4276" t="s">
        <v>144</v>
      </c>
      <c r="C4276" t="s">
        <v>158</v>
      </c>
      <c r="D4276" t="s">
        <v>23</v>
      </c>
      <c r="E4276">
        <v>21</v>
      </c>
      <c r="F4276" t="s">
        <v>406</v>
      </c>
      <c r="G4276" t="s">
        <v>82</v>
      </c>
      <c r="H4276" s="2">
        <v>-40536</v>
      </c>
      <c r="I4276" s="1" t="d">
        <v>2005-12-28</v>
      </c>
      <c r="J4276" t="s">
        <v>1588</v>
      </c>
      <c r="K4276" s="17" t="s">
        <v>90</v>
      </c>
      <c r="L4276">
        <v>2</v>
      </c>
    </row>
    <row r="4277" spans="1:12" x14ac:dyDescent="0.25">
      <c r="A4277" t="s">
        <v>8494</v>
      </c>
      <c r="B4277" t="s">
        <v>323</v>
      </c>
      <c r="C4277" t="s">
        <v>61</v>
      </c>
      <c r="D4277" t="s">
        <v>23</v>
      </c>
      <c r="E4277">
        <v>29</v>
      </c>
      <c r="F4277" t="s">
        <v>859</v>
      </c>
      <c r="G4277" t="s">
        <v>283</v>
      </c>
      <c r="H4277" s="2">
        <v>128591</v>
      </c>
      <c r="I4277" s="1" t="d">
        <v>2012-01-05</v>
      </c>
      <c r="J4277" t="s">
        <v>5215</v>
      </c>
      <c r="K4277" s="17" t="s">
        <v>207</v>
      </c>
      <c r="L4277">
        <v>3</v>
      </c>
    </row>
    <row r="4278" spans="1:12" x14ac:dyDescent="0.25">
      <c r="A4278" t="s">
        <v>8495</v>
      </c>
      <c r="B4278" t="s">
        <v>2222</v>
      </c>
      <c r="C4278" t="s">
        <v>961</v>
      </c>
      <c r="D4278" t="s">
        <v>9527</v>
      </c>
      <c r="E4278">
        <v>41</v>
      </c>
      <c r="F4278" t="s">
        <v>104</v>
      </c>
      <c r="G4278" t="s">
        <v>69</v>
      </c>
      <c r="H4278" s="2">
        <v>61933</v>
      </c>
      <c r="I4278" s="1" t="d">
        <v>2016-01-15</v>
      </c>
      <c r="J4278" t="s">
        <v>8496</v>
      </c>
      <c r="K4278" s="17" t="s">
        <v>50</v>
      </c>
      <c r="L4278">
        <v>5</v>
      </c>
    </row>
    <row r="4279" spans="1:12" x14ac:dyDescent="0.25">
      <c r="A4279" t="s">
        <v>8497</v>
      </c>
      <c r="B4279" t="s">
        <v>134</v>
      </c>
      <c r="C4279" t="s">
        <v>739</v>
      </c>
      <c r="D4279" t="s">
        <v>9527</v>
      </c>
      <c r="E4279">
        <v>54</v>
      </c>
      <c r="F4279" t="s">
        <v>666</v>
      </c>
      <c r="G4279" t="s">
        <v>32</v>
      </c>
      <c r="H4279">
        <v>48167</v>
      </c>
      <c r="I4279" s="1" t="d">
        <v>2022-10-25</v>
      </c>
      <c r="J4279" t="s">
        <v>2710</v>
      </c>
      <c r="K4279" s="17" t="s">
        <v>50</v>
      </c>
      <c r="L4279">
        <v>2</v>
      </c>
    </row>
    <row r="4280" spans="1:12" x14ac:dyDescent="0.25">
      <c r="A4280" t="s">
        <v>8498</v>
      </c>
      <c r="B4280" t="s">
        <v>1154</v>
      </c>
      <c r="C4280" t="s">
        <v>1859</v>
      </c>
      <c r="D4280" t="s">
        <v>46</v>
      </c>
      <c r="E4280">
        <v>48</v>
      </c>
      <c r="F4280" t="s">
        <v>153</v>
      </c>
      <c r="G4280" t="s">
        <v>2191</v>
      </c>
      <c r="H4280" t="s">
        <v>8499</v>
      </c>
      <c r="J4280" t="s">
        <v>6931</v>
      </c>
      <c r="K4280" s="17" t="s">
        <v>90</v>
      </c>
      <c r="L4280">
        <v>3</v>
      </c>
    </row>
    <row r="4281" spans="1:12" x14ac:dyDescent="0.25">
      <c r="A4281" t="s">
        <v>4624</v>
      </c>
      <c r="B4281" t="s">
        <v>709</v>
      </c>
      <c r="C4281" t="s">
        <v>624</v>
      </c>
      <c r="D4281" t="s">
        <v>46</v>
      </c>
      <c r="E4281">
        <v>45</v>
      </c>
      <c r="F4281" t="s">
        <v>216</v>
      </c>
      <c r="G4281" t="s">
        <v>69</v>
      </c>
      <c r="I4281" s="1" t="d">
        <v>2024-11-05</v>
      </c>
      <c r="J4281" t="s">
        <v>839</v>
      </c>
      <c r="K4281" s="17" t="s">
        <v>50</v>
      </c>
      <c r="L4281">
        <v>3</v>
      </c>
    </row>
    <row r="4282" spans="1:12" x14ac:dyDescent="0.25">
      <c r="A4282" t="s">
        <v>8500</v>
      </c>
      <c r="B4282" t="s">
        <v>826</v>
      </c>
      <c r="C4282" t="s">
        <v>8501</v>
      </c>
      <c r="D4282" t="s">
        <v>9527</v>
      </c>
      <c r="E4282">
        <v>48</v>
      </c>
      <c r="F4282" t="s">
        <v>1110</v>
      </c>
      <c r="G4282" t="s">
        <v>170</v>
      </c>
      <c r="H4282">
        <v>94950</v>
      </c>
      <c r="I4282" s="1" t="d">
        <v>2016-08-12</v>
      </c>
      <c r="J4282" t="s">
        <v>2666</v>
      </c>
      <c r="K4282" s="17" t="s">
        <v>71</v>
      </c>
      <c r="L4282">
        <v>3</v>
      </c>
    </row>
    <row r="4283" spans="1:12" x14ac:dyDescent="0.25">
      <c r="A4283" t="s">
        <v>8502</v>
      </c>
      <c r="B4283" t="s">
        <v>1241</v>
      </c>
      <c r="C4283" t="s">
        <v>970</v>
      </c>
      <c r="D4283" t="s">
        <v>46</v>
      </c>
      <c r="E4283">
        <v>51</v>
      </c>
      <c r="F4283" t="s">
        <v>645</v>
      </c>
      <c r="G4283" t="s">
        <v>526</v>
      </c>
      <c r="H4283">
        <v>39568</v>
      </c>
      <c r="I4283" s="1" t="d">
        <v>2014-05-25</v>
      </c>
      <c r="J4283" t="s">
        <v>4813</v>
      </c>
      <c r="K4283" s="17" t="s">
        <v>207</v>
      </c>
      <c r="L4283">
        <v>4</v>
      </c>
    </row>
    <row r="4284" spans="1:12" x14ac:dyDescent="0.25">
      <c r="A4284" t="s">
        <v>8503</v>
      </c>
      <c r="B4284" t="s">
        <v>1241</v>
      </c>
      <c r="C4284" t="s">
        <v>1194</v>
      </c>
      <c r="D4284" t="s">
        <v>9527</v>
      </c>
      <c r="E4284">
        <v>38</v>
      </c>
      <c r="F4284" t="s">
        <v>692</v>
      </c>
      <c r="G4284" t="s">
        <v>159</v>
      </c>
      <c r="H4284" t="s">
        <v>8504</v>
      </c>
      <c r="I4284" s="1" t="d">
        <v>2019-06-16</v>
      </c>
      <c r="J4284" t="s">
        <v>5645</v>
      </c>
      <c r="K4284" s="17" t="s">
        <v>207</v>
      </c>
      <c r="L4284">
        <v>4</v>
      </c>
    </row>
    <row r="4285" spans="1:12" x14ac:dyDescent="0.25">
      <c r="A4285" t="s">
        <v>8505</v>
      </c>
      <c r="B4285" t="s">
        <v>44</v>
      </c>
      <c r="C4285" t="s">
        <v>67</v>
      </c>
      <c r="D4285" t="s">
        <v>46</v>
      </c>
      <c r="E4285">
        <v>40</v>
      </c>
      <c r="F4285" t="s">
        <v>422</v>
      </c>
      <c r="G4285" t="s">
        <v>191</v>
      </c>
      <c r="H4285">
        <v>66136</v>
      </c>
      <c r="I4285" s="1" t="d">
        <v>2006-01-21</v>
      </c>
      <c r="J4285" t="s">
        <v>260</v>
      </c>
      <c r="K4285" s="17" t="s">
        <v>118</v>
      </c>
      <c r="L4285">
        <v>4</v>
      </c>
    </row>
    <row r="4286" spans="1:12" x14ac:dyDescent="0.25">
      <c r="A4286" t="s">
        <v>8506</v>
      </c>
      <c r="B4286" t="s">
        <v>151</v>
      </c>
      <c r="C4286" t="s">
        <v>244</v>
      </c>
      <c r="D4286" t="s">
        <v>23</v>
      </c>
      <c r="E4286">
        <v>49</v>
      </c>
      <c r="F4286" t="s">
        <v>24</v>
      </c>
      <c r="G4286" t="s">
        <v>55</v>
      </c>
      <c r="H4286" t="s">
        <v>8507</v>
      </c>
      <c r="J4286" t="s">
        <v>480</v>
      </c>
      <c r="K4286" s="17" t="s">
        <v>100</v>
      </c>
      <c r="L4286">
        <v>3</v>
      </c>
    </row>
    <row r="4287" spans="1:12" x14ac:dyDescent="0.25">
      <c r="A4287" t="s">
        <v>8508</v>
      </c>
      <c r="B4287" t="s">
        <v>4260</v>
      </c>
      <c r="C4287" t="s">
        <v>318</v>
      </c>
      <c r="D4287" t="s">
        <v>46</v>
      </c>
      <c r="E4287">
        <v>31</v>
      </c>
      <c r="F4287" t="s">
        <v>54</v>
      </c>
      <c r="G4287" t="s">
        <v>641</v>
      </c>
      <c r="I4287" s="1" t="d">
        <v>2013-04-09</v>
      </c>
      <c r="J4287" t="s">
        <v>3572</v>
      </c>
      <c r="K4287" s="17" t="s">
        <v>34</v>
      </c>
      <c r="L4287">
        <v>4</v>
      </c>
    </row>
    <row r="4288" spans="1:12" x14ac:dyDescent="0.25">
      <c r="A4288" t="s">
        <v>8509</v>
      </c>
      <c r="B4288" t="s">
        <v>507</v>
      </c>
      <c r="C4288" t="s">
        <v>516</v>
      </c>
      <c r="D4288" t="s">
        <v>23</v>
      </c>
      <c r="E4288">
        <v>26</v>
      </c>
      <c r="F4288" t="s">
        <v>522</v>
      </c>
      <c r="G4288" t="s">
        <v>82</v>
      </c>
      <c r="H4288">
        <v>86560</v>
      </c>
      <c r="I4288" s="1" t="d">
        <v>2016-08-27</v>
      </c>
      <c r="J4288" t="s">
        <v>8510</v>
      </c>
      <c r="K4288" s="17" t="s">
        <v>34</v>
      </c>
      <c r="L4288">
        <v>4</v>
      </c>
    </row>
    <row r="4289" spans="1:12" x14ac:dyDescent="0.25">
      <c r="A4289" t="s">
        <v>8511</v>
      </c>
      <c r="B4289" t="s">
        <v>520</v>
      </c>
      <c r="C4289" t="s">
        <v>970</v>
      </c>
      <c r="D4289" t="s">
        <v>23</v>
      </c>
      <c r="E4289">
        <v>35</v>
      </c>
      <c r="F4289" t="s">
        <v>146</v>
      </c>
      <c r="G4289" t="s">
        <v>115</v>
      </c>
      <c r="H4289" t="s">
        <v>8512</v>
      </c>
      <c r="I4289" s="1" t="d">
        <v>2019-04-05</v>
      </c>
      <c r="J4289" t="s">
        <v>1041</v>
      </c>
      <c r="K4289" s="17" t="s">
        <v>207</v>
      </c>
      <c r="L4289">
        <v>5</v>
      </c>
    </row>
    <row r="4290" spans="1:12" x14ac:dyDescent="0.25">
      <c r="A4290" t="s">
        <v>8513</v>
      </c>
      <c r="B4290" t="s">
        <v>151</v>
      </c>
      <c r="C4290" t="s">
        <v>3643</v>
      </c>
      <c r="D4290" t="s">
        <v>23</v>
      </c>
      <c r="E4290">
        <v>42</v>
      </c>
      <c r="F4290" t="s">
        <v>296</v>
      </c>
      <c r="G4290" t="s">
        <v>191</v>
      </c>
      <c r="H4290" s="2">
        <v>66110</v>
      </c>
      <c r="I4290" s="1" t="d">
        <v>2023-02-03</v>
      </c>
      <c r="J4290" t="s">
        <v>219</v>
      </c>
      <c r="K4290" s="17" t="s">
        <v>42</v>
      </c>
      <c r="L4290">
        <v>3</v>
      </c>
    </row>
    <row r="4291" spans="1:12" x14ac:dyDescent="0.25">
      <c r="A4291" t="s">
        <v>8514</v>
      </c>
      <c r="B4291" t="s">
        <v>448</v>
      </c>
      <c r="C4291" t="s">
        <v>1494</v>
      </c>
      <c r="D4291" t="s">
        <v>23</v>
      </c>
      <c r="E4291">
        <v>46</v>
      </c>
      <c r="F4291" t="s">
        <v>350</v>
      </c>
      <c r="G4291" t="s">
        <v>39</v>
      </c>
      <c r="H4291" t="s">
        <v>8515</v>
      </c>
      <c r="I4291" s="1" t="d">
        <v>2009-07-07</v>
      </c>
      <c r="J4291" t="s">
        <v>1449</v>
      </c>
      <c r="K4291" s="17" t="s">
        <v>27</v>
      </c>
      <c r="L4291">
        <v>3</v>
      </c>
    </row>
    <row r="4292" spans="1:12" x14ac:dyDescent="0.25">
      <c r="A4292" t="s">
        <v>8516</v>
      </c>
      <c r="B4292" t="s">
        <v>1181</v>
      </c>
      <c r="C4292" t="s">
        <v>22</v>
      </c>
      <c r="D4292" t="s">
        <v>23</v>
      </c>
      <c r="E4292">
        <v>36</v>
      </c>
      <c r="F4292" t="s">
        <v>47</v>
      </c>
      <c r="G4292" t="s">
        <v>170</v>
      </c>
      <c r="H4292">
        <v>57018</v>
      </c>
      <c r="I4292" s="1" t="d">
        <v>2024-07-03</v>
      </c>
      <c r="J4292" t="s">
        <v>442</v>
      </c>
      <c r="K4292" s="17" t="s">
        <v>370</v>
      </c>
      <c r="L4292">
        <v>1</v>
      </c>
    </row>
    <row r="4293" spans="1:12" x14ac:dyDescent="0.25">
      <c r="A4293" t="s">
        <v>8517</v>
      </c>
      <c r="B4293" t="s">
        <v>945</v>
      </c>
      <c r="C4293" t="s">
        <v>618</v>
      </c>
      <c r="D4293" t="s">
        <v>23</v>
      </c>
      <c r="E4293">
        <v>47</v>
      </c>
      <c r="F4293" t="s">
        <v>800</v>
      </c>
      <c r="G4293" t="s">
        <v>69</v>
      </c>
      <c r="H4293" s="2">
        <v>60501</v>
      </c>
      <c r="I4293" s="1" t="d">
        <v>2016-11-07</v>
      </c>
      <c r="J4293" t="s">
        <v>619</v>
      </c>
      <c r="K4293" s="17" t="s">
        <v>42</v>
      </c>
      <c r="L4293">
        <v>2</v>
      </c>
    </row>
    <row r="4294" spans="1:12" x14ac:dyDescent="0.25">
      <c r="A4294" t="s">
        <v>8518</v>
      </c>
      <c r="B4294" t="s">
        <v>340</v>
      </c>
      <c r="C4294" t="s">
        <v>758</v>
      </c>
      <c r="D4294" t="s">
        <v>23</v>
      </c>
      <c r="E4294">
        <v>47</v>
      </c>
      <c r="F4294" t="s">
        <v>532</v>
      </c>
      <c r="G4294" t="s">
        <v>69</v>
      </c>
      <c r="H4294" s="2">
        <v>73639</v>
      </c>
      <c r="I4294" s="1" t="d">
        <v>2019-02-18</v>
      </c>
      <c r="J4294" t="s">
        <v>761</v>
      </c>
      <c r="K4294" s="17" t="s">
        <v>90</v>
      </c>
      <c r="L4294">
        <v>4</v>
      </c>
    </row>
    <row r="4295" spans="1:12" x14ac:dyDescent="0.25">
      <c r="A4295" t="s">
        <v>8519</v>
      </c>
      <c r="B4295" t="s">
        <v>439</v>
      </c>
      <c r="C4295" t="s">
        <v>5619</v>
      </c>
      <c r="D4295" t="s">
        <v>46</v>
      </c>
      <c r="E4295">
        <v>38</v>
      </c>
      <c r="F4295" t="s">
        <v>54</v>
      </c>
      <c r="G4295" t="s">
        <v>25</v>
      </c>
      <c r="H4295" t="s">
        <v>8520</v>
      </c>
      <c r="I4295" s="1" t="d">
        <v>2006-12-04</v>
      </c>
      <c r="J4295" t="s">
        <v>260</v>
      </c>
      <c r="K4295" s="17" t="s">
        <v>207</v>
      </c>
      <c r="L4295">
        <v>2</v>
      </c>
    </row>
    <row r="4296" spans="1:12" x14ac:dyDescent="0.25">
      <c r="A4296" t="s">
        <v>8521</v>
      </c>
      <c r="B4296" t="s">
        <v>228</v>
      </c>
      <c r="C4296" t="s">
        <v>22</v>
      </c>
      <c r="D4296" t="s">
        <v>23</v>
      </c>
      <c r="E4296">
        <v>43</v>
      </c>
      <c r="F4296" t="s">
        <v>68</v>
      </c>
      <c r="G4296" t="s">
        <v>115</v>
      </c>
      <c r="H4296" s="2">
        <v>115123</v>
      </c>
      <c r="I4296" s="1" t="d">
        <v>2019-12-04</v>
      </c>
      <c r="J4296" t="s">
        <v>4158</v>
      </c>
      <c r="K4296" s="17" t="s">
        <v>90</v>
      </c>
      <c r="L4296">
        <v>3</v>
      </c>
    </row>
    <row r="4297" spans="1:12" x14ac:dyDescent="0.25">
      <c r="A4297" t="s">
        <v>8522</v>
      </c>
      <c r="B4297" t="s">
        <v>993</v>
      </c>
      <c r="C4297" t="s">
        <v>341</v>
      </c>
      <c r="D4297" t="s">
        <v>46</v>
      </c>
      <c r="E4297">
        <v>41</v>
      </c>
      <c r="F4297" t="s">
        <v>411</v>
      </c>
      <c r="G4297" t="s">
        <v>48</v>
      </c>
      <c r="H4297" t="s">
        <v>8523</v>
      </c>
      <c r="I4297" s="1" t="d">
        <v>2024-12-16</v>
      </c>
      <c r="J4297" t="s">
        <v>7735</v>
      </c>
      <c r="K4297" s="17" t="s">
        <v>90</v>
      </c>
      <c r="L4297">
        <v>1</v>
      </c>
    </row>
    <row r="4298" spans="1:12" x14ac:dyDescent="0.25">
      <c r="A4298" t="s">
        <v>8524</v>
      </c>
      <c r="B4298" t="s">
        <v>1896</v>
      </c>
      <c r="C4298" t="s">
        <v>103</v>
      </c>
      <c r="D4298" t="s">
        <v>9527</v>
      </c>
      <c r="E4298">
        <v>35</v>
      </c>
      <c r="G4298" t="s">
        <v>177</v>
      </c>
      <c r="H4298" t="s">
        <v>8525</v>
      </c>
      <c r="I4298" s="1" t="d">
        <v>2021-08-12</v>
      </c>
      <c r="J4298" t="s">
        <v>2924</v>
      </c>
      <c r="K4298" s="17" t="s">
        <v>100</v>
      </c>
      <c r="L4298">
        <v>3</v>
      </c>
    </row>
    <row r="4299" spans="1:12" x14ac:dyDescent="0.25">
      <c r="A4299" t="s">
        <v>8526</v>
      </c>
      <c r="B4299" t="s">
        <v>467</v>
      </c>
      <c r="C4299" t="s">
        <v>966</v>
      </c>
      <c r="D4299" t="s">
        <v>9527</v>
      </c>
      <c r="E4299">
        <v>49</v>
      </c>
      <c r="F4299" t="s">
        <v>258</v>
      </c>
      <c r="G4299" t="s">
        <v>283</v>
      </c>
      <c r="H4299" s="2">
        <v>109667</v>
      </c>
      <c r="I4299" s="1" t="d">
        <v>2015-09-06</v>
      </c>
      <c r="J4299" t="s">
        <v>2935</v>
      </c>
      <c r="K4299" s="17" t="s">
        <v>118</v>
      </c>
      <c r="L4299">
        <v>3</v>
      </c>
    </row>
    <row r="4300" spans="1:12" x14ac:dyDescent="0.25">
      <c r="A4300" t="s">
        <v>8527</v>
      </c>
      <c r="B4300" t="s">
        <v>594</v>
      </c>
      <c r="C4300" t="s">
        <v>145</v>
      </c>
      <c r="D4300" t="s">
        <v>9527</v>
      </c>
      <c r="E4300">
        <v>24</v>
      </c>
      <c r="G4300" t="s">
        <v>337</v>
      </c>
      <c r="I4300" s="1" t="d">
        <v>2011-08-02</v>
      </c>
      <c r="J4300" t="s">
        <v>197</v>
      </c>
      <c r="K4300" s="17" t="s">
        <v>19</v>
      </c>
      <c r="L4300">
        <v>4</v>
      </c>
    </row>
    <row r="4301" spans="1:12" x14ac:dyDescent="0.25">
      <c r="A4301" t="s">
        <v>7341</v>
      </c>
      <c r="B4301" t="s">
        <v>221</v>
      </c>
      <c r="C4301" t="s">
        <v>107</v>
      </c>
      <c r="D4301" t="s">
        <v>23</v>
      </c>
      <c r="E4301">
        <v>40</v>
      </c>
      <c r="F4301" t="s">
        <v>859</v>
      </c>
      <c r="G4301" t="s">
        <v>170</v>
      </c>
      <c r="I4301" s="1" t="d">
        <v>2012-01-08</v>
      </c>
      <c r="J4301" t="s">
        <v>5024</v>
      </c>
      <c r="K4301" s="17" t="s">
        <v>34</v>
      </c>
      <c r="L4301">
        <v>4</v>
      </c>
    </row>
    <row r="4302" spans="1:12" x14ac:dyDescent="0.25">
      <c r="A4302" t="s">
        <v>8528</v>
      </c>
      <c r="B4302" t="s">
        <v>695</v>
      </c>
      <c r="C4302" t="s">
        <v>140</v>
      </c>
      <c r="D4302" t="s">
        <v>46</v>
      </c>
      <c r="E4302">
        <v>30</v>
      </c>
      <c r="F4302" t="s">
        <v>114</v>
      </c>
      <c r="G4302" t="s">
        <v>706</v>
      </c>
      <c r="I4302" s="1" t="d">
        <v>2019-04-08</v>
      </c>
      <c r="J4302" t="s">
        <v>1745</v>
      </c>
      <c r="K4302" s="17" t="s">
        <v>149</v>
      </c>
      <c r="L4302">
        <v>3</v>
      </c>
    </row>
    <row r="4303" spans="1:12" x14ac:dyDescent="0.25">
      <c r="A4303" t="s">
        <v>8529</v>
      </c>
      <c r="B4303" t="s">
        <v>1403</v>
      </c>
      <c r="C4303" t="s">
        <v>36</v>
      </c>
      <c r="D4303" t="s">
        <v>46</v>
      </c>
      <c r="E4303">
        <v>39</v>
      </c>
      <c r="F4303" t="s">
        <v>406</v>
      </c>
      <c r="G4303" t="s">
        <v>88</v>
      </c>
      <c r="H4303" t="s">
        <v>8530</v>
      </c>
      <c r="I4303" s="1" t="d">
        <v>2011-01-30</v>
      </c>
      <c r="J4303" t="s">
        <v>1968</v>
      </c>
      <c r="K4303" s="17" t="s">
        <v>27</v>
      </c>
      <c r="L4303">
        <v>2</v>
      </c>
    </row>
    <row r="4304" spans="1:12" x14ac:dyDescent="0.25">
      <c r="A4304" t="s">
        <v>8531</v>
      </c>
      <c r="B4304" t="s">
        <v>167</v>
      </c>
      <c r="C4304" t="s">
        <v>1622</v>
      </c>
      <c r="D4304" t="s">
        <v>46</v>
      </c>
      <c r="E4304">
        <v>21</v>
      </c>
      <c r="F4304" t="s">
        <v>918</v>
      </c>
      <c r="G4304" t="s">
        <v>996</v>
      </c>
      <c r="H4304">
        <v>176034</v>
      </c>
      <c r="I4304" s="1" t="d">
        <v>2020-09-02</v>
      </c>
      <c r="J4304" t="s">
        <v>7474</v>
      </c>
      <c r="K4304" s="17" t="s">
        <v>34</v>
      </c>
      <c r="L4304">
        <v>2</v>
      </c>
    </row>
    <row r="4305" spans="1:12" x14ac:dyDescent="0.25">
      <c r="A4305" t="s">
        <v>8532</v>
      </c>
      <c r="B4305" t="s">
        <v>583</v>
      </c>
      <c r="C4305" t="s">
        <v>607</v>
      </c>
      <c r="D4305" t="s">
        <v>23</v>
      </c>
      <c r="E4305">
        <v>39</v>
      </c>
      <c r="G4305" t="s">
        <v>82</v>
      </c>
      <c r="H4305" t="s">
        <v>8533</v>
      </c>
      <c r="I4305" s="1" t="d">
        <v>2013-09-09</v>
      </c>
      <c r="J4305" t="s">
        <v>7402</v>
      </c>
      <c r="K4305" s="17" t="s">
        <v>370</v>
      </c>
      <c r="L4305">
        <v>3</v>
      </c>
    </row>
    <row r="4306" spans="1:12" x14ac:dyDescent="0.25">
      <c r="A4306" t="s">
        <v>8534</v>
      </c>
      <c r="B4306" t="s">
        <v>594</v>
      </c>
      <c r="C4306" t="s">
        <v>1520</v>
      </c>
      <c r="D4306" t="s">
        <v>23</v>
      </c>
      <c r="E4306">
        <v>41</v>
      </c>
      <c r="F4306" t="s">
        <v>649</v>
      </c>
      <c r="G4306" t="s">
        <v>39</v>
      </c>
      <c r="H4306" t="s">
        <v>8535</v>
      </c>
      <c r="I4306" s="1" t="d">
        <v>2019-02-20</v>
      </c>
      <c r="J4306" t="s">
        <v>8536</v>
      </c>
      <c r="K4306" s="17" t="s">
        <v>34</v>
      </c>
      <c r="L4306">
        <v>3</v>
      </c>
    </row>
    <row r="4307" spans="1:12" x14ac:dyDescent="0.25">
      <c r="A4307" t="s">
        <v>8537</v>
      </c>
      <c r="B4307" t="s">
        <v>709</v>
      </c>
      <c r="C4307" t="s">
        <v>521</v>
      </c>
      <c r="D4307" t="s">
        <v>46</v>
      </c>
      <c r="E4307">
        <v>30</v>
      </c>
      <c r="F4307" t="s">
        <v>186</v>
      </c>
      <c r="G4307" t="s">
        <v>82</v>
      </c>
      <c r="H4307" t="s">
        <v>8538</v>
      </c>
      <c r="I4307" s="1" t="d">
        <v>2008-10-04</v>
      </c>
      <c r="J4307" t="s">
        <v>4430</v>
      </c>
      <c r="K4307" s="17" t="s">
        <v>19</v>
      </c>
      <c r="L4307">
        <v>3</v>
      </c>
    </row>
    <row r="4308" spans="1:12" x14ac:dyDescent="0.25">
      <c r="A4308" t="s">
        <v>8539</v>
      </c>
      <c r="B4308" t="s">
        <v>1689</v>
      </c>
      <c r="C4308" t="s">
        <v>318</v>
      </c>
      <c r="D4308" t="s">
        <v>9527</v>
      </c>
      <c r="E4308">
        <v>49</v>
      </c>
      <c r="F4308" t="s">
        <v>200</v>
      </c>
      <c r="G4308" t="s">
        <v>191</v>
      </c>
      <c r="H4308">
        <v>84358</v>
      </c>
      <c r="I4308" s="1" t="d">
        <v>2019-11-09</v>
      </c>
      <c r="J4308" t="s">
        <v>7050</v>
      </c>
      <c r="K4308" s="17" t="s">
        <v>207</v>
      </c>
      <c r="L4308">
        <v>3</v>
      </c>
    </row>
    <row r="4309" spans="1:12" x14ac:dyDescent="0.25">
      <c r="A4309" t="s">
        <v>8540</v>
      </c>
      <c r="B4309" t="s">
        <v>6738</v>
      </c>
      <c r="C4309" t="s">
        <v>268</v>
      </c>
      <c r="D4309" t="s">
        <v>9527</v>
      </c>
      <c r="E4309">
        <v>40</v>
      </c>
      <c r="F4309" t="s">
        <v>1116</v>
      </c>
      <c r="G4309" t="s">
        <v>842</v>
      </c>
      <c r="H4309" t="s">
        <v>8541</v>
      </c>
      <c r="I4309" s="1" t="d">
        <v>2015-06-20</v>
      </c>
      <c r="J4309" t="s">
        <v>1510</v>
      </c>
      <c r="K4309" s="17" t="s">
        <v>71</v>
      </c>
      <c r="L4309">
        <v>4</v>
      </c>
    </row>
    <row r="4310" spans="1:12" x14ac:dyDescent="0.25">
      <c r="A4310" t="s">
        <v>8542</v>
      </c>
      <c r="B4310" t="s">
        <v>5084</v>
      </c>
      <c r="C4310" t="s">
        <v>618</v>
      </c>
      <c r="D4310" t="s">
        <v>9527</v>
      </c>
      <c r="E4310">
        <v>34</v>
      </c>
      <c r="F4310" t="s">
        <v>68</v>
      </c>
      <c r="G4310" t="s">
        <v>115</v>
      </c>
      <c r="H4310" t="s">
        <v>8543</v>
      </c>
      <c r="I4310" s="1" t="d">
        <v>2020-07-27</v>
      </c>
      <c r="J4310" t="s">
        <v>8544</v>
      </c>
      <c r="K4310" s="17" t="s">
        <v>58</v>
      </c>
      <c r="L4310">
        <v>5</v>
      </c>
    </row>
    <row r="4311" spans="1:12" x14ac:dyDescent="0.25">
      <c r="A4311" t="s">
        <v>8545</v>
      </c>
      <c r="B4311" t="s">
        <v>769</v>
      </c>
      <c r="C4311" t="s">
        <v>225</v>
      </c>
      <c r="D4311" t="s">
        <v>9527</v>
      </c>
      <c r="E4311">
        <v>41</v>
      </c>
      <c r="F4311" t="s">
        <v>200</v>
      </c>
      <c r="G4311" t="s">
        <v>1215</v>
      </c>
      <c r="H4311" s="2">
        <v>83786</v>
      </c>
      <c r="I4311" s="1" t="d">
        <v>2005-07-28</v>
      </c>
      <c r="J4311" t="s">
        <v>3292</v>
      </c>
      <c r="K4311" s="17" t="s">
        <v>100</v>
      </c>
      <c r="L4311">
        <v>3</v>
      </c>
    </row>
    <row r="4312" spans="1:12" x14ac:dyDescent="0.25">
      <c r="A4312" t="s">
        <v>8546</v>
      </c>
      <c r="B4312" t="s">
        <v>394</v>
      </c>
      <c r="C4312" t="s">
        <v>457</v>
      </c>
      <c r="D4312" t="s">
        <v>23</v>
      </c>
      <c r="E4312">
        <v>37</v>
      </c>
      <c r="F4312" t="s">
        <v>196</v>
      </c>
      <c r="G4312" t="s">
        <v>55</v>
      </c>
      <c r="H4312" t="s">
        <v>8547</v>
      </c>
      <c r="I4312" s="1" t="d">
        <v>2019-10-21</v>
      </c>
      <c r="J4312" t="s">
        <v>1903</v>
      </c>
      <c r="K4312" s="17" t="s">
        <v>42</v>
      </c>
      <c r="L4312">
        <v>3</v>
      </c>
    </row>
    <row r="4313" spans="1:12" x14ac:dyDescent="0.25">
      <c r="A4313" t="s">
        <v>8548</v>
      </c>
      <c r="B4313" t="s">
        <v>130</v>
      </c>
      <c r="C4313" t="s">
        <v>763</v>
      </c>
      <c r="D4313" t="s">
        <v>23</v>
      </c>
      <c r="E4313">
        <v>41</v>
      </c>
      <c r="F4313" t="s">
        <v>114</v>
      </c>
      <c r="G4313" t="s">
        <v>191</v>
      </c>
      <c r="H4313" t="s">
        <v>8549</v>
      </c>
      <c r="I4313" s="1" t="d">
        <v>2008-09-24</v>
      </c>
      <c r="J4313" t="s">
        <v>3621</v>
      </c>
      <c r="K4313" s="17" t="s">
        <v>50</v>
      </c>
      <c r="L4313">
        <v>5</v>
      </c>
    </row>
    <row r="4314" spans="1:12" x14ac:dyDescent="0.25">
      <c r="A4314" t="s">
        <v>5937</v>
      </c>
      <c r="B4314" t="s">
        <v>1241</v>
      </c>
      <c r="C4314" t="s">
        <v>252</v>
      </c>
      <c r="D4314" t="s">
        <v>9527</v>
      </c>
      <c r="E4314">
        <v>56</v>
      </c>
      <c r="F4314" t="s">
        <v>15</v>
      </c>
      <c r="G4314" t="s">
        <v>357</v>
      </c>
      <c r="H4314">
        <v>131614</v>
      </c>
      <c r="I4314" s="1" t="d">
        <v>2012-05-10</v>
      </c>
      <c r="J4314" t="s">
        <v>5938</v>
      </c>
      <c r="K4314" s="17" t="s">
        <v>19</v>
      </c>
      <c r="L4314">
        <v>3</v>
      </c>
    </row>
    <row r="4315" spans="1:12" x14ac:dyDescent="0.25">
      <c r="A4315" t="s">
        <v>8550</v>
      </c>
      <c r="B4315" t="s">
        <v>1382</v>
      </c>
      <c r="C4315" t="s">
        <v>790</v>
      </c>
      <c r="D4315" t="s">
        <v>23</v>
      </c>
      <c r="E4315">
        <v>40</v>
      </c>
      <c r="F4315" t="s">
        <v>81</v>
      </c>
      <c r="G4315" t="s">
        <v>378</v>
      </c>
      <c r="H4315" t="s">
        <v>8551</v>
      </c>
      <c r="I4315" s="1" t="d">
        <v>2009-03-29</v>
      </c>
      <c r="J4315" t="s">
        <v>2829</v>
      </c>
      <c r="K4315" s="17" t="s">
        <v>207</v>
      </c>
      <c r="L4315">
        <v>4</v>
      </c>
    </row>
    <row r="4316" spans="1:12" x14ac:dyDescent="0.25">
      <c r="A4316" t="s">
        <v>3361</v>
      </c>
      <c r="B4316" t="s">
        <v>139</v>
      </c>
      <c r="C4316" t="s">
        <v>2023</v>
      </c>
      <c r="D4316" t="s">
        <v>46</v>
      </c>
      <c r="E4316">
        <v>41</v>
      </c>
      <c r="F4316" t="s">
        <v>258</v>
      </c>
      <c r="G4316" t="s">
        <v>1215</v>
      </c>
      <c r="H4316" t="s">
        <v>3362</v>
      </c>
      <c r="I4316" s="1" t="d">
        <v>2013-12-07</v>
      </c>
      <c r="J4316" t="s">
        <v>3363</v>
      </c>
      <c r="K4316" s="17" t="s">
        <v>207</v>
      </c>
      <c r="L4316">
        <v>3</v>
      </c>
    </row>
    <row r="4317" spans="1:12" x14ac:dyDescent="0.25">
      <c r="A4317" t="s">
        <v>8552</v>
      </c>
      <c r="B4317" t="s">
        <v>1706</v>
      </c>
      <c r="C4317" t="s">
        <v>2562</v>
      </c>
      <c r="D4317" t="s">
        <v>23</v>
      </c>
      <c r="E4317">
        <v>30</v>
      </c>
      <c r="F4317" t="s">
        <v>350</v>
      </c>
      <c r="G4317" t="s">
        <v>39</v>
      </c>
      <c r="H4317" t="s">
        <v>8553</v>
      </c>
      <c r="I4317" s="1" t="d">
        <v>2020-09-13</v>
      </c>
      <c r="J4317" t="s">
        <v>3265</v>
      </c>
      <c r="K4317" s="17" t="s">
        <v>19</v>
      </c>
      <c r="L4317">
        <v>4</v>
      </c>
    </row>
    <row r="4318" spans="1:12" x14ac:dyDescent="0.25">
      <c r="A4318" t="s">
        <v>6287</v>
      </c>
      <c r="B4318" t="s">
        <v>1382</v>
      </c>
      <c r="C4318" t="s">
        <v>1901</v>
      </c>
      <c r="D4318" t="s">
        <v>23</v>
      </c>
      <c r="E4318">
        <v>37</v>
      </c>
      <c r="F4318" t="s">
        <v>859</v>
      </c>
      <c r="G4318" t="s">
        <v>48</v>
      </c>
      <c r="H4318">
        <v>62541</v>
      </c>
      <c r="I4318" s="1" t="d">
        <v>2012-05-16</v>
      </c>
      <c r="J4318" t="s">
        <v>279</v>
      </c>
      <c r="K4318" s="17" t="s">
        <v>42</v>
      </c>
      <c r="L4318">
        <v>4</v>
      </c>
    </row>
    <row r="4319" spans="1:12" x14ac:dyDescent="0.25">
      <c r="A4319" t="s">
        <v>8554</v>
      </c>
      <c r="B4319" t="s">
        <v>1124</v>
      </c>
      <c r="C4319" t="s">
        <v>145</v>
      </c>
      <c r="D4319" t="s">
        <v>46</v>
      </c>
      <c r="E4319">
        <v>27</v>
      </c>
      <c r="F4319" t="s">
        <v>186</v>
      </c>
      <c r="G4319" t="s">
        <v>1133</v>
      </c>
      <c r="H4319">
        <v>182690</v>
      </c>
      <c r="I4319" s="1" t="d">
        <v>2022-03-21</v>
      </c>
      <c r="J4319" t="s">
        <v>5041</v>
      </c>
      <c r="K4319" s="17" t="s">
        <v>90</v>
      </c>
      <c r="L4319">
        <v>4</v>
      </c>
    </row>
    <row r="4320" spans="1:12" x14ac:dyDescent="0.25">
      <c r="A4320" t="s">
        <v>8555</v>
      </c>
      <c r="B4320" t="s">
        <v>410</v>
      </c>
      <c r="C4320" t="s">
        <v>1657</v>
      </c>
      <c r="D4320" t="s">
        <v>46</v>
      </c>
      <c r="E4320">
        <v>34</v>
      </c>
      <c r="F4320" t="s">
        <v>153</v>
      </c>
      <c r="G4320" t="s">
        <v>177</v>
      </c>
      <c r="H4320" t="s">
        <v>8556</v>
      </c>
      <c r="I4320" s="1" t="d">
        <v>2020-11-26</v>
      </c>
      <c r="J4320" t="s">
        <v>8367</v>
      </c>
      <c r="K4320" s="17" t="s">
        <v>50</v>
      </c>
      <c r="L4320">
        <v>4</v>
      </c>
    </row>
    <row r="4321" spans="1:12" x14ac:dyDescent="0.25">
      <c r="A4321" t="s">
        <v>8557</v>
      </c>
      <c r="B4321" t="s">
        <v>86</v>
      </c>
      <c r="C4321" t="s">
        <v>869</v>
      </c>
      <c r="D4321" t="s">
        <v>23</v>
      </c>
      <c r="E4321">
        <v>21</v>
      </c>
      <c r="F4321" t="s">
        <v>356</v>
      </c>
      <c r="G4321" t="s">
        <v>231</v>
      </c>
      <c r="H4321" t="s">
        <v>8558</v>
      </c>
      <c r="I4321" s="1" t="d">
        <v>2008-05-03</v>
      </c>
      <c r="J4321" t="s">
        <v>7471</v>
      </c>
      <c r="K4321" s="17" t="s">
        <v>149</v>
      </c>
      <c r="L4321">
        <v>4</v>
      </c>
    </row>
    <row r="4322" spans="1:12" x14ac:dyDescent="0.25">
      <c r="A4322" t="s">
        <v>8559</v>
      </c>
      <c r="B4322" t="s">
        <v>8560</v>
      </c>
      <c r="C4322" t="s">
        <v>1770</v>
      </c>
      <c r="D4322" t="s">
        <v>46</v>
      </c>
      <c r="E4322">
        <v>32</v>
      </c>
      <c r="F4322" t="s">
        <v>62</v>
      </c>
      <c r="G4322" t="s">
        <v>1285</v>
      </c>
      <c r="H4322" t="s">
        <v>8561</v>
      </c>
      <c r="I4322" s="1" t="d">
        <v>2024-05-02</v>
      </c>
      <c r="J4322" t="s">
        <v>8562</v>
      </c>
      <c r="K4322" s="17" t="s">
        <v>71</v>
      </c>
      <c r="L4322">
        <v>2</v>
      </c>
    </row>
    <row r="4323" spans="1:12" x14ac:dyDescent="0.25">
      <c r="A4323" t="s">
        <v>8563</v>
      </c>
      <c r="B4323" t="s">
        <v>2856</v>
      </c>
      <c r="C4323" t="s">
        <v>516</v>
      </c>
      <c r="D4323" t="s">
        <v>23</v>
      </c>
      <c r="E4323">
        <v>58</v>
      </c>
      <c r="F4323" t="s">
        <v>350</v>
      </c>
      <c r="G4323" t="s">
        <v>177</v>
      </c>
      <c r="H4323">
        <v>48243</v>
      </c>
      <c r="I4323" s="1" t="d">
        <v>2019-03-02</v>
      </c>
      <c r="J4323" t="s">
        <v>8510</v>
      </c>
      <c r="K4323" s="17" t="s">
        <v>370</v>
      </c>
      <c r="L4323">
        <v>4</v>
      </c>
    </row>
    <row r="4324" spans="1:12" x14ac:dyDescent="0.25">
      <c r="A4324" t="s">
        <v>8564</v>
      </c>
      <c r="B4324" t="s">
        <v>2847</v>
      </c>
      <c r="C4324" t="s">
        <v>215</v>
      </c>
      <c r="D4324" t="s">
        <v>9527</v>
      </c>
      <c r="E4324">
        <v>21</v>
      </c>
      <c r="F4324" t="s">
        <v>522</v>
      </c>
      <c r="G4324" t="s">
        <v>16</v>
      </c>
      <c r="H4324" s="2">
        <v>132963</v>
      </c>
      <c r="I4324" s="1" t="d">
        <v>2019-10-04</v>
      </c>
      <c r="J4324" t="s">
        <v>3171</v>
      </c>
      <c r="K4324" s="17" t="s">
        <v>50</v>
      </c>
      <c r="L4324">
        <v>2</v>
      </c>
    </row>
    <row r="4325" spans="1:12" x14ac:dyDescent="0.25">
      <c r="A4325" t="s">
        <v>8565</v>
      </c>
      <c r="B4325" t="s">
        <v>404</v>
      </c>
      <c r="C4325" t="s">
        <v>67</v>
      </c>
      <c r="D4325" t="s">
        <v>23</v>
      </c>
      <c r="E4325">
        <v>37</v>
      </c>
      <c r="F4325" t="s">
        <v>211</v>
      </c>
      <c r="G4325" t="s">
        <v>115</v>
      </c>
      <c r="H4325" t="s">
        <v>8566</v>
      </c>
      <c r="I4325" s="1" t="d">
        <v>2007-12-01</v>
      </c>
      <c r="J4325" t="s">
        <v>6325</v>
      </c>
      <c r="K4325" s="17" t="s">
        <v>34</v>
      </c>
      <c r="L4325">
        <v>4</v>
      </c>
    </row>
    <row r="4326" spans="1:12" x14ac:dyDescent="0.25">
      <c r="A4326" t="s">
        <v>8567</v>
      </c>
      <c r="B4326" t="s">
        <v>5484</v>
      </c>
      <c r="C4326" t="s">
        <v>540</v>
      </c>
      <c r="D4326" t="s">
        <v>23</v>
      </c>
      <c r="E4326">
        <v>24</v>
      </c>
      <c r="F4326" t="s">
        <v>54</v>
      </c>
      <c r="G4326" t="s">
        <v>16</v>
      </c>
      <c r="H4326" t="s">
        <v>8568</v>
      </c>
      <c r="I4326" s="1" t="d">
        <v>2016-11-18</v>
      </c>
      <c r="J4326" t="s">
        <v>366</v>
      </c>
      <c r="K4326" s="17" t="s">
        <v>207</v>
      </c>
      <c r="L4326">
        <v>4</v>
      </c>
    </row>
    <row r="4327" spans="1:12" x14ac:dyDescent="0.25">
      <c r="A4327" t="s">
        <v>8569</v>
      </c>
      <c r="B4327" t="s">
        <v>112</v>
      </c>
      <c r="C4327" t="s">
        <v>22</v>
      </c>
      <c r="D4327" t="s">
        <v>46</v>
      </c>
      <c r="E4327">
        <v>44</v>
      </c>
      <c r="F4327" t="s">
        <v>196</v>
      </c>
      <c r="G4327" t="s">
        <v>69</v>
      </c>
      <c r="H4327">
        <v>44581</v>
      </c>
      <c r="I4327" s="1" t="d">
        <v>2006-10-08</v>
      </c>
      <c r="J4327" t="s">
        <v>884</v>
      </c>
      <c r="K4327" s="17" t="s">
        <v>100</v>
      </c>
      <c r="L4327">
        <v>3</v>
      </c>
    </row>
    <row r="4328" spans="1:12" x14ac:dyDescent="0.25">
      <c r="A4328" t="s">
        <v>8570</v>
      </c>
      <c r="B4328" t="s">
        <v>8571</v>
      </c>
      <c r="C4328" t="s">
        <v>1320</v>
      </c>
      <c r="D4328" t="s">
        <v>46</v>
      </c>
      <c r="E4328">
        <v>47</v>
      </c>
      <c r="F4328" t="s">
        <v>365</v>
      </c>
      <c r="G4328" t="s">
        <v>115</v>
      </c>
      <c r="H4328">
        <v>58935</v>
      </c>
      <c r="I4328" s="1" t="d">
        <v>2018-08-21</v>
      </c>
      <c r="J4328" t="s">
        <v>3821</v>
      </c>
      <c r="K4328" s="17" t="s">
        <v>27</v>
      </c>
      <c r="L4328">
        <v>4</v>
      </c>
    </row>
    <row r="4329" spans="1:12" x14ac:dyDescent="0.25">
      <c r="A4329" t="s">
        <v>8572</v>
      </c>
      <c r="B4329" t="s">
        <v>3852</v>
      </c>
      <c r="C4329" t="s">
        <v>758</v>
      </c>
      <c r="D4329" t="s">
        <v>9527</v>
      </c>
      <c r="E4329">
        <v>31</v>
      </c>
      <c r="F4329" t="s">
        <v>126</v>
      </c>
      <c r="G4329" t="s">
        <v>351</v>
      </c>
      <c r="H4329" t="s">
        <v>8573</v>
      </c>
      <c r="I4329" s="1" t="d">
        <v>2014-04-27</v>
      </c>
      <c r="J4329" t="s">
        <v>6355</v>
      </c>
      <c r="K4329" s="17" t="s">
        <v>58</v>
      </c>
      <c r="L4329">
        <v>5</v>
      </c>
    </row>
    <row r="4330" spans="1:12" x14ac:dyDescent="0.25">
      <c r="A4330" t="s">
        <v>8574</v>
      </c>
      <c r="B4330" t="s">
        <v>769</v>
      </c>
      <c r="C4330" t="s">
        <v>332</v>
      </c>
      <c r="D4330" t="s">
        <v>46</v>
      </c>
      <c r="E4330">
        <v>22</v>
      </c>
      <c r="F4330" t="s">
        <v>422</v>
      </c>
      <c r="G4330" t="s">
        <v>387</v>
      </c>
      <c r="H4330" t="s">
        <v>8575</v>
      </c>
      <c r="I4330" s="1" t="d">
        <v>2019-09-19</v>
      </c>
      <c r="J4330" t="s">
        <v>4009</v>
      </c>
      <c r="K4330" s="17" t="s">
        <v>27</v>
      </c>
      <c r="L4330">
        <v>5</v>
      </c>
    </row>
    <row r="4331" spans="1:12" x14ac:dyDescent="0.25">
      <c r="A4331" t="s">
        <v>8576</v>
      </c>
      <c r="B4331" t="s">
        <v>482</v>
      </c>
      <c r="C4331" t="s">
        <v>488</v>
      </c>
      <c r="D4331" t="s">
        <v>23</v>
      </c>
      <c r="E4331">
        <v>31</v>
      </c>
      <c r="F4331" t="s">
        <v>153</v>
      </c>
      <c r="G4331" t="s">
        <v>82</v>
      </c>
      <c r="H4331" t="s">
        <v>8577</v>
      </c>
      <c r="I4331" s="1" t="d">
        <v>2020-06-02</v>
      </c>
      <c r="J4331" t="s">
        <v>489</v>
      </c>
      <c r="K4331" s="17" t="s">
        <v>71</v>
      </c>
      <c r="L4331">
        <v>4</v>
      </c>
    </row>
    <row r="4332" spans="1:12" x14ac:dyDescent="0.25">
      <c r="A4332" t="s">
        <v>8578</v>
      </c>
      <c r="B4332" t="s">
        <v>199</v>
      </c>
      <c r="C4332" t="s">
        <v>291</v>
      </c>
      <c r="D4332" t="s">
        <v>23</v>
      </c>
      <c r="E4332">
        <v>42</v>
      </c>
      <c r="F4332" t="s">
        <v>373</v>
      </c>
      <c r="G4332" t="s">
        <v>217</v>
      </c>
      <c r="H4332" t="s">
        <v>8579</v>
      </c>
      <c r="J4332" t="s">
        <v>6496</v>
      </c>
      <c r="K4332" s="17" t="s">
        <v>42</v>
      </c>
      <c r="L4332">
        <v>4</v>
      </c>
    </row>
    <row r="4333" spans="1:12" x14ac:dyDescent="0.25">
      <c r="A4333" t="s">
        <v>8580</v>
      </c>
      <c r="B4333" t="s">
        <v>1301</v>
      </c>
      <c r="C4333" t="s">
        <v>1494</v>
      </c>
      <c r="D4333" t="s">
        <v>23</v>
      </c>
      <c r="E4333">
        <v>29</v>
      </c>
      <c r="F4333" t="s">
        <v>31</v>
      </c>
      <c r="G4333" t="s">
        <v>337</v>
      </c>
      <c r="H4333" t="s">
        <v>8581</v>
      </c>
      <c r="I4333" s="1" t="d">
        <v>2017-06-21</v>
      </c>
      <c r="J4333" t="s">
        <v>1338</v>
      </c>
      <c r="K4333" s="17" t="s">
        <v>370</v>
      </c>
      <c r="L4333">
        <v>4</v>
      </c>
    </row>
    <row r="4334" spans="1:12" x14ac:dyDescent="0.25">
      <c r="A4334" t="s">
        <v>8582</v>
      </c>
      <c r="B4334" t="s">
        <v>2041</v>
      </c>
      <c r="C4334" t="s">
        <v>22</v>
      </c>
      <c r="D4334" t="s">
        <v>23</v>
      </c>
      <c r="E4334">
        <v>30</v>
      </c>
      <c r="F4334" t="s">
        <v>989</v>
      </c>
      <c r="G4334" t="s">
        <v>39</v>
      </c>
      <c r="H4334" s="2">
        <v>50741</v>
      </c>
      <c r="I4334" s="1" t="d">
        <v>2005-08-30</v>
      </c>
      <c r="J4334" t="s">
        <v>2340</v>
      </c>
      <c r="K4334" s="17" t="s">
        <v>100</v>
      </c>
      <c r="L4334">
        <v>5</v>
      </c>
    </row>
    <row r="4335" spans="1:12" x14ac:dyDescent="0.25">
      <c r="A4335" t="s">
        <v>8583</v>
      </c>
      <c r="B4335" t="s">
        <v>8584</v>
      </c>
      <c r="C4335" t="s">
        <v>970</v>
      </c>
      <c r="D4335" t="s">
        <v>46</v>
      </c>
      <c r="E4335">
        <v>49</v>
      </c>
      <c r="F4335" t="s">
        <v>422</v>
      </c>
      <c r="G4335" t="s">
        <v>967</v>
      </c>
      <c r="H4335" t="s">
        <v>8585</v>
      </c>
      <c r="I4335" s="1" t="d">
        <v>2012-12-06</v>
      </c>
      <c r="J4335" t="s">
        <v>2240</v>
      </c>
      <c r="K4335" s="17" t="s">
        <v>42</v>
      </c>
      <c r="L4335">
        <v>5</v>
      </c>
    </row>
    <row r="4336" spans="1:12" x14ac:dyDescent="0.25">
      <c r="A4336" t="s">
        <v>8586</v>
      </c>
      <c r="B4336" t="s">
        <v>139</v>
      </c>
      <c r="C4336" t="s">
        <v>135</v>
      </c>
      <c r="D4336" t="s">
        <v>23</v>
      </c>
      <c r="E4336">
        <v>28</v>
      </c>
      <c r="G4336" t="s">
        <v>351</v>
      </c>
      <c r="H4336">
        <v>42760</v>
      </c>
      <c r="I4336" s="1" t="d">
        <v>2017-11-03</v>
      </c>
      <c r="J4336" t="s">
        <v>2198</v>
      </c>
      <c r="K4336" s="17" t="s">
        <v>42</v>
      </c>
      <c r="L4336">
        <v>4</v>
      </c>
    </row>
    <row r="4337" spans="1:12" x14ac:dyDescent="0.25">
      <c r="A4337" t="s">
        <v>8587</v>
      </c>
      <c r="B4337" t="s">
        <v>664</v>
      </c>
      <c r="C4337" t="s">
        <v>300</v>
      </c>
      <c r="D4337" t="s">
        <v>46</v>
      </c>
      <c r="E4337">
        <v>52</v>
      </c>
      <c r="F4337" t="s">
        <v>4293</v>
      </c>
      <c r="G4337" t="s">
        <v>159</v>
      </c>
      <c r="H4337" s="2">
        <v>69001</v>
      </c>
      <c r="I4337" s="1" t="d">
        <v>2024-08-26</v>
      </c>
      <c r="J4337" t="s">
        <v>2484</v>
      </c>
      <c r="K4337" s="17" t="s">
        <v>184</v>
      </c>
      <c r="L4337">
        <v>4</v>
      </c>
    </row>
    <row r="4338" spans="1:12" x14ac:dyDescent="0.25">
      <c r="A4338" t="s">
        <v>8588</v>
      </c>
      <c r="B4338" t="s">
        <v>139</v>
      </c>
      <c r="C4338" t="s">
        <v>140</v>
      </c>
      <c r="D4338" t="s">
        <v>9527</v>
      </c>
      <c r="E4338">
        <v>42</v>
      </c>
      <c r="F4338" t="s">
        <v>269</v>
      </c>
      <c r="G4338" t="s">
        <v>177</v>
      </c>
      <c r="H4338" t="s">
        <v>8589</v>
      </c>
      <c r="I4338" s="1" t="d">
        <v>2022-07-23</v>
      </c>
      <c r="J4338" t="s">
        <v>142</v>
      </c>
      <c r="K4338" s="17" t="s">
        <v>34</v>
      </c>
      <c r="L4338">
        <v>4</v>
      </c>
    </row>
    <row r="4339" spans="1:12" x14ac:dyDescent="0.25">
      <c r="A4339" t="s">
        <v>8590</v>
      </c>
      <c r="B4339" t="s">
        <v>841</v>
      </c>
      <c r="C4339" t="s">
        <v>4284</v>
      </c>
      <c r="D4339" t="s">
        <v>23</v>
      </c>
      <c r="E4339">
        <v>42</v>
      </c>
      <c r="F4339" t="s">
        <v>350</v>
      </c>
      <c r="G4339" t="s">
        <v>1046</v>
      </c>
      <c r="I4339" s="1" t="d">
        <v>2008-01-30</v>
      </c>
      <c r="J4339" t="s">
        <v>8591</v>
      </c>
      <c r="K4339" s="17" t="s">
        <v>71</v>
      </c>
      <c r="L4339">
        <v>2</v>
      </c>
    </row>
    <row r="4340" spans="1:12" x14ac:dyDescent="0.25">
      <c r="A4340" t="s">
        <v>5090</v>
      </c>
      <c r="B4340" t="s">
        <v>134</v>
      </c>
      <c r="C4340" t="s">
        <v>1442</v>
      </c>
      <c r="D4340" t="s">
        <v>46</v>
      </c>
      <c r="E4340">
        <v>50</v>
      </c>
      <c r="G4340" t="s">
        <v>288</v>
      </c>
      <c r="H4340" t="s">
        <v>8592</v>
      </c>
      <c r="I4340" s="1" t="d">
        <v>2013-08-05</v>
      </c>
      <c r="J4340" t="s">
        <v>5091</v>
      </c>
      <c r="K4340" s="17" t="s">
        <v>19</v>
      </c>
      <c r="L4340">
        <v>5</v>
      </c>
    </row>
    <row r="4341" spans="1:12" x14ac:dyDescent="0.25">
      <c r="A4341" t="s">
        <v>4173</v>
      </c>
      <c r="B4341" t="s">
        <v>846</v>
      </c>
      <c r="C4341" t="s">
        <v>291</v>
      </c>
      <c r="D4341" t="s">
        <v>9527</v>
      </c>
      <c r="E4341">
        <v>58</v>
      </c>
      <c r="F4341" t="s">
        <v>1203</v>
      </c>
      <c r="G4341" t="s">
        <v>16</v>
      </c>
      <c r="H4341" t="s">
        <v>8593</v>
      </c>
      <c r="I4341" s="1" t="d">
        <v>2007-06-17</v>
      </c>
      <c r="J4341" t="s">
        <v>1053</v>
      </c>
      <c r="K4341" s="17" t="s">
        <v>207</v>
      </c>
      <c r="L4341">
        <v>4</v>
      </c>
    </row>
    <row r="4342" spans="1:12" x14ac:dyDescent="0.25">
      <c r="A4342" t="s">
        <v>8594</v>
      </c>
      <c r="B4342" t="s">
        <v>993</v>
      </c>
      <c r="C4342" t="s">
        <v>204</v>
      </c>
      <c r="D4342" t="s">
        <v>23</v>
      </c>
      <c r="E4342">
        <v>40</v>
      </c>
      <c r="F4342" t="s">
        <v>47</v>
      </c>
      <c r="G4342" t="s">
        <v>337</v>
      </c>
      <c r="H4342" s="2">
        <v>43053</v>
      </c>
      <c r="I4342" s="1" t="d">
        <v>2008-08-20</v>
      </c>
      <c r="J4342" t="s">
        <v>8595</v>
      </c>
      <c r="K4342" s="17" t="s">
        <v>184</v>
      </c>
      <c r="L4342">
        <v>4</v>
      </c>
    </row>
    <row r="4343" spans="1:12" x14ac:dyDescent="0.25">
      <c r="A4343" t="s">
        <v>8596</v>
      </c>
      <c r="B4343" t="s">
        <v>664</v>
      </c>
      <c r="C4343" t="s">
        <v>710</v>
      </c>
      <c r="D4343" t="s">
        <v>9527</v>
      </c>
      <c r="E4343">
        <v>48</v>
      </c>
      <c r="F4343" t="s">
        <v>1116</v>
      </c>
      <c r="G4343" t="s">
        <v>69</v>
      </c>
      <c r="I4343" s="1" t="d">
        <v>2008-12-06</v>
      </c>
      <c r="J4343" t="s">
        <v>6710</v>
      </c>
      <c r="K4343" s="17" t="s">
        <v>149</v>
      </c>
      <c r="L4343">
        <v>3</v>
      </c>
    </row>
    <row r="4344" spans="1:12" x14ac:dyDescent="0.25">
      <c r="A4344" t="s">
        <v>8597</v>
      </c>
      <c r="B4344" t="s">
        <v>60</v>
      </c>
      <c r="C4344" t="s">
        <v>1794</v>
      </c>
      <c r="D4344" t="s">
        <v>23</v>
      </c>
      <c r="E4344">
        <v>38</v>
      </c>
      <c r="F4344" t="s">
        <v>978</v>
      </c>
      <c r="G4344" t="s">
        <v>170</v>
      </c>
      <c r="H4344" s="2">
        <v>87701</v>
      </c>
      <c r="I4344" s="1" t="d">
        <v>2015-03-27</v>
      </c>
      <c r="J4344" t="s">
        <v>5435</v>
      </c>
      <c r="K4344" s="17" t="s">
        <v>90</v>
      </c>
      <c r="L4344">
        <v>3</v>
      </c>
    </row>
    <row r="4345" spans="1:12" x14ac:dyDescent="0.25">
      <c r="A4345" t="s">
        <v>8598</v>
      </c>
      <c r="B4345" t="s">
        <v>594</v>
      </c>
      <c r="C4345" t="s">
        <v>584</v>
      </c>
      <c r="D4345" t="s">
        <v>9527</v>
      </c>
      <c r="E4345">
        <v>27</v>
      </c>
      <c r="F4345" t="s">
        <v>1116</v>
      </c>
      <c r="G4345" t="s">
        <v>191</v>
      </c>
      <c r="H4345" t="s">
        <v>8599</v>
      </c>
      <c r="I4345" s="1" t="d">
        <v>2023-10-02</v>
      </c>
      <c r="J4345" t="s">
        <v>553</v>
      </c>
      <c r="K4345" s="17" t="s">
        <v>58</v>
      </c>
      <c r="L4345">
        <v>4</v>
      </c>
    </row>
    <row r="4346" spans="1:12" x14ac:dyDescent="0.25">
      <c r="A4346" t="s">
        <v>8600</v>
      </c>
      <c r="B4346" t="s">
        <v>1086</v>
      </c>
      <c r="C4346" t="s">
        <v>152</v>
      </c>
      <c r="D4346" t="s">
        <v>46</v>
      </c>
      <c r="E4346">
        <v>43</v>
      </c>
      <c r="F4346" t="s">
        <v>122</v>
      </c>
      <c r="G4346" t="s">
        <v>39</v>
      </c>
      <c r="H4346" s="2">
        <v>64214</v>
      </c>
      <c r="I4346" s="1" t="d">
        <v>2005-04-23</v>
      </c>
      <c r="J4346" t="s">
        <v>3929</v>
      </c>
      <c r="K4346" s="17" t="s">
        <v>370</v>
      </c>
      <c r="L4346">
        <v>4</v>
      </c>
    </row>
    <row r="4347" spans="1:12" x14ac:dyDescent="0.25">
      <c r="A4347" t="s">
        <v>8601</v>
      </c>
      <c r="B4347" t="s">
        <v>718</v>
      </c>
      <c r="C4347" t="s">
        <v>512</v>
      </c>
      <c r="D4347" t="s">
        <v>9527</v>
      </c>
      <c r="E4347">
        <v>38</v>
      </c>
      <c r="F4347" t="s">
        <v>2065</v>
      </c>
      <c r="G4347" t="s">
        <v>48</v>
      </c>
      <c r="H4347" t="s">
        <v>8602</v>
      </c>
      <c r="I4347" s="1" t="d">
        <v>2014-01-22</v>
      </c>
      <c r="J4347" t="s">
        <v>1296</v>
      </c>
      <c r="K4347" s="17" t="s">
        <v>50</v>
      </c>
      <c r="L4347">
        <v>5</v>
      </c>
    </row>
    <row r="4348" spans="1:12" x14ac:dyDescent="0.25">
      <c r="A4348" t="s">
        <v>8603</v>
      </c>
      <c r="B4348" t="s">
        <v>180</v>
      </c>
      <c r="C4348" t="s">
        <v>318</v>
      </c>
      <c r="D4348" t="s">
        <v>9527</v>
      </c>
      <c r="E4348">
        <v>40</v>
      </c>
      <c r="F4348" t="s">
        <v>190</v>
      </c>
      <c r="G4348" t="s">
        <v>82</v>
      </c>
      <c r="I4348" s="1" t="d">
        <v>2017-09-25</v>
      </c>
      <c r="J4348" t="s">
        <v>4111</v>
      </c>
      <c r="K4348" s="17" t="s">
        <v>90</v>
      </c>
      <c r="L4348">
        <v>4</v>
      </c>
    </row>
    <row r="4349" spans="1:12" x14ac:dyDescent="0.25">
      <c r="A4349" t="s">
        <v>8604</v>
      </c>
      <c r="B4349" t="s">
        <v>1403</v>
      </c>
      <c r="C4349" t="s">
        <v>696</v>
      </c>
      <c r="D4349" t="s">
        <v>23</v>
      </c>
      <c r="E4349">
        <v>58</v>
      </c>
      <c r="F4349" t="s">
        <v>230</v>
      </c>
      <c r="G4349" t="s">
        <v>217</v>
      </c>
      <c r="I4349" s="1" t="d">
        <v>2008-11-22</v>
      </c>
      <c r="J4349" t="s">
        <v>5455</v>
      </c>
      <c r="K4349" s="17" t="s">
        <v>184</v>
      </c>
      <c r="L4349">
        <v>4</v>
      </c>
    </row>
    <row r="4350" spans="1:12" x14ac:dyDescent="0.25">
      <c r="A4350" t="s">
        <v>8605</v>
      </c>
      <c r="B4350" t="s">
        <v>1476</v>
      </c>
      <c r="C4350" t="s">
        <v>2246</v>
      </c>
      <c r="D4350" t="s">
        <v>46</v>
      </c>
      <c r="E4350">
        <v>45</v>
      </c>
      <c r="F4350" t="s">
        <v>978</v>
      </c>
      <c r="G4350" t="s">
        <v>641</v>
      </c>
      <c r="H4350" t="s">
        <v>8606</v>
      </c>
      <c r="I4350" s="1" t="d">
        <v>2018-11-27</v>
      </c>
      <c r="J4350" t="s">
        <v>255</v>
      </c>
      <c r="K4350" s="17" t="s">
        <v>184</v>
      </c>
      <c r="L4350">
        <v>3</v>
      </c>
    </row>
    <row r="4351" spans="1:12" x14ac:dyDescent="0.25">
      <c r="A4351" t="s">
        <v>5150</v>
      </c>
      <c r="B4351" t="s">
        <v>566</v>
      </c>
      <c r="C4351" t="s">
        <v>3580</v>
      </c>
      <c r="D4351" t="s">
        <v>9527</v>
      </c>
      <c r="E4351">
        <v>34</v>
      </c>
      <c r="F4351" t="s">
        <v>104</v>
      </c>
      <c r="G4351" t="s">
        <v>641</v>
      </c>
      <c r="H4351" s="2">
        <v>53363</v>
      </c>
      <c r="I4351" s="1" t="d">
        <v>2022-03-05</v>
      </c>
      <c r="J4351" t="s">
        <v>4823</v>
      </c>
      <c r="K4351" s="17" t="s">
        <v>370</v>
      </c>
      <c r="L4351">
        <v>3</v>
      </c>
    </row>
    <row r="4352" spans="1:12" x14ac:dyDescent="0.25">
      <c r="A4352" t="s">
        <v>8607</v>
      </c>
      <c r="B4352" t="s">
        <v>315</v>
      </c>
      <c r="C4352" t="s">
        <v>699</v>
      </c>
      <c r="D4352" t="s">
        <v>23</v>
      </c>
      <c r="E4352">
        <v>30</v>
      </c>
      <c r="G4352" t="s">
        <v>115</v>
      </c>
      <c r="H4352">
        <v>56217</v>
      </c>
      <c r="I4352" s="1" t="d">
        <v>2010-02-28</v>
      </c>
      <c r="J4352" t="s">
        <v>1469</v>
      </c>
      <c r="K4352" s="17" t="s">
        <v>207</v>
      </c>
      <c r="L4352">
        <v>3</v>
      </c>
    </row>
    <row r="4353" spans="1:12" x14ac:dyDescent="0.25">
      <c r="A4353" t="s">
        <v>8608</v>
      </c>
      <c r="B4353" t="s">
        <v>2681</v>
      </c>
      <c r="C4353" t="s">
        <v>175</v>
      </c>
      <c r="D4353" t="s">
        <v>9527</v>
      </c>
      <c r="E4353">
        <v>40</v>
      </c>
      <c r="F4353" t="s">
        <v>211</v>
      </c>
      <c r="G4353" t="s">
        <v>283</v>
      </c>
      <c r="H4353" t="s">
        <v>8609</v>
      </c>
      <c r="I4353" s="1" t="d">
        <v>2019-01-15</v>
      </c>
      <c r="J4353" t="s">
        <v>893</v>
      </c>
      <c r="K4353" s="17" t="s">
        <v>90</v>
      </c>
      <c r="L4353">
        <v>5</v>
      </c>
    </row>
    <row r="4354" spans="1:12" x14ac:dyDescent="0.25">
      <c r="A4354" t="s">
        <v>8610</v>
      </c>
      <c r="B4354" t="s">
        <v>174</v>
      </c>
      <c r="C4354" t="s">
        <v>135</v>
      </c>
      <c r="D4354" t="s">
        <v>46</v>
      </c>
      <c r="E4354">
        <v>36</v>
      </c>
      <c r="F4354" t="s">
        <v>1699</v>
      </c>
      <c r="G4354" t="s">
        <v>48</v>
      </c>
      <c r="H4354" s="2">
        <v>52436</v>
      </c>
      <c r="I4354" s="1" t="d">
        <v>2010-05-22</v>
      </c>
      <c r="J4354" t="s">
        <v>4416</v>
      </c>
      <c r="K4354" s="17" t="s">
        <v>370</v>
      </c>
      <c r="L4354">
        <v>5</v>
      </c>
    </row>
    <row r="4355" spans="1:12" x14ac:dyDescent="0.25">
      <c r="A4355" t="s">
        <v>8028</v>
      </c>
      <c r="B4355" t="s">
        <v>467</v>
      </c>
      <c r="C4355" t="s">
        <v>715</v>
      </c>
      <c r="D4355" t="s">
        <v>46</v>
      </c>
      <c r="E4355">
        <v>61</v>
      </c>
      <c r="F4355" t="s">
        <v>245</v>
      </c>
      <c r="G4355" t="s">
        <v>1121</v>
      </c>
      <c r="H4355" t="s">
        <v>8029</v>
      </c>
      <c r="I4355" s="1" t="d">
        <v>2008-01-24</v>
      </c>
      <c r="J4355" t="s">
        <v>4712</v>
      </c>
      <c r="K4355" s="17" t="s">
        <v>90</v>
      </c>
      <c r="L4355">
        <v>4</v>
      </c>
    </row>
    <row r="4356" spans="1:12" x14ac:dyDescent="0.25">
      <c r="A4356" t="s">
        <v>8611</v>
      </c>
      <c r="B4356" t="s">
        <v>499</v>
      </c>
      <c r="C4356" t="s">
        <v>22</v>
      </c>
      <c r="D4356" t="s">
        <v>23</v>
      </c>
      <c r="E4356">
        <v>33</v>
      </c>
      <c r="F4356" t="s">
        <v>307</v>
      </c>
      <c r="G4356" t="s">
        <v>182</v>
      </c>
      <c r="H4356" t="s">
        <v>8612</v>
      </c>
      <c r="I4356" s="1" t="d">
        <v>2008-07-01</v>
      </c>
      <c r="J4356" t="s">
        <v>657</v>
      </c>
      <c r="K4356" s="17" t="s">
        <v>118</v>
      </c>
      <c r="L4356">
        <v>4</v>
      </c>
    </row>
    <row r="4357" spans="1:12" x14ac:dyDescent="0.25">
      <c r="A4357" t="s">
        <v>8613</v>
      </c>
      <c r="B4357" t="s">
        <v>841</v>
      </c>
      <c r="C4357" t="s">
        <v>36</v>
      </c>
      <c r="D4357" t="s">
        <v>23</v>
      </c>
      <c r="E4357">
        <v>23</v>
      </c>
      <c r="F4357" t="s">
        <v>15</v>
      </c>
      <c r="G4357" t="s">
        <v>48</v>
      </c>
      <c r="I4357" s="1" t="d">
        <v>2008-10-16</v>
      </c>
      <c r="J4357" t="s">
        <v>2084</v>
      </c>
      <c r="K4357" s="17" t="s">
        <v>34</v>
      </c>
      <c r="L4357">
        <v>4</v>
      </c>
    </row>
    <row r="4358" spans="1:12" x14ac:dyDescent="0.25">
      <c r="A4358" t="s">
        <v>4231</v>
      </c>
      <c r="B4358" t="s">
        <v>448</v>
      </c>
      <c r="C4358" t="s">
        <v>61</v>
      </c>
      <c r="D4358" t="s">
        <v>23</v>
      </c>
      <c r="E4358">
        <v>48</v>
      </c>
      <c r="F4358" t="s">
        <v>859</v>
      </c>
      <c r="G4358" t="s">
        <v>182</v>
      </c>
      <c r="H4358">
        <v>83505</v>
      </c>
      <c r="I4358" s="1" t="d">
        <v>2017-12-07</v>
      </c>
      <c r="J4358" t="s">
        <v>2067</v>
      </c>
      <c r="K4358" s="17" t="s">
        <v>370</v>
      </c>
      <c r="L4358">
        <v>2</v>
      </c>
    </row>
    <row r="4359" spans="1:12" x14ac:dyDescent="0.25">
      <c r="A4359" t="s">
        <v>8614</v>
      </c>
      <c r="B4359" t="s">
        <v>102</v>
      </c>
      <c r="C4359" t="s">
        <v>395</v>
      </c>
      <c r="D4359" t="s">
        <v>46</v>
      </c>
      <c r="E4359">
        <v>42</v>
      </c>
      <c r="F4359" t="s">
        <v>190</v>
      </c>
      <c r="G4359" t="s">
        <v>1556</v>
      </c>
      <c r="H4359" t="s">
        <v>8615</v>
      </c>
      <c r="I4359" s="1" t="d">
        <v>2012-08-02</v>
      </c>
      <c r="J4359" t="s">
        <v>7611</v>
      </c>
      <c r="K4359" s="17" t="s">
        <v>100</v>
      </c>
      <c r="L4359">
        <v>4</v>
      </c>
    </row>
    <row r="4360" spans="1:12" x14ac:dyDescent="0.25">
      <c r="A4360" t="s">
        <v>8616</v>
      </c>
      <c r="B4360" t="s">
        <v>2856</v>
      </c>
      <c r="C4360" t="s">
        <v>237</v>
      </c>
      <c r="D4360" t="s">
        <v>46</v>
      </c>
      <c r="E4360">
        <v>29</v>
      </c>
      <c r="G4360" t="s">
        <v>109</v>
      </c>
      <c r="H4360">
        <v>83914</v>
      </c>
      <c r="I4360" s="1" t="d">
        <v>2006-02-22</v>
      </c>
      <c r="J4360" t="s">
        <v>3445</v>
      </c>
      <c r="K4360" s="17" t="s">
        <v>207</v>
      </c>
      <c r="L4360">
        <v>4</v>
      </c>
    </row>
    <row r="4361" spans="1:12" x14ac:dyDescent="0.25">
      <c r="A4361" t="s">
        <v>8617</v>
      </c>
      <c r="B4361" t="s">
        <v>804</v>
      </c>
      <c r="C4361" t="s">
        <v>2548</v>
      </c>
      <c r="D4361" t="s">
        <v>23</v>
      </c>
      <c r="E4361">
        <v>52</v>
      </c>
      <c r="F4361" t="s">
        <v>47</v>
      </c>
      <c r="G4361" t="s">
        <v>182</v>
      </c>
      <c r="H4361" s="2">
        <v>83980</v>
      </c>
      <c r="I4361" s="1" t="d">
        <v>2016-08-27</v>
      </c>
      <c r="J4361" t="s">
        <v>2226</v>
      </c>
      <c r="K4361" s="17" t="s">
        <v>19</v>
      </c>
      <c r="L4361">
        <v>4</v>
      </c>
    </row>
    <row r="4362" spans="1:12" x14ac:dyDescent="0.25">
      <c r="A4362" t="s">
        <v>8618</v>
      </c>
      <c r="B4362" t="s">
        <v>404</v>
      </c>
      <c r="C4362" t="s">
        <v>1377</v>
      </c>
      <c r="D4362" t="s">
        <v>46</v>
      </c>
      <c r="E4362">
        <v>35</v>
      </c>
      <c r="F4362" t="s">
        <v>3085</v>
      </c>
      <c r="G4362" t="s">
        <v>88</v>
      </c>
      <c r="H4362" s="2">
        <v>51697</v>
      </c>
      <c r="I4362" s="1" t="d">
        <v>2006-01-09</v>
      </c>
      <c r="J4362" t="s">
        <v>4145</v>
      </c>
      <c r="K4362" s="17" t="s">
        <v>118</v>
      </c>
      <c r="L4362">
        <v>4</v>
      </c>
    </row>
    <row r="4363" spans="1:12" x14ac:dyDescent="0.25">
      <c r="A4363" t="s">
        <v>8619</v>
      </c>
      <c r="B4363" t="s">
        <v>664</v>
      </c>
      <c r="C4363" t="s">
        <v>1487</v>
      </c>
      <c r="D4363" t="s">
        <v>9527</v>
      </c>
      <c r="E4363">
        <v>31</v>
      </c>
      <c r="F4363" t="s">
        <v>54</v>
      </c>
      <c r="G4363" t="s">
        <v>69</v>
      </c>
      <c r="H4363" s="2">
        <v>56927</v>
      </c>
      <c r="I4363" s="1" t="d">
        <v>2007-04-29</v>
      </c>
      <c r="J4363" t="s">
        <v>2405</v>
      </c>
      <c r="K4363" s="17" t="s">
        <v>50</v>
      </c>
      <c r="L4363">
        <v>1</v>
      </c>
    </row>
    <row r="4364" spans="1:12" x14ac:dyDescent="0.25">
      <c r="A4364" t="s">
        <v>8620</v>
      </c>
      <c r="B4364" t="s">
        <v>718</v>
      </c>
      <c r="C4364" t="s">
        <v>474</v>
      </c>
      <c r="D4364" t="s">
        <v>46</v>
      </c>
      <c r="E4364">
        <v>27</v>
      </c>
      <c r="F4364" t="s">
        <v>417</v>
      </c>
      <c r="G4364" t="s">
        <v>212</v>
      </c>
      <c r="I4364" s="1" t="d">
        <v>2014-12-28</v>
      </c>
      <c r="J4364" t="s">
        <v>1985</v>
      </c>
      <c r="K4364" s="17" t="s">
        <v>90</v>
      </c>
      <c r="L4364">
        <v>3</v>
      </c>
    </row>
    <row r="4365" spans="1:12" x14ac:dyDescent="0.25">
      <c r="A4365" t="s">
        <v>8621</v>
      </c>
      <c r="B4365" t="s">
        <v>267</v>
      </c>
      <c r="C4365" t="s">
        <v>37</v>
      </c>
      <c r="D4365" t="s">
        <v>9527</v>
      </c>
      <c r="E4365">
        <v>39</v>
      </c>
      <c r="G4365" t="s">
        <v>82</v>
      </c>
      <c r="H4365" t="s">
        <v>8622</v>
      </c>
      <c r="I4365" s="1" t="d">
        <v>2009-06-12</v>
      </c>
      <c r="J4365" t="s">
        <v>2559</v>
      </c>
      <c r="K4365" s="17" t="s">
        <v>118</v>
      </c>
      <c r="L4365">
        <v>4</v>
      </c>
    </row>
    <row r="4366" spans="1:12" x14ac:dyDescent="0.25">
      <c r="A4366" t="s">
        <v>8206</v>
      </c>
      <c r="B4366" t="s">
        <v>13</v>
      </c>
      <c r="C4366" t="s">
        <v>37</v>
      </c>
      <c r="D4366" t="s">
        <v>46</v>
      </c>
      <c r="E4366">
        <v>28</v>
      </c>
      <c r="F4366" t="s">
        <v>589</v>
      </c>
      <c r="G4366" t="s">
        <v>159</v>
      </c>
      <c r="H4366" s="2">
        <v>56580</v>
      </c>
      <c r="I4366" s="1" t="d">
        <v>2015-12-17</v>
      </c>
      <c r="J4366" t="s">
        <v>3647</v>
      </c>
      <c r="K4366" s="17" t="s">
        <v>50</v>
      </c>
      <c r="L4366">
        <v>4</v>
      </c>
    </row>
    <row r="4367" spans="1:12" x14ac:dyDescent="0.25">
      <c r="A4367" t="s">
        <v>8623</v>
      </c>
      <c r="B4367" t="s">
        <v>3743</v>
      </c>
      <c r="C4367" t="s">
        <v>763</v>
      </c>
      <c r="D4367" t="s">
        <v>23</v>
      </c>
      <c r="E4367">
        <v>47</v>
      </c>
      <c r="F4367" t="s">
        <v>38</v>
      </c>
      <c r="G4367" t="s">
        <v>212</v>
      </c>
      <c r="H4367" t="s">
        <v>8624</v>
      </c>
      <c r="I4367" s="1" t="d">
        <v>2015-04-26</v>
      </c>
      <c r="J4367" t="s">
        <v>6715</v>
      </c>
      <c r="K4367" s="17" t="s">
        <v>207</v>
      </c>
      <c r="L4367">
        <v>4</v>
      </c>
    </row>
    <row r="4368" spans="1:12" x14ac:dyDescent="0.25">
      <c r="A4368" t="s">
        <v>8625</v>
      </c>
      <c r="B4368" t="s">
        <v>130</v>
      </c>
      <c r="C4368" t="s">
        <v>1668</v>
      </c>
      <c r="D4368" t="s">
        <v>46</v>
      </c>
      <c r="E4368">
        <v>35</v>
      </c>
      <c r="F4368" t="s">
        <v>1699</v>
      </c>
      <c r="G4368" t="s">
        <v>239</v>
      </c>
      <c r="H4368" s="2">
        <v>54958</v>
      </c>
      <c r="I4368" s="1" t="d">
        <v>2014-01-30</v>
      </c>
      <c r="J4368" t="s">
        <v>1420</v>
      </c>
      <c r="K4368" s="17" t="s">
        <v>34</v>
      </c>
      <c r="L4368">
        <v>3</v>
      </c>
    </row>
    <row r="4369" spans="1:12" x14ac:dyDescent="0.25">
      <c r="A4369" t="s">
        <v>8626</v>
      </c>
      <c r="B4369" t="s">
        <v>2252</v>
      </c>
      <c r="C4369" t="s">
        <v>595</v>
      </c>
      <c r="D4369" t="s">
        <v>23</v>
      </c>
      <c r="E4369">
        <v>46</v>
      </c>
      <c r="F4369" t="s">
        <v>411</v>
      </c>
      <c r="G4369" t="s">
        <v>351</v>
      </c>
      <c r="H4369" s="2">
        <v>48722</v>
      </c>
      <c r="I4369" s="1" t="d">
        <v>2014-05-11</v>
      </c>
      <c r="J4369" t="s">
        <v>6398</v>
      </c>
      <c r="K4369" s="17" t="s">
        <v>370</v>
      </c>
      <c r="L4369">
        <v>4</v>
      </c>
    </row>
    <row r="4370" spans="1:12" x14ac:dyDescent="0.25">
      <c r="A4370" t="s">
        <v>8627</v>
      </c>
      <c r="B4370" t="s">
        <v>44</v>
      </c>
      <c r="C4370" t="s">
        <v>8628</v>
      </c>
      <c r="D4370" t="s">
        <v>23</v>
      </c>
      <c r="E4370">
        <v>43</v>
      </c>
      <c r="F4370" t="s">
        <v>47</v>
      </c>
      <c r="G4370" t="s">
        <v>337</v>
      </c>
      <c r="H4370" t="s">
        <v>8629</v>
      </c>
      <c r="I4370" s="1" t="d">
        <v>2012-12-22</v>
      </c>
      <c r="J4370" t="s">
        <v>2097</v>
      </c>
      <c r="K4370" s="17" t="s">
        <v>71</v>
      </c>
      <c r="L4370">
        <v>3</v>
      </c>
    </row>
    <row r="4371" spans="1:12" x14ac:dyDescent="0.25">
      <c r="A4371" t="s">
        <v>8630</v>
      </c>
      <c r="B4371" t="s">
        <v>311</v>
      </c>
      <c r="C4371" t="s">
        <v>552</v>
      </c>
      <c r="D4371" t="s">
        <v>46</v>
      </c>
      <c r="E4371">
        <v>24</v>
      </c>
      <c r="F4371" t="s">
        <v>15</v>
      </c>
      <c r="G4371" t="s">
        <v>458</v>
      </c>
      <c r="H4371">
        <v>94679</v>
      </c>
      <c r="I4371" s="1" t="d">
        <v>2022-10-26</v>
      </c>
      <c r="J4371" t="s">
        <v>2392</v>
      </c>
      <c r="K4371" s="17" t="s">
        <v>27</v>
      </c>
      <c r="L4371">
        <v>3</v>
      </c>
    </row>
    <row r="4372" spans="1:12" x14ac:dyDescent="0.25">
      <c r="A4372" t="s">
        <v>8631</v>
      </c>
      <c r="B4372" t="s">
        <v>846</v>
      </c>
      <c r="C4372" t="s">
        <v>189</v>
      </c>
      <c r="D4372" t="s">
        <v>9527</v>
      </c>
      <c r="E4372">
        <v>22</v>
      </c>
      <c r="F4372" t="s">
        <v>978</v>
      </c>
      <c r="G4372" t="s">
        <v>1215</v>
      </c>
      <c r="H4372" t="s">
        <v>8632</v>
      </c>
      <c r="I4372" s="1" t="d">
        <v>2008-04-08</v>
      </c>
      <c r="J4372" t="s">
        <v>1065</v>
      </c>
      <c r="K4372" s="17" t="s">
        <v>370</v>
      </c>
      <c r="L4372">
        <v>4</v>
      </c>
    </row>
    <row r="4373" spans="1:12" x14ac:dyDescent="0.25">
      <c r="A4373" t="s">
        <v>8633</v>
      </c>
      <c r="B4373" t="s">
        <v>507</v>
      </c>
      <c r="C4373" t="s">
        <v>521</v>
      </c>
      <c r="D4373" t="s">
        <v>23</v>
      </c>
      <c r="E4373">
        <v>45</v>
      </c>
      <c r="F4373" t="s">
        <v>211</v>
      </c>
      <c r="G4373" t="s">
        <v>283</v>
      </c>
      <c r="H4373">
        <v>110448</v>
      </c>
      <c r="I4373" s="1" t="d">
        <v>2018-09-29</v>
      </c>
      <c r="J4373" t="s">
        <v>813</v>
      </c>
      <c r="K4373" s="17" t="s">
        <v>118</v>
      </c>
      <c r="L4373">
        <v>4</v>
      </c>
    </row>
    <row r="4374" spans="1:12" x14ac:dyDescent="0.25">
      <c r="A4374" t="s">
        <v>8634</v>
      </c>
      <c r="B4374" t="s">
        <v>936</v>
      </c>
      <c r="C4374" t="s">
        <v>724</v>
      </c>
      <c r="D4374" t="s">
        <v>23</v>
      </c>
      <c r="E4374">
        <v>29</v>
      </c>
      <c r="F4374" t="s">
        <v>1766</v>
      </c>
      <c r="G4374" t="s">
        <v>82</v>
      </c>
      <c r="H4374" t="s">
        <v>8635</v>
      </c>
      <c r="I4374" s="1" t="d">
        <v>2014-11-19</v>
      </c>
      <c r="J4374" t="s">
        <v>2021</v>
      </c>
      <c r="K4374" s="17" t="s">
        <v>370</v>
      </c>
      <c r="L4374">
        <v>3</v>
      </c>
    </row>
    <row r="4375" spans="1:12" x14ac:dyDescent="0.25">
      <c r="A4375" t="s">
        <v>8636</v>
      </c>
      <c r="B4375" t="s">
        <v>895</v>
      </c>
      <c r="C4375" t="s">
        <v>332</v>
      </c>
      <c r="D4375" t="s">
        <v>23</v>
      </c>
      <c r="E4375">
        <v>49</v>
      </c>
      <c r="F4375" t="s">
        <v>559</v>
      </c>
      <c r="G4375" t="s">
        <v>288</v>
      </c>
      <c r="I4375" s="1" t="d">
        <v>2024-10-24</v>
      </c>
      <c r="J4375" t="s">
        <v>2809</v>
      </c>
      <c r="K4375" s="17" t="s">
        <v>184</v>
      </c>
      <c r="L4375">
        <v>3</v>
      </c>
    </row>
    <row r="4376" spans="1:12" x14ac:dyDescent="0.25">
      <c r="A4376" t="s">
        <v>8637</v>
      </c>
      <c r="B4376" t="s">
        <v>167</v>
      </c>
      <c r="C4376" t="s">
        <v>37</v>
      </c>
      <c r="D4376" t="s">
        <v>23</v>
      </c>
      <c r="E4376">
        <v>36</v>
      </c>
      <c r="F4376" t="s">
        <v>108</v>
      </c>
      <c r="G4376" t="s">
        <v>16</v>
      </c>
      <c r="H4376" t="s">
        <v>8638</v>
      </c>
      <c r="I4376" s="1" t="d">
        <v>2012-11-03</v>
      </c>
      <c r="J4376" t="s">
        <v>1956</v>
      </c>
      <c r="K4376" s="17" t="s">
        <v>118</v>
      </c>
      <c r="L4376">
        <v>4</v>
      </c>
    </row>
    <row r="4377" spans="1:12" x14ac:dyDescent="0.25">
      <c r="A4377" t="s">
        <v>8639</v>
      </c>
      <c r="B4377" t="s">
        <v>13</v>
      </c>
      <c r="C4377" t="s">
        <v>3643</v>
      </c>
      <c r="D4377" t="s">
        <v>46</v>
      </c>
      <c r="E4377">
        <v>41</v>
      </c>
      <c r="F4377" t="s">
        <v>24</v>
      </c>
      <c r="G4377" t="s">
        <v>283</v>
      </c>
      <c r="H4377" s="2">
        <v>168791</v>
      </c>
      <c r="I4377" s="1" t="d">
        <v>2024-11-16</v>
      </c>
      <c r="J4377" t="s">
        <v>1795</v>
      </c>
      <c r="K4377" s="17" t="s">
        <v>50</v>
      </c>
      <c r="L4377">
        <v>3</v>
      </c>
    </row>
    <row r="4378" spans="1:12" x14ac:dyDescent="0.25">
      <c r="A4378" t="s">
        <v>5189</v>
      </c>
      <c r="B4378" t="s">
        <v>664</v>
      </c>
      <c r="C4378" t="s">
        <v>665</v>
      </c>
      <c r="D4378" t="s">
        <v>23</v>
      </c>
      <c r="E4378">
        <v>41</v>
      </c>
      <c r="F4378" t="s">
        <v>54</v>
      </c>
      <c r="G4378" t="s">
        <v>82</v>
      </c>
      <c r="I4378" s="1" t="d">
        <v>2015-09-05</v>
      </c>
      <c r="J4378" t="s">
        <v>668</v>
      </c>
      <c r="K4378" s="17" t="s">
        <v>42</v>
      </c>
      <c r="L4378">
        <v>2</v>
      </c>
    </row>
    <row r="4379" spans="1:12" x14ac:dyDescent="0.25">
      <c r="A4379" t="s">
        <v>8640</v>
      </c>
      <c r="B4379" t="s">
        <v>2482</v>
      </c>
      <c r="C4379" t="s">
        <v>158</v>
      </c>
      <c r="D4379" t="s">
        <v>9527</v>
      </c>
      <c r="E4379">
        <v>30</v>
      </c>
      <c r="F4379" t="s">
        <v>532</v>
      </c>
      <c r="G4379" t="s">
        <v>115</v>
      </c>
      <c r="H4379" t="s">
        <v>8641</v>
      </c>
      <c r="I4379" s="1" t="d">
        <v>2013-04-25</v>
      </c>
      <c r="J4379" t="s">
        <v>7402</v>
      </c>
      <c r="K4379" s="17" t="s">
        <v>71</v>
      </c>
      <c r="L4379">
        <v>3</v>
      </c>
    </row>
    <row r="4380" spans="1:12" x14ac:dyDescent="0.25">
      <c r="A4380" t="s">
        <v>8642</v>
      </c>
      <c r="B4380" t="s">
        <v>1316</v>
      </c>
      <c r="C4380" t="s">
        <v>483</v>
      </c>
      <c r="D4380" t="s">
        <v>9527</v>
      </c>
      <c r="E4380">
        <v>35</v>
      </c>
      <c r="F4380" t="s">
        <v>422</v>
      </c>
      <c r="G4380" t="s">
        <v>115</v>
      </c>
      <c r="H4380" s="2">
        <v>80055</v>
      </c>
      <c r="I4380" s="1" t="d">
        <v>2007-07-25</v>
      </c>
      <c r="J4380" t="s">
        <v>2162</v>
      </c>
      <c r="K4380" s="17" t="s">
        <v>370</v>
      </c>
      <c r="L4380">
        <v>3</v>
      </c>
    </row>
    <row r="4381" spans="1:12" x14ac:dyDescent="0.25">
      <c r="A4381" t="s">
        <v>8643</v>
      </c>
      <c r="B4381" t="s">
        <v>404</v>
      </c>
      <c r="C4381" t="s">
        <v>1191</v>
      </c>
      <c r="D4381" t="s">
        <v>9527</v>
      </c>
      <c r="E4381">
        <v>21</v>
      </c>
      <c r="F4381" t="s">
        <v>186</v>
      </c>
      <c r="G4381" t="s">
        <v>357</v>
      </c>
      <c r="H4381" s="2">
        <v>120782</v>
      </c>
      <c r="I4381" s="1" t="d">
        <v>2009-02-02</v>
      </c>
      <c r="J4381" t="s">
        <v>3637</v>
      </c>
      <c r="K4381" s="17" t="s">
        <v>118</v>
      </c>
      <c r="L4381">
        <v>3</v>
      </c>
    </row>
    <row r="4382" spans="1:12" x14ac:dyDescent="0.25">
      <c r="A4382" t="s">
        <v>8644</v>
      </c>
      <c r="B4382" t="s">
        <v>594</v>
      </c>
      <c r="C4382" t="s">
        <v>135</v>
      </c>
      <c r="D4382" t="s">
        <v>9527</v>
      </c>
      <c r="E4382">
        <v>31</v>
      </c>
      <c r="F4382" t="s">
        <v>671</v>
      </c>
      <c r="G4382" t="s">
        <v>170</v>
      </c>
      <c r="I4382" s="1" t="d">
        <v>2023-01-02</v>
      </c>
      <c r="J4382" t="s">
        <v>4608</v>
      </c>
      <c r="K4382" s="17" t="s">
        <v>50</v>
      </c>
      <c r="L4382">
        <v>5</v>
      </c>
    </row>
    <row r="4383" spans="1:12" x14ac:dyDescent="0.25">
      <c r="A4383" t="s">
        <v>8645</v>
      </c>
      <c r="B4383" t="s">
        <v>221</v>
      </c>
      <c r="C4383" t="s">
        <v>966</v>
      </c>
      <c r="D4383" t="s">
        <v>9527</v>
      </c>
      <c r="E4383">
        <v>50</v>
      </c>
      <c r="F4383" t="s">
        <v>399</v>
      </c>
      <c r="G4383" t="s">
        <v>16</v>
      </c>
      <c r="H4383" t="s">
        <v>8646</v>
      </c>
      <c r="I4383" s="1" t="d">
        <v>2017-08-18</v>
      </c>
      <c r="J4383" t="s">
        <v>1429</v>
      </c>
      <c r="K4383" s="17" t="s">
        <v>90</v>
      </c>
      <c r="L4383">
        <v>4</v>
      </c>
    </row>
    <row r="4384" spans="1:12" x14ac:dyDescent="0.25">
      <c r="A4384" t="s">
        <v>8647</v>
      </c>
      <c r="B4384" t="s">
        <v>130</v>
      </c>
      <c r="C4384" t="s">
        <v>851</v>
      </c>
      <c r="D4384" t="s">
        <v>23</v>
      </c>
      <c r="E4384">
        <v>47</v>
      </c>
      <c r="F4384" t="s">
        <v>399</v>
      </c>
      <c r="G4384" t="s">
        <v>16</v>
      </c>
      <c r="H4384" s="2">
        <v>100961</v>
      </c>
      <c r="I4384" s="1" t="d">
        <v>2023-04-10</v>
      </c>
      <c r="J4384" t="s">
        <v>8648</v>
      </c>
      <c r="K4384" s="17" t="s">
        <v>90</v>
      </c>
      <c r="L4384">
        <v>4</v>
      </c>
    </row>
    <row r="4385" spans="1:12" x14ac:dyDescent="0.25">
      <c r="A4385" t="s">
        <v>8649</v>
      </c>
      <c r="B4385" t="s">
        <v>157</v>
      </c>
      <c r="C4385" t="s">
        <v>8650</v>
      </c>
      <c r="D4385" t="s">
        <v>46</v>
      </c>
      <c r="E4385">
        <v>44</v>
      </c>
      <c r="F4385" t="s">
        <v>296</v>
      </c>
      <c r="G4385" t="s">
        <v>25</v>
      </c>
      <c r="I4385" s="1" t="d">
        <v>2023-02-21</v>
      </c>
      <c r="J4385" t="s">
        <v>6722</v>
      </c>
      <c r="K4385" s="17" t="s">
        <v>50</v>
      </c>
      <c r="L4385">
        <v>2</v>
      </c>
    </row>
    <row r="4386" spans="1:12" x14ac:dyDescent="0.25">
      <c r="A4386" t="s">
        <v>8651</v>
      </c>
      <c r="B4386" t="s">
        <v>2681</v>
      </c>
      <c r="C4386" t="s">
        <v>1487</v>
      </c>
      <c r="D4386" t="s">
        <v>46</v>
      </c>
      <c r="E4386">
        <v>55</v>
      </c>
      <c r="F4386" t="s">
        <v>277</v>
      </c>
      <c r="G4386" t="s">
        <v>147</v>
      </c>
      <c r="H4386" t="s">
        <v>8652</v>
      </c>
      <c r="I4386" s="1" t="d">
        <v>2010-01-22</v>
      </c>
      <c r="J4386" t="s">
        <v>4156</v>
      </c>
      <c r="K4386" s="17" t="s">
        <v>34</v>
      </c>
      <c r="L4386">
        <v>3</v>
      </c>
    </row>
    <row r="4387" spans="1:12" x14ac:dyDescent="0.25">
      <c r="A4387" t="s">
        <v>8653</v>
      </c>
      <c r="B4387" t="s">
        <v>3937</v>
      </c>
      <c r="C4387" t="s">
        <v>37</v>
      </c>
      <c r="D4387" t="s">
        <v>9527</v>
      </c>
      <c r="E4387">
        <v>26</v>
      </c>
      <c r="F4387" t="s">
        <v>984</v>
      </c>
      <c r="G4387" t="s">
        <v>205</v>
      </c>
      <c r="H4387" t="s">
        <v>8654</v>
      </c>
      <c r="I4387" s="1" t="d">
        <v>2016-10-09</v>
      </c>
      <c r="J4387" t="s">
        <v>4603</v>
      </c>
      <c r="K4387" s="17" t="s">
        <v>50</v>
      </c>
      <c r="L4387">
        <v>3</v>
      </c>
    </row>
    <row r="4388" spans="1:12" x14ac:dyDescent="0.25">
      <c r="A4388" t="s">
        <v>8655</v>
      </c>
      <c r="B4388" t="s">
        <v>174</v>
      </c>
      <c r="C4388" t="s">
        <v>87</v>
      </c>
      <c r="D4388" t="s">
        <v>9527</v>
      </c>
      <c r="E4388">
        <v>47</v>
      </c>
      <c r="F4388" t="s">
        <v>649</v>
      </c>
      <c r="G4388" t="s">
        <v>82</v>
      </c>
      <c r="H4388" t="s">
        <v>8656</v>
      </c>
      <c r="I4388" s="1" t="d">
        <v>2012-12-26</v>
      </c>
      <c r="J4388" t="s">
        <v>1227</v>
      </c>
      <c r="K4388" s="17" t="s">
        <v>34</v>
      </c>
      <c r="L4388">
        <v>4</v>
      </c>
    </row>
    <row r="4389" spans="1:12" x14ac:dyDescent="0.25">
      <c r="A4389" t="s">
        <v>8657</v>
      </c>
      <c r="B4389" t="s">
        <v>841</v>
      </c>
      <c r="C4389" t="s">
        <v>121</v>
      </c>
      <c r="D4389" t="s">
        <v>46</v>
      </c>
      <c r="E4389">
        <v>24</v>
      </c>
      <c r="F4389" t="s">
        <v>126</v>
      </c>
      <c r="G4389" t="s">
        <v>2759</v>
      </c>
      <c r="H4389">
        <v>58029</v>
      </c>
      <c r="I4389" s="1" t="d">
        <v>2020-07-26</v>
      </c>
      <c r="J4389" t="s">
        <v>5729</v>
      </c>
      <c r="K4389" s="17" t="s">
        <v>71</v>
      </c>
      <c r="L4389">
        <v>3</v>
      </c>
    </row>
    <row r="4390" spans="1:12" x14ac:dyDescent="0.25">
      <c r="A4390" t="s">
        <v>8658</v>
      </c>
      <c r="B4390" t="s">
        <v>648</v>
      </c>
      <c r="C4390" t="s">
        <v>103</v>
      </c>
      <c r="D4390" t="s">
        <v>9527</v>
      </c>
      <c r="E4390">
        <v>29</v>
      </c>
      <c r="F4390" t="s">
        <v>1183</v>
      </c>
      <c r="G4390" t="s">
        <v>55</v>
      </c>
      <c r="H4390">
        <v>69579</v>
      </c>
      <c r="I4390" s="1" t="d">
        <v>2015-06-05</v>
      </c>
      <c r="J4390" t="s">
        <v>1536</v>
      </c>
      <c r="K4390" s="17" t="s">
        <v>184</v>
      </c>
      <c r="L4390">
        <v>3</v>
      </c>
    </row>
    <row r="4391" spans="1:12" x14ac:dyDescent="0.25">
      <c r="A4391" t="s">
        <v>8659</v>
      </c>
      <c r="B4391" t="s">
        <v>3127</v>
      </c>
      <c r="C4391" t="s">
        <v>37</v>
      </c>
      <c r="D4391" t="s">
        <v>23</v>
      </c>
      <c r="E4391">
        <v>35</v>
      </c>
      <c r="F4391" t="s">
        <v>911</v>
      </c>
      <c r="G4391" t="s">
        <v>55</v>
      </c>
      <c r="H4391" t="s">
        <v>8660</v>
      </c>
      <c r="I4391" s="1" t="d">
        <v>2019-10-06</v>
      </c>
      <c r="J4391" t="s">
        <v>8661</v>
      </c>
      <c r="K4391" s="17" t="s">
        <v>19</v>
      </c>
      <c r="L4391">
        <v>2</v>
      </c>
    </row>
    <row r="4392" spans="1:12" x14ac:dyDescent="0.25">
      <c r="A4392" t="s">
        <v>8662</v>
      </c>
      <c r="B4392" t="s">
        <v>8663</v>
      </c>
      <c r="C4392" t="s">
        <v>244</v>
      </c>
      <c r="D4392" t="s">
        <v>9527</v>
      </c>
      <c r="E4392">
        <v>21</v>
      </c>
      <c r="F4392" t="s">
        <v>918</v>
      </c>
      <c r="G4392" t="s">
        <v>48</v>
      </c>
      <c r="H4392" t="s">
        <v>8664</v>
      </c>
      <c r="I4392" s="1" t="d">
        <v>2008-04-12</v>
      </c>
      <c r="J4392" t="s">
        <v>972</v>
      </c>
      <c r="K4392" s="17" t="s">
        <v>118</v>
      </c>
      <c r="L4392">
        <v>3</v>
      </c>
    </row>
    <row r="4393" spans="1:12" x14ac:dyDescent="0.25">
      <c r="A4393" t="s">
        <v>8665</v>
      </c>
      <c r="B4393" t="s">
        <v>44</v>
      </c>
      <c r="C4393" t="s">
        <v>37</v>
      </c>
      <c r="D4393" t="s">
        <v>46</v>
      </c>
      <c r="E4393">
        <v>40</v>
      </c>
      <c r="F4393" t="s">
        <v>1385</v>
      </c>
      <c r="G4393" t="s">
        <v>638</v>
      </c>
      <c r="H4393" s="2">
        <v>130036</v>
      </c>
      <c r="J4393" t="s">
        <v>4603</v>
      </c>
      <c r="K4393" s="17" t="s">
        <v>19</v>
      </c>
      <c r="L4393">
        <v>1</v>
      </c>
    </row>
    <row r="4394" spans="1:12" x14ac:dyDescent="0.25">
      <c r="A4394" t="s">
        <v>8666</v>
      </c>
      <c r="B4394" t="s">
        <v>36</v>
      </c>
      <c r="C4394" t="s">
        <v>244</v>
      </c>
      <c r="D4394" t="s">
        <v>9527</v>
      </c>
      <c r="E4394">
        <v>32</v>
      </c>
      <c r="F4394" t="s">
        <v>114</v>
      </c>
      <c r="G4394" t="s">
        <v>69</v>
      </c>
      <c r="H4394" t="s">
        <v>8667</v>
      </c>
      <c r="I4394" s="1" t="d">
        <v>2011-09-14</v>
      </c>
      <c r="J4394" t="s">
        <v>8668</v>
      </c>
      <c r="K4394" s="17" t="s">
        <v>42</v>
      </c>
      <c r="L4394">
        <v>3</v>
      </c>
    </row>
    <row r="4395" spans="1:12" x14ac:dyDescent="0.25">
      <c r="A4395" t="s">
        <v>8669</v>
      </c>
      <c r="B4395" t="s">
        <v>180</v>
      </c>
      <c r="C4395" t="s">
        <v>361</v>
      </c>
      <c r="D4395" t="s">
        <v>46</v>
      </c>
      <c r="E4395">
        <v>35</v>
      </c>
      <c r="F4395" t="s">
        <v>859</v>
      </c>
      <c r="G4395" t="s">
        <v>39</v>
      </c>
      <c r="H4395">
        <v>65012</v>
      </c>
      <c r="I4395" s="1" t="d">
        <v>2018-05-25</v>
      </c>
      <c r="J4395" t="s">
        <v>934</v>
      </c>
      <c r="K4395" s="17" t="s">
        <v>149</v>
      </c>
      <c r="L4395">
        <v>4</v>
      </c>
    </row>
    <row r="4396" spans="1:12" x14ac:dyDescent="0.25">
      <c r="A4396" t="s">
        <v>8670</v>
      </c>
      <c r="B4396" t="s">
        <v>228</v>
      </c>
      <c r="C4396" t="s">
        <v>152</v>
      </c>
      <c r="D4396" t="s">
        <v>9527</v>
      </c>
      <c r="E4396">
        <v>32</v>
      </c>
      <c r="F4396" t="s">
        <v>1168</v>
      </c>
      <c r="G4396" t="s">
        <v>82</v>
      </c>
      <c r="J4396" t="s">
        <v>2276</v>
      </c>
      <c r="K4396" s="17" t="s">
        <v>42</v>
      </c>
      <c r="L4396">
        <v>4</v>
      </c>
    </row>
    <row r="4397" spans="1:12" x14ac:dyDescent="0.25">
      <c r="A4397" t="s">
        <v>8671</v>
      </c>
      <c r="B4397" t="s">
        <v>125</v>
      </c>
      <c r="C4397" t="s">
        <v>416</v>
      </c>
      <c r="D4397" t="s">
        <v>46</v>
      </c>
      <c r="E4397">
        <v>29</v>
      </c>
      <c r="F4397" t="s">
        <v>94</v>
      </c>
      <c r="G4397" t="s">
        <v>55</v>
      </c>
      <c r="H4397" t="s">
        <v>8672</v>
      </c>
      <c r="I4397" s="1" t="d">
        <v>2019-02-11</v>
      </c>
      <c r="J4397" t="s">
        <v>3455</v>
      </c>
      <c r="K4397" s="17" t="s">
        <v>100</v>
      </c>
      <c r="L4397">
        <v>3</v>
      </c>
    </row>
    <row r="4398" spans="1:12" x14ac:dyDescent="0.25">
      <c r="A4398" t="s">
        <v>8673</v>
      </c>
      <c r="B4398" t="s">
        <v>323</v>
      </c>
      <c r="C4398" t="s">
        <v>8674</v>
      </c>
      <c r="D4398" t="s">
        <v>46</v>
      </c>
      <c r="E4398">
        <v>23</v>
      </c>
      <c r="F4398" t="s">
        <v>296</v>
      </c>
      <c r="G4398" t="s">
        <v>782</v>
      </c>
      <c r="H4398">
        <v>999999</v>
      </c>
      <c r="I4398" s="1" t="d">
        <v>2024-07-18</v>
      </c>
      <c r="J4398" t="s">
        <v>3607</v>
      </c>
      <c r="K4398" s="17" t="s">
        <v>34</v>
      </c>
      <c r="L4398">
        <v>3</v>
      </c>
    </row>
    <row r="4399" spans="1:12" x14ac:dyDescent="0.25">
      <c r="A4399" t="s">
        <v>8675</v>
      </c>
      <c r="B4399" t="s">
        <v>1086</v>
      </c>
      <c r="C4399" t="s">
        <v>286</v>
      </c>
      <c r="D4399" t="s">
        <v>46</v>
      </c>
      <c r="E4399">
        <v>21</v>
      </c>
      <c r="F4399" t="s">
        <v>258</v>
      </c>
      <c r="G4399" t="s">
        <v>39</v>
      </c>
      <c r="I4399" s="1" t="d">
        <v>2014-10-16</v>
      </c>
      <c r="J4399" t="s">
        <v>2457</v>
      </c>
      <c r="K4399" s="17" t="s">
        <v>90</v>
      </c>
      <c r="L4399">
        <v>3</v>
      </c>
    </row>
    <row r="4400" spans="1:12" x14ac:dyDescent="0.25">
      <c r="A4400" t="s">
        <v>8676</v>
      </c>
      <c r="B4400" t="s">
        <v>2697</v>
      </c>
      <c r="C4400" t="s">
        <v>1030</v>
      </c>
      <c r="D4400" t="s">
        <v>46</v>
      </c>
      <c r="E4400">
        <v>45</v>
      </c>
      <c r="F4400" t="s">
        <v>532</v>
      </c>
      <c r="G4400" t="s">
        <v>82</v>
      </c>
      <c r="H4400">
        <v>62487</v>
      </c>
      <c r="I4400" s="1" t="d">
        <v>2012-12-04</v>
      </c>
      <c r="J4400" t="s">
        <v>1852</v>
      </c>
      <c r="K4400" s="17" t="s">
        <v>19</v>
      </c>
      <c r="L4400">
        <v>2</v>
      </c>
    </row>
    <row r="4401" spans="1:12" x14ac:dyDescent="0.25">
      <c r="A4401" t="s">
        <v>8677</v>
      </c>
      <c r="B4401" t="s">
        <v>1086</v>
      </c>
      <c r="C4401" t="s">
        <v>2912</v>
      </c>
      <c r="D4401" t="s">
        <v>9527</v>
      </c>
      <c r="E4401">
        <v>36</v>
      </c>
      <c r="F4401" t="s">
        <v>918</v>
      </c>
      <c r="G4401" t="s">
        <v>205</v>
      </c>
      <c r="H4401" s="2">
        <v>75712</v>
      </c>
      <c r="I4401" s="1" t="d">
        <v>2006-06-01</v>
      </c>
      <c r="J4401" t="s">
        <v>1087</v>
      </c>
      <c r="K4401" s="17" t="s">
        <v>19</v>
      </c>
      <c r="L4401">
        <v>4</v>
      </c>
    </row>
    <row r="4402" spans="1:12" x14ac:dyDescent="0.25">
      <c r="A4402" t="s">
        <v>8678</v>
      </c>
      <c r="B4402" t="s">
        <v>248</v>
      </c>
      <c r="C4402" t="s">
        <v>1062</v>
      </c>
      <c r="D4402" t="s">
        <v>23</v>
      </c>
      <c r="E4402">
        <v>40</v>
      </c>
      <c r="F4402" t="s">
        <v>108</v>
      </c>
      <c r="G4402" t="s">
        <v>351</v>
      </c>
      <c r="H4402" t="s">
        <v>8679</v>
      </c>
      <c r="I4402" s="1" t="d">
        <v>2011-11-26</v>
      </c>
      <c r="J4402" t="s">
        <v>2138</v>
      </c>
      <c r="K4402" s="17" t="s">
        <v>370</v>
      </c>
      <c r="L4402">
        <v>4</v>
      </c>
    </row>
    <row r="4403" spans="1:12" x14ac:dyDescent="0.25">
      <c r="A4403" t="s">
        <v>8680</v>
      </c>
      <c r="B4403" t="s">
        <v>594</v>
      </c>
      <c r="C4403" t="s">
        <v>1356</v>
      </c>
      <c r="D4403" t="s">
        <v>23</v>
      </c>
      <c r="E4403">
        <v>37</v>
      </c>
      <c r="F4403" t="s">
        <v>245</v>
      </c>
      <c r="G4403" t="s">
        <v>191</v>
      </c>
      <c r="H4403">
        <v>49060</v>
      </c>
      <c r="I4403" s="1" t="d">
        <v>2017-01-16</v>
      </c>
      <c r="J4403" t="s">
        <v>1358</v>
      </c>
      <c r="K4403" s="17" t="s">
        <v>370</v>
      </c>
      <c r="L4403">
        <v>3</v>
      </c>
    </row>
    <row r="4404" spans="1:12" x14ac:dyDescent="0.25">
      <c r="A4404" t="s">
        <v>8681</v>
      </c>
      <c r="B4404" t="s">
        <v>507</v>
      </c>
      <c r="C4404" t="s">
        <v>1517</v>
      </c>
      <c r="D4404" t="s">
        <v>46</v>
      </c>
      <c r="E4404">
        <v>29</v>
      </c>
      <c r="F4404" t="s">
        <v>2771</v>
      </c>
      <c r="G4404" t="s">
        <v>191</v>
      </c>
      <c r="I4404" s="1" t="d">
        <v>2024-06-12</v>
      </c>
      <c r="J4404" t="s">
        <v>2857</v>
      </c>
      <c r="K4404" s="17" t="s">
        <v>100</v>
      </c>
      <c r="L4404">
        <v>2</v>
      </c>
    </row>
    <row r="4405" spans="1:12" x14ac:dyDescent="0.25">
      <c r="A4405" t="s">
        <v>8682</v>
      </c>
      <c r="B4405" t="s">
        <v>6515</v>
      </c>
      <c r="C4405" t="s">
        <v>483</v>
      </c>
      <c r="D4405" t="s">
        <v>9527</v>
      </c>
      <c r="E4405">
        <v>56</v>
      </c>
      <c r="F4405" t="s">
        <v>365</v>
      </c>
      <c r="G4405" t="s">
        <v>283</v>
      </c>
      <c r="H4405" t="s">
        <v>8683</v>
      </c>
      <c r="I4405" s="1" t="d">
        <v>2009-02-20</v>
      </c>
      <c r="J4405" t="s">
        <v>6104</v>
      </c>
      <c r="K4405" s="17" t="s">
        <v>34</v>
      </c>
      <c r="L4405">
        <v>4</v>
      </c>
    </row>
    <row r="4406" spans="1:12" x14ac:dyDescent="0.25">
      <c r="A4406" t="s">
        <v>8684</v>
      </c>
      <c r="B4406" t="s">
        <v>563</v>
      </c>
      <c r="C4406" t="s">
        <v>244</v>
      </c>
      <c r="D4406" t="s">
        <v>46</v>
      </c>
      <c r="E4406">
        <v>32</v>
      </c>
      <c r="F4406" t="s">
        <v>68</v>
      </c>
      <c r="G4406" t="s">
        <v>39</v>
      </c>
      <c r="I4406" s="1" t="d">
        <v>2015-04-12</v>
      </c>
      <c r="J4406" t="s">
        <v>2290</v>
      </c>
      <c r="K4406" s="17" t="s">
        <v>118</v>
      </c>
      <c r="L4406">
        <v>4</v>
      </c>
    </row>
    <row r="4407" spans="1:12" x14ac:dyDescent="0.25">
      <c r="A4407" t="s">
        <v>8685</v>
      </c>
      <c r="B4407" t="s">
        <v>21</v>
      </c>
      <c r="C4407" t="s">
        <v>1356</v>
      </c>
      <c r="D4407" t="s">
        <v>23</v>
      </c>
      <c r="E4407">
        <v>22</v>
      </c>
      <c r="G4407" t="s">
        <v>115</v>
      </c>
      <c r="H4407" s="2">
        <v>53725</v>
      </c>
      <c r="I4407" s="1" t="d">
        <v>2006-12-16</v>
      </c>
      <c r="J4407" t="s">
        <v>2637</v>
      </c>
      <c r="K4407" s="17" t="s">
        <v>50</v>
      </c>
      <c r="L4407">
        <v>5</v>
      </c>
    </row>
    <row r="4408" spans="1:12" x14ac:dyDescent="0.25">
      <c r="A4408" t="s">
        <v>8686</v>
      </c>
      <c r="B4408" t="s">
        <v>221</v>
      </c>
      <c r="C4408" t="s">
        <v>660</v>
      </c>
      <c r="D4408" t="s">
        <v>46</v>
      </c>
      <c r="E4408">
        <v>34</v>
      </c>
      <c r="F4408" t="s">
        <v>1116</v>
      </c>
      <c r="G4408" t="s">
        <v>357</v>
      </c>
      <c r="H4408" t="s">
        <v>8687</v>
      </c>
      <c r="I4408" s="1" t="d">
        <v>2024-02-03</v>
      </c>
      <c r="J4408" t="s">
        <v>662</v>
      </c>
      <c r="K4408" s="17" t="s">
        <v>90</v>
      </c>
      <c r="L4408">
        <v>3</v>
      </c>
    </row>
    <row r="4409" spans="1:12" x14ac:dyDescent="0.25">
      <c r="A4409" t="s">
        <v>8688</v>
      </c>
      <c r="B4409" t="s">
        <v>670</v>
      </c>
      <c r="C4409" t="s">
        <v>8689</v>
      </c>
      <c r="D4409" t="s">
        <v>46</v>
      </c>
      <c r="E4409">
        <v>26</v>
      </c>
      <c r="F4409" t="s">
        <v>54</v>
      </c>
      <c r="G4409" t="s">
        <v>407</v>
      </c>
      <c r="H4409" t="s">
        <v>8690</v>
      </c>
      <c r="I4409" s="1" t="d">
        <v>2013-06-15</v>
      </c>
      <c r="J4409" t="s">
        <v>7023</v>
      </c>
      <c r="K4409" s="17" t="s">
        <v>42</v>
      </c>
      <c r="L4409">
        <v>3</v>
      </c>
    </row>
    <row r="4410" spans="1:12" x14ac:dyDescent="0.25">
      <c r="A4410" t="s">
        <v>8691</v>
      </c>
      <c r="B4410" t="s">
        <v>1096</v>
      </c>
      <c r="C4410" t="s">
        <v>93</v>
      </c>
      <c r="D4410" t="s">
        <v>9527</v>
      </c>
      <c r="E4410">
        <v>34</v>
      </c>
      <c r="F4410" t="s">
        <v>532</v>
      </c>
      <c r="G4410" t="s">
        <v>55</v>
      </c>
      <c r="H4410" t="s">
        <v>8692</v>
      </c>
      <c r="I4410" s="1" t="d">
        <v>2015-08-08</v>
      </c>
      <c r="J4410" t="s">
        <v>6944</v>
      </c>
      <c r="K4410" s="17" t="s">
        <v>34</v>
      </c>
      <c r="L4410">
        <v>4</v>
      </c>
    </row>
    <row r="4411" spans="1:12" x14ac:dyDescent="0.25">
      <c r="A4411" t="s">
        <v>8693</v>
      </c>
      <c r="B4411" t="s">
        <v>8694</v>
      </c>
      <c r="C4411" t="s">
        <v>516</v>
      </c>
      <c r="D4411" t="s">
        <v>23</v>
      </c>
      <c r="E4411">
        <v>46</v>
      </c>
      <c r="F4411" t="s">
        <v>153</v>
      </c>
      <c r="G4411" t="s">
        <v>177</v>
      </c>
      <c r="H4411">
        <v>66979</v>
      </c>
      <c r="I4411" s="1" t="d">
        <v>2015-09-05</v>
      </c>
      <c r="J4411" t="s">
        <v>3494</v>
      </c>
      <c r="K4411" s="17" t="s">
        <v>58</v>
      </c>
      <c r="L4411">
        <v>3</v>
      </c>
    </row>
    <row r="4412" spans="1:12" x14ac:dyDescent="0.25">
      <c r="A4412" t="s">
        <v>8695</v>
      </c>
      <c r="B4412" t="s">
        <v>507</v>
      </c>
      <c r="C4412" t="s">
        <v>1517</v>
      </c>
      <c r="D4412" t="s">
        <v>46</v>
      </c>
      <c r="E4412">
        <v>28</v>
      </c>
      <c r="F4412" t="s">
        <v>62</v>
      </c>
      <c r="G4412" t="s">
        <v>182</v>
      </c>
      <c r="I4412" s="1" t="d">
        <v>2016-04-05</v>
      </c>
      <c r="J4412" t="s">
        <v>2857</v>
      </c>
      <c r="K4412" s="17" t="s">
        <v>370</v>
      </c>
      <c r="L4412">
        <v>3</v>
      </c>
    </row>
    <row r="4413" spans="1:12" x14ac:dyDescent="0.25">
      <c r="A4413" t="s">
        <v>8696</v>
      </c>
      <c r="B4413" t="s">
        <v>180</v>
      </c>
      <c r="C4413" t="s">
        <v>715</v>
      </c>
      <c r="D4413" t="s">
        <v>46</v>
      </c>
      <c r="E4413">
        <v>23</v>
      </c>
      <c r="F4413" t="s">
        <v>365</v>
      </c>
      <c r="G4413" t="s">
        <v>357</v>
      </c>
      <c r="H4413">
        <v>73718</v>
      </c>
      <c r="I4413" s="1" t="d">
        <v>2008-03-29</v>
      </c>
      <c r="J4413" t="s">
        <v>183</v>
      </c>
      <c r="K4413" s="17" t="s">
        <v>27</v>
      </c>
      <c r="L4413">
        <v>2</v>
      </c>
    </row>
    <row r="4414" spans="1:12" x14ac:dyDescent="0.25">
      <c r="A4414" t="s">
        <v>8697</v>
      </c>
      <c r="B4414" t="s">
        <v>130</v>
      </c>
      <c r="C4414" t="s">
        <v>1538</v>
      </c>
      <c r="D4414" t="s">
        <v>9527</v>
      </c>
      <c r="E4414">
        <v>27</v>
      </c>
      <c r="F4414" t="s">
        <v>406</v>
      </c>
      <c r="G4414" t="s">
        <v>39</v>
      </c>
      <c r="H4414">
        <v>42882</v>
      </c>
      <c r="I4414" s="1" t="d">
        <v>2010-08-14</v>
      </c>
      <c r="J4414" t="s">
        <v>4795</v>
      </c>
      <c r="K4414" s="17" t="s">
        <v>50</v>
      </c>
      <c r="L4414">
        <v>4</v>
      </c>
    </row>
    <row r="4415" spans="1:12" x14ac:dyDescent="0.25">
      <c r="A4415" t="s">
        <v>8698</v>
      </c>
      <c r="B4415" t="s">
        <v>2252</v>
      </c>
      <c r="C4415" t="s">
        <v>390</v>
      </c>
      <c r="D4415" t="s">
        <v>46</v>
      </c>
      <c r="E4415">
        <v>33</v>
      </c>
      <c r="F4415" t="s">
        <v>230</v>
      </c>
      <c r="G4415" t="s">
        <v>337</v>
      </c>
      <c r="H4415">
        <v>55257</v>
      </c>
      <c r="I4415" s="1" t="d">
        <v>2024-05-03</v>
      </c>
      <c r="J4415" t="s">
        <v>8243</v>
      </c>
      <c r="K4415" s="17" t="s">
        <v>207</v>
      </c>
      <c r="L4415">
        <v>2</v>
      </c>
    </row>
    <row r="4416" spans="1:12" x14ac:dyDescent="0.25">
      <c r="A4416" t="s">
        <v>8699</v>
      </c>
      <c r="B4416" t="s">
        <v>520</v>
      </c>
      <c r="C4416" t="s">
        <v>618</v>
      </c>
      <c r="D4416" t="s">
        <v>9527</v>
      </c>
      <c r="E4416">
        <v>33</v>
      </c>
      <c r="F4416" t="s">
        <v>559</v>
      </c>
      <c r="G4416" t="s">
        <v>177</v>
      </c>
      <c r="H4416" t="s">
        <v>8700</v>
      </c>
      <c r="I4416" s="1" t="d">
        <v>2005-12-06</v>
      </c>
      <c r="J4416" t="s">
        <v>2902</v>
      </c>
      <c r="K4416" s="17" t="s">
        <v>370</v>
      </c>
      <c r="L4416">
        <v>4</v>
      </c>
    </row>
    <row r="4417" spans="1:12" x14ac:dyDescent="0.25">
      <c r="A4417" t="s">
        <v>8598</v>
      </c>
      <c r="B4417" t="s">
        <v>594</v>
      </c>
      <c r="C4417" t="s">
        <v>1306</v>
      </c>
      <c r="D4417" t="s">
        <v>9527</v>
      </c>
      <c r="E4417">
        <v>27</v>
      </c>
      <c r="F4417" t="s">
        <v>126</v>
      </c>
      <c r="G4417" t="s">
        <v>82</v>
      </c>
      <c r="H4417" t="s">
        <v>8599</v>
      </c>
      <c r="I4417" s="1" t="d">
        <v>2023-02-10</v>
      </c>
      <c r="J4417" t="s">
        <v>553</v>
      </c>
      <c r="K4417" s="17" t="s">
        <v>58</v>
      </c>
      <c r="L4417">
        <v>4</v>
      </c>
    </row>
    <row r="4418" spans="1:12" x14ac:dyDescent="0.25">
      <c r="A4418" t="s">
        <v>8701</v>
      </c>
      <c r="B4418" t="s">
        <v>120</v>
      </c>
      <c r="C4418" t="s">
        <v>145</v>
      </c>
      <c r="D4418" t="s">
        <v>9527</v>
      </c>
      <c r="E4418">
        <v>23</v>
      </c>
      <c r="F4418" t="s">
        <v>350</v>
      </c>
      <c r="G4418" t="s">
        <v>1703</v>
      </c>
      <c r="H4418" t="s">
        <v>8702</v>
      </c>
      <c r="I4418" s="1" t="d">
        <v>2013-08-30</v>
      </c>
      <c r="J4418" t="s">
        <v>7117</v>
      </c>
      <c r="K4418" s="17" t="s">
        <v>50</v>
      </c>
      <c r="L4418">
        <v>4</v>
      </c>
    </row>
    <row r="4419" spans="1:12" x14ac:dyDescent="0.25">
      <c r="A4419" t="s">
        <v>8703</v>
      </c>
      <c r="B4419" t="s">
        <v>44</v>
      </c>
      <c r="C4419" t="s">
        <v>1630</v>
      </c>
      <c r="D4419" t="s">
        <v>9527</v>
      </c>
      <c r="E4419">
        <v>23</v>
      </c>
      <c r="F4419" t="s">
        <v>245</v>
      </c>
      <c r="G4419" t="s">
        <v>1556</v>
      </c>
      <c r="H4419" s="2">
        <v>57496</v>
      </c>
      <c r="I4419" s="1" t="d">
        <v>2010-06-29</v>
      </c>
      <c r="J4419" t="s">
        <v>1732</v>
      </c>
      <c r="K4419" s="17" t="s">
        <v>34</v>
      </c>
      <c r="L4419">
        <v>3</v>
      </c>
    </row>
    <row r="4420" spans="1:12" x14ac:dyDescent="0.25">
      <c r="A4420" t="s">
        <v>6339</v>
      </c>
      <c r="B4420" t="s">
        <v>37</v>
      </c>
      <c r="C4420" t="s">
        <v>631</v>
      </c>
      <c r="D4420" t="s">
        <v>23</v>
      </c>
      <c r="E4420">
        <v>46</v>
      </c>
      <c r="F4420" t="s">
        <v>422</v>
      </c>
      <c r="G4420" t="s">
        <v>69</v>
      </c>
      <c r="H4420" t="s">
        <v>6340</v>
      </c>
      <c r="I4420" s="1" t="d">
        <v>2017-12-07</v>
      </c>
      <c r="J4420" t="s">
        <v>2995</v>
      </c>
      <c r="K4420" s="17" t="s">
        <v>118</v>
      </c>
      <c r="L4420">
        <v>4</v>
      </c>
    </row>
    <row r="4421" spans="1:12" x14ac:dyDescent="0.25">
      <c r="A4421" t="s">
        <v>8413</v>
      </c>
      <c r="B4421" t="s">
        <v>1213</v>
      </c>
      <c r="C4421" t="s">
        <v>244</v>
      </c>
      <c r="D4421" t="s">
        <v>23</v>
      </c>
      <c r="E4421">
        <v>36</v>
      </c>
      <c r="F4421" t="s">
        <v>406</v>
      </c>
      <c r="G4421" t="s">
        <v>115</v>
      </c>
      <c r="H4421" s="2">
        <v>48281</v>
      </c>
      <c r="I4421" s="1" t="d">
        <v>2015-09-11</v>
      </c>
      <c r="J4421" t="s">
        <v>3709</v>
      </c>
      <c r="K4421" s="17" t="s">
        <v>207</v>
      </c>
      <c r="L4421">
        <v>1</v>
      </c>
    </row>
    <row r="4422" spans="1:12" x14ac:dyDescent="0.25">
      <c r="A4422" t="s">
        <v>8704</v>
      </c>
      <c r="B4422" t="s">
        <v>507</v>
      </c>
      <c r="C4422" t="s">
        <v>1030</v>
      </c>
      <c r="D4422" t="s">
        <v>23</v>
      </c>
      <c r="E4422">
        <v>37</v>
      </c>
      <c r="F4422" t="s">
        <v>114</v>
      </c>
      <c r="G4422" t="s">
        <v>1719</v>
      </c>
      <c r="H4422">
        <v>96545</v>
      </c>
      <c r="I4422" s="1" t="d">
        <v>2007-10-24</v>
      </c>
      <c r="J4422" t="s">
        <v>8705</v>
      </c>
      <c r="K4422" s="17" t="s">
        <v>370</v>
      </c>
      <c r="L4422">
        <v>4</v>
      </c>
    </row>
    <row r="4423" spans="1:12" x14ac:dyDescent="0.25">
      <c r="A4423" t="s">
        <v>8706</v>
      </c>
      <c r="B4423" t="s">
        <v>1241</v>
      </c>
      <c r="C4423" t="s">
        <v>758</v>
      </c>
      <c r="D4423" t="s">
        <v>23</v>
      </c>
      <c r="E4423">
        <v>30</v>
      </c>
      <c r="F4423" t="s">
        <v>126</v>
      </c>
      <c r="G4423" t="s">
        <v>217</v>
      </c>
      <c r="H4423" t="s">
        <v>8707</v>
      </c>
      <c r="J4423" t="s">
        <v>4643</v>
      </c>
      <c r="K4423" s="17" t="s">
        <v>184</v>
      </c>
      <c r="L4423">
        <v>4</v>
      </c>
    </row>
    <row r="4424" spans="1:12" x14ac:dyDescent="0.25">
      <c r="A4424" t="s">
        <v>8708</v>
      </c>
      <c r="B4424" t="s">
        <v>637</v>
      </c>
      <c r="C4424" t="s">
        <v>851</v>
      </c>
      <c r="D4424" t="s">
        <v>9527</v>
      </c>
      <c r="E4424">
        <v>31</v>
      </c>
      <c r="F4424" t="s">
        <v>196</v>
      </c>
      <c r="G4424" t="s">
        <v>351</v>
      </c>
      <c r="H4424" t="s">
        <v>8709</v>
      </c>
      <c r="I4424" s="1" t="d">
        <v>2018-02-11</v>
      </c>
      <c r="J4424" t="s">
        <v>4361</v>
      </c>
      <c r="K4424" s="17" t="s">
        <v>100</v>
      </c>
      <c r="L4424">
        <v>3</v>
      </c>
    </row>
    <row r="4425" spans="1:12" x14ac:dyDescent="0.25">
      <c r="A4425" t="s">
        <v>8710</v>
      </c>
      <c r="B4425" t="s">
        <v>594</v>
      </c>
      <c r="C4425" t="s">
        <v>805</v>
      </c>
      <c r="D4425" t="s">
        <v>9527</v>
      </c>
      <c r="E4425">
        <v>42</v>
      </c>
      <c r="F4425" t="s">
        <v>4689</v>
      </c>
      <c r="G4425" t="s">
        <v>39</v>
      </c>
      <c r="H4425">
        <v>61414</v>
      </c>
      <c r="I4425" s="1" t="d">
        <v>2022-04-30</v>
      </c>
      <c r="J4425" t="s">
        <v>303</v>
      </c>
      <c r="K4425" s="17" t="s">
        <v>149</v>
      </c>
      <c r="L4425">
        <v>4</v>
      </c>
    </row>
    <row r="4426" spans="1:12" x14ac:dyDescent="0.25">
      <c r="A4426" t="s">
        <v>8711</v>
      </c>
      <c r="B4426" t="s">
        <v>421</v>
      </c>
      <c r="C4426" t="s">
        <v>488</v>
      </c>
      <c r="D4426" t="s">
        <v>23</v>
      </c>
      <c r="E4426">
        <v>42</v>
      </c>
      <c r="F4426" t="s">
        <v>411</v>
      </c>
      <c r="G4426" t="s">
        <v>39</v>
      </c>
      <c r="H4426" t="s">
        <v>8712</v>
      </c>
      <c r="I4426" s="1" t="d">
        <v>2018-04-10</v>
      </c>
      <c r="J4426" t="s">
        <v>148</v>
      </c>
      <c r="K4426" s="17" t="s">
        <v>34</v>
      </c>
      <c r="L4426">
        <v>5</v>
      </c>
    </row>
    <row r="4427" spans="1:12" x14ac:dyDescent="0.25">
      <c r="A4427" t="s">
        <v>8713</v>
      </c>
      <c r="B4427" t="s">
        <v>4718</v>
      </c>
      <c r="C4427" t="s">
        <v>1030</v>
      </c>
      <c r="D4427" t="s">
        <v>23</v>
      </c>
      <c r="E4427">
        <v>21</v>
      </c>
      <c r="F4427" t="s">
        <v>38</v>
      </c>
      <c r="G4427" t="s">
        <v>191</v>
      </c>
      <c r="H4427" s="2">
        <v>48164</v>
      </c>
      <c r="I4427" s="1" t="d">
        <v>2020-06-07</v>
      </c>
      <c r="J4427" t="s">
        <v>5409</v>
      </c>
      <c r="K4427" s="17" t="s">
        <v>34</v>
      </c>
      <c r="L4427">
        <v>1</v>
      </c>
    </row>
    <row r="4428" spans="1:12" x14ac:dyDescent="0.25">
      <c r="A4428" t="s">
        <v>8714</v>
      </c>
      <c r="B4428" t="s">
        <v>1312</v>
      </c>
      <c r="C4428" t="s">
        <v>1306</v>
      </c>
      <c r="D4428" t="s">
        <v>23</v>
      </c>
      <c r="E4428">
        <v>58</v>
      </c>
      <c r="F4428" t="s">
        <v>484</v>
      </c>
      <c r="G4428" t="s">
        <v>48</v>
      </c>
      <c r="H4428" t="s">
        <v>8715</v>
      </c>
      <c r="I4428" s="1" t="d">
        <v>2016-03-16</v>
      </c>
      <c r="J4428" t="s">
        <v>587</v>
      </c>
      <c r="K4428" s="17" t="s">
        <v>149</v>
      </c>
      <c r="L4428">
        <v>4</v>
      </c>
    </row>
    <row r="4429" spans="1:12" x14ac:dyDescent="0.25">
      <c r="A4429" t="s">
        <v>8716</v>
      </c>
      <c r="B4429" t="s">
        <v>826</v>
      </c>
      <c r="C4429" t="s">
        <v>1622</v>
      </c>
      <c r="D4429" t="s">
        <v>46</v>
      </c>
      <c r="E4429">
        <v>57</v>
      </c>
      <c r="F4429" t="s">
        <v>411</v>
      </c>
      <c r="G4429" t="s">
        <v>500</v>
      </c>
      <c r="H4429" s="2">
        <v>62567</v>
      </c>
      <c r="I4429" s="1" t="d">
        <v>2016-05-05</v>
      </c>
      <c r="J4429" t="s">
        <v>7297</v>
      </c>
      <c r="K4429" s="17" t="s">
        <v>58</v>
      </c>
      <c r="L4429">
        <v>3</v>
      </c>
    </row>
    <row r="4430" spans="1:12" x14ac:dyDescent="0.25">
      <c r="A4430" t="s">
        <v>8717</v>
      </c>
      <c r="B4430" t="s">
        <v>112</v>
      </c>
      <c r="C4430" t="s">
        <v>318</v>
      </c>
      <c r="D4430" t="s">
        <v>9527</v>
      </c>
      <c r="E4430">
        <v>34</v>
      </c>
      <c r="F4430" t="s">
        <v>108</v>
      </c>
      <c r="G4430" t="s">
        <v>177</v>
      </c>
      <c r="H4430" t="s">
        <v>8718</v>
      </c>
      <c r="I4430" s="1" t="d">
        <v>2006-06-14</v>
      </c>
      <c r="J4430" t="s">
        <v>8719</v>
      </c>
      <c r="K4430" s="17" t="s">
        <v>71</v>
      </c>
      <c r="L4430">
        <v>3</v>
      </c>
    </row>
    <row r="4431" spans="1:12" x14ac:dyDescent="0.25">
      <c r="A4431" t="s">
        <v>8720</v>
      </c>
      <c r="B4431" t="s">
        <v>936</v>
      </c>
      <c r="C4431" t="s">
        <v>204</v>
      </c>
      <c r="D4431" t="s">
        <v>23</v>
      </c>
      <c r="E4431">
        <v>45</v>
      </c>
      <c r="F4431" t="s">
        <v>264</v>
      </c>
      <c r="G4431" t="s">
        <v>328</v>
      </c>
      <c r="H4431" t="s">
        <v>8721</v>
      </c>
      <c r="I4431" s="1" t="d">
        <v>2019-03-23</v>
      </c>
      <c r="J4431" t="s">
        <v>2447</v>
      </c>
      <c r="K4431" s="17" t="s">
        <v>42</v>
      </c>
      <c r="L4431">
        <v>5</v>
      </c>
    </row>
    <row r="4432" spans="1:12" x14ac:dyDescent="0.25">
      <c r="A4432" t="s">
        <v>8722</v>
      </c>
      <c r="B4432" t="s">
        <v>2222</v>
      </c>
      <c r="C4432" t="s">
        <v>215</v>
      </c>
      <c r="D4432" t="s">
        <v>23</v>
      </c>
      <c r="E4432">
        <v>46</v>
      </c>
      <c r="F4432" t="s">
        <v>1147</v>
      </c>
      <c r="G4432" t="s">
        <v>39</v>
      </c>
      <c r="H4432">
        <v>58467</v>
      </c>
      <c r="I4432" s="1" t="d">
        <v>2007-04-22</v>
      </c>
      <c r="J4432" t="s">
        <v>2429</v>
      </c>
      <c r="K4432" s="17" t="s">
        <v>207</v>
      </c>
      <c r="L4432">
        <v>3</v>
      </c>
    </row>
    <row r="4433" spans="1:12" x14ac:dyDescent="0.25">
      <c r="A4433" t="s">
        <v>8723</v>
      </c>
      <c r="B4433" t="s">
        <v>2365</v>
      </c>
      <c r="C4433" t="s">
        <v>729</v>
      </c>
      <c r="D4433" t="s">
        <v>9527</v>
      </c>
      <c r="E4433">
        <v>48</v>
      </c>
      <c r="F4433" t="s">
        <v>649</v>
      </c>
      <c r="G4433" t="s">
        <v>191</v>
      </c>
      <c r="H4433">
        <v>64120</v>
      </c>
      <c r="I4433" s="1" t="d">
        <v>2018-10-05</v>
      </c>
      <c r="J4433" t="s">
        <v>3171</v>
      </c>
      <c r="K4433" s="17" t="s">
        <v>19</v>
      </c>
      <c r="L4433">
        <v>5</v>
      </c>
    </row>
    <row r="4434" spans="1:12" x14ac:dyDescent="0.25">
      <c r="A4434" t="s">
        <v>8724</v>
      </c>
      <c r="B4434" t="s">
        <v>162</v>
      </c>
      <c r="C4434" t="s">
        <v>790</v>
      </c>
      <c r="D4434" t="s">
        <v>46</v>
      </c>
      <c r="E4434">
        <v>53</v>
      </c>
      <c r="F4434" t="s">
        <v>1699</v>
      </c>
      <c r="G4434" t="s">
        <v>39</v>
      </c>
      <c r="H4434" t="s">
        <v>8725</v>
      </c>
      <c r="I4434" s="1" t="d">
        <v>2016-05-23</v>
      </c>
      <c r="J4434" t="s">
        <v>3335</v>
      </c>
      <c r="K4434" s="17" t="s">
        <v>184</v>
      </c>
      <c r="L4434">
        <v>3</v>
      </c>
    </row>
    <row r="4435" spans="1:12" x14ac:dyDescent="0.25">
      <c r="A4435" t="s">
        <v>8726</v>
      </c>
      <c r="B4435" t="s">
        <v>3937</v>
      </c>
      <c r="C4435" t="s">
        <v>453</v>
      </c>
      <c r="D4435" t="s">
        <v>23</v>
      </c>
      <c r="E4435">
        <v>34</v>
      </c>
      <c r="F4435" t="s">
        <v>422</v>
      </c>
      <c r="G4435" t="s">
        <v>205</v>
      </c>
      <c r="H4435" t="s">
        <v>962</v>
      </c>
      <c r="I4435" s="1" t="d">
        <v>2013-03-01</v>
      </c>
      <c r="J4435" t="s">
        <v>454</v>
      </c>
      <c r="K4435" s="17" t="s">
        <v>149</v>
      </c>
      <c r="L4435">
        <v>4</v>
      </c>
    </row>
    <row r="4436" spans="1:12" x14ac:dyDescent="0.25">
      <c r="A4436" t="s">
        <v>8727</v>
      </c>
      <c r="B4436" t="s">
        <v>467</v>
      </c>
      <c r="C4436" t="s">
        <v>483</v>
      </c>
      <c r="D4436" t="s">
        <v>46</v>
      </c>
      <c r="E4436">
        <v>47</v>
      </c>
      <c r="F4436" t="s">
        <v>108</v>
      </c>
      <c r="G4436" t="s">
        <v>39</v>
      </c>
      <c r="H4436">
        <v>100470</v>
      </c>
      <c r="I4436" s="1" t="d">
        <v>2017-02-18</v>
      </c>
      <c r="J4436" t="s">
        <v>6104</v>
      </c>
      <c r="K4436" s="17" t="s">
        <v>58</v>
      </c>
      <c r="L4436">
        <v>5</v>
      </c>
    </row>
    <row r="4437" spans="1:12" x14ac:dyDescent="0.25">
      <c r="A4437" t="s">
        <v>8728</v>
      </c>
      <c r="B4437" t="s">
        <v>630</v>
      </c>
      <c r="C4437" t="s">
        <v>45</v>
      </c>
      <c r="D4437" t="s">
        <v>9527</v>
      </c>
      <c r="E4437">
        <v>34</v>
      </c>
      <c r="F4437" t="s">
        <v>200</v>
      </c>
      <c r="G4437" t="s">
        <v>39</v>
      </c>
      <c r="I4437" s="1" t="d">
        <v>2015-11-06</v>
      </c>
      <c r="J4437" t="s">
        <v>5107</v>
      </c>
      <c r="K4437" s="17" t="s">
        <v>118</v>
      </c>
      <c r="L4437">
        <v>3</v>
      </c>
    </row>
    <row r="4438" spans="1:12" x14ac:dyDescent="0.25">
      <c r="A4438" t="s">
        <v>8729</v>
      </c>
      <c r="B4438" t="s">
        <v>482</v>
      </c>
      <c r="C4438" t="s">
        <v>215</v>
      </c>
      <c r="D4438" t="s">
        <v>46</v>
      </c>
      <c r="E4438">
        <v>46</v>
      </c>
      <c r="G4438" t="s">
        <v>159</v>
      </c>
      <c r="I4438" s="1" t="d">
        <v>2024-08-07</v>
      </c>
      <c r="J4438" t="s">
        <v>2822</v>
      </c>
      <c r="K4438" s="17" t="s">
        <v>184</v>
      </c>
      <c r="L4438">
        <v>4</v>
      </c>
    </row>
    <row r="4439" spans="1:12" x14ac:dyDescent="0.25">
      <c r="A4439" t="s">
        <v>8730</v>
      </c>
      <c r="B4439" t="s">
        <v>670</v>
      </c>
      <c r="C4439" t="s">
        <v>45</v>
      </c>
      <c r="D4439" t="s">
        <v>23</v>
      </c>
      <c r="E4439">
        <v>49</v>
      </c>
      <c r="F4439" t="s">
        <v>1851</v>
      </c>
      <c r="G4439" t="s">
        <v>82</v>
      </c>
      <c r="H4439" s="2">
        <v>50846</v>
      </c>
      <c r="I4439" s="1" t="d">
        <v>2022-04-27</v>
      </c>
      <c r="J4439" t="s">
        <v>2327</v>
      </c>
      <c r="K4439" s="17" t="s">
        <v>90</v>
      </c>
      <c r="L4439">
        <v>3</v>
      </c>
    </row>
    <row r="4440" spans="1:12" x14ac:dyDescent="0.25">
      <c r="A4440" t="s">
        <v>8731</v>
      </c>
      <c r="B4440" t="s">
        <v>594</v>
      </c>
      <c r="C4440" t="s">
        <v>5084</v>
      </c>
      <c r="D4440" t="s">
        <v>46</v>
      </c>
      <c r="E4440">
        <v>23</v>
      </c>
      <c r="F4440" t="s">
        <v>978</v>
      </c>
      <c r="G4440" t="s">
        <v>115</v>
      </c>
      <c r="I4440" s="1" t="d">
        <v>2007-11-14</v>
      </c>
      <c r="J4440" t="s">
        <v>5689</v>
      </c>
      <c r="K4440" s="17" t="s">
        <v>27</v>
      </c>
      <c r="L4440">
        <v>3</v>
      </c>
    </row>
    <row r="4441" spans="1:12" x14ac:dyDescent="0.25">
      <c r="A4441" t="s">
        <v>8732</v>
      </c>
      <c r="B4441" t="s">
        <v>60</v>
      </c>
      <c r="C4441" t="s">
        <v>268</v>
      </c>
      <c r="D4441" t="s">
        <v>9527</v>
      </c>
      <c r="E4441">
        <v>44</v>
      </c>
      <c r="F4441" t="s">
        <v>38</v>
      </c>
      <c r="G4441" t="s">
        <v>177</v>
      </c>
      <c r="H4441">
        <v>56525</v>
      </c>
      <c r="I4441" s="1" t="d">
        <v>2022-10-15</v>
      </c>
      <c r="J4441" t="s">
        <v>1566</v>
      </c>
      <c r="K4441" s="17" t="s">
        <v>90</v>
      </c>
      <c r="L4441">
        <v>3</v>
      </c>
    </row>
    <row r="4442" spans="1:12" x14ac:dyDescent="0.25">
      <c r="A4442" t="s">
        <v>8733</v>
      </c>
      <c r="B4442" t="s">
        <v>648</v>
      </c>
      <c r="C4442" t="s">
        <v>145</v>
      </c>
      <c r="D4442" t="s">
        <v>46</v>
      </c>
      <c r="E4442">
        <v>38</v>
      </c>
      <c r="F4442" t="s">
        <v>1950</v>
      </c>
      <c r="G4442" t="s">
        <v>191</v>
      </c>
      <c r="H4442" t="s">
        <v>8734</v>
      </c>
      <c r="I4442" s="1" t="d">
        <v>2007-02-22</v>
      </c>
      <c r="J4442" t="s">
        <v>8735</v>
      </c>
      <c r="K4442" s="17" t="s">
        <v>184</v>
      </c>
      <c r="L4442">
        <v>3</v>
      </c>
    </row>
    <row r="4443" spans="1:12" x14ac:dyDescent="0.25">
      <c r="A4443" t="s">
        <v>8736</v>
      </c>
      <c r="B4443" t="s">
        <v>199</v>
      </c>
      <c r="C4443" t="s">
        <v>8737</v>
      </c>
      <c r="D4443" t="s">
        <v>9527</v>
      </c>
      <c r="E4443">
        <v>46</v>
      </c>
      <c r="F4443" t="s">
        <v>859</v>
      </c>
      <c r="G4443" t="s">
        <v>177</v>
      </c>
      <c r="I4443" s="1" t="d">
        <v>2008-03-10</v>
      </c>
      <c r="J4443" t="s">
        <v>5409</v>
      </c>
      <c r="K4443" s="17" t="s">
        <v>90</v>
      </c>
      <c r="L4443">
        <v>5</v>
      </c>
    </row>
    <row r="4444" spans="1:12" x14ac:dyDescent="0.25">
      <c r="A4444" t="s">
        <v>8738</v>
      </c>
      <c r="B4444" t="s">
        <v>37</v>
      </c>
      <c r="C4444" t="s">
        <v>710</v>
      </c>
      <c r="D4444" t="s">
        <v>46</v>
      </c>
      <c r="E4444">
        <v>49</v>
      </c>
      <c r="F4444" t="s">
        <v>169</v>
      </c>
      <c r="G4444" t="s">
        <v>141</v>
      </c>
      <c r="H4444" t="s">
        <v>8739</v>
      </c>
      <c r="I4444" s="1" t="d">
        <v>2007-12-17</v>
      </c>
      <c r="J4444" t="s">
        <v>5956</v>
      </c>
      <c r="K4444" s="17" t="s">
        <v>19</v>
      </c>
      <c r="L4444">
        <v>4</v>
      </c>
    </row>
    <row r="4445" spans="1:12" x14ac:dyDescent="0.25">
      <c r="A4445" t="s">
        <v>8740</v>
      </c>
      <c r="B4445" t="s">
        <v>281</v>
      </c>
      <c r="C4445" t="s">
        <v>758</v>
      </c>
      <c r="D4445" t="s">
        <v>9527</v>
      </c>
      <c r="E4445">
        <v>31</v>
      </c>
      <c r="F4445" t="s">
        <v>532</v>
      </c>
      <c r="G4445" t="s">
        <v>205</v>
      </c>
      <c r="H4445" t="s">
        <v>8741</v>
      </c>
      <c r="I4445" s="1" t="d">
        <v>2015-03-20</v>
      </c>
      <c r="J4445" t="s">
        <v>1666</v>
      </c>
      <c r="K4445" s="17" t="s">
        <v>58</v>
      </c>
      <c r="L4445">
        <v>3</v>
      </c>
    </row>
    <row r="4446" spans="1:12" x14ac:dyDescent="0.25">
      <c r="A4446" t="s">
        <v>8742</v>
      </c>
      <c r="B4446" t="s">
        <v>470</v>
      </c>
      <c r="C4446" t="s">
        <v>1494</v>
      </c>
      <c r="D4446" t="s">
        <v>46</v>
      </c>
      <c r="E4446">
        <v>30</v>
      </c>
      <c r="F4446" t="s">
        <v>258</v>
      </c>
      <c r="G4446" t="s">
        <v>82</v>
      </c>
      <c r="I4446" s="1" t="d">
        <v>2022-07-31</v>
      </c>
      <c r="J4446" t="s">
        <v>5722</v>
      </c>
      <c r="K4446" s="17" t="s">
        <v>42</v>
      </c>
      <c r="L4446">
        <v>4</v>
      </c>
    </row>
    <row r="4447" spans="1:12" x14ac:dyDescent="0.25">
      <c r="A4447" t="s">
        <v>8743</v>
      </c>
      <c r="B4447" t="s">
        <v>833</v>
      </c>
      <c r="C4447" t="s">
        <v>474</v>
      </c>
      <c r="D4447" t="s">
        <v>9527</v>
      </c>
      <c r="E4447">
        <v>28</v>
      </c>
      <c r="F4447" t="s">
        <v>978</v>
      </c>
      <c r="G4447" t="s">
        <v>170</v>
      </c>
      <c r="H4447">
        <v>78082</v>
      </c>
      <c r="I4447" s="1" t="d">
        <v>2012-10-16</v>
      </c>
      <c r="J4447" t="s">
        <v>2047</v>
      </c>
      <c r="K4447" s="17" t="s">
        <v>370</v>
      </c>
      <c r="L4447">
        <v>3</v>
      </c>
    </row>
    <row r="4448" spans="1:12" x14ac:dyDescent="0.25">
      <c r="A4448" t="s">
        <v>8744</v>
      </c>
      <c r="B4448" t="s">
        <v>385</v>
      </c>
      <c r="C4448" t="s">
        <v>295</v>
      </c>
      <c r="D4448" t="s">
        <v>46</v>
      </c>
      <c r="E4448">
        <v>38</v>
      </c>
      <c r="F4448" t="s">
        <v>666</v>
      </c>
      <c r="G4448" t="s">
        <v>39</v>
      </c>
      <c r="H4448">
        <v>56732</v>
      </c>
      <c r="I4448" s="1" t="d">
        <v>2011-10-27</v>
      </c>
      <c r="J4448" t="s">
        <v>2059</v>
      </c>
      <c r="K4448" s="17" t="s">
        <v>149</v>
      </c>
      <c r="L4448">
        <v>3</v>
      </c>
    </row>
    <row r="4449" spans="1:12" x14ac:dyDescent="0.25">
      <c r="A4449" t="s">
        <v>8745</v>
      </c>
      <c r="B4449" t="s">
        <v>130</v>
      </c>
      <c r="C4449" t="s">
        <v>1770</v>
      </c>
      <c r="D4449" t="s">
        <v>9527</v>
      </c>
      <c r="E4449">
        <v>51</v>
      </c>
      <c r="F4449" t="s">
        <v>859</v>
      </c>
      <c r="G4449" t="s">
        <v>177</v>
      </c>
      <c r="J4449" t="s">
        <v>2524</v>
      </c>
      <c r="K4449" s="17" t="s">
        <v>71</v>
      </c>
      <c r="L4449">
        <v>3</v>
      </c>
    </row>
    <row r="4450" spans="1:12" x14ac:dyDescent="0.25">
      <c r="A4450" t="s">
        <v>8746</v>
      </c>
      <c r="B4450" t="s">
        <v>21</v>
      </c>
      <c r="C4450" t="s">
        <v>61</v>
      </c>
      <c r="D4450" t="s">
        <v>46</v>
      </c>
      <c r="E4450">
        <v>41</v>
      </c>
      <c r="F4450" t="s">
        <v>108</v>
      </c>
      <c r="G4450" t="s">
        <v>82</v>
      </c>
      <c r="J4450" t="s">
        <v>1906</v>
      </c>
      <c r="K4450" s="17" t="s">
        <v>42</v>
      </c>
      <c r="L4450">
        <v>3</v>
      </c>
    </row>
    <row r="4451" spans="1:12" x14ac:dyDescent="0.25">
      <c r="A4451" t="s">
        <v>8747</v>
      </c>
      <c r="B4451" t="s">
        <v>936</v>
      </c>
      <c r="C4451" t="s">
        <v>5063</v>
      </c>
      <c r="D4451" t="s">
        <v>23</v>
      </c>
      <c r="E4451">
        <v>35</v>
      </c>
      <c r="F4451" t="s">
        <v>859</v>
      </c>
      <c r="G4451" t="s">
        <v>212</v>
      </c>
      <c r="H4451" s="2">
        <v>71247</v>
      </c>
      <c r="I4451" s="1" t="d">
        <v>2020-04-02</v>
      </c>
      <c r="J4451" t="s">
        <v>3431</v>
      </c>
      <c r="K4451" s="17" t="s">
        <v>100</v>
      </c>
      <c r="L4451">
        <v>2</v>
      </c>
    </row>
    <row r="4452" spans="1:12" x14ac:dyDescent="0.25">
      <c r="A4452" t="s">
        <v>8748</v>
      </c>
      <c r="B4452" t="s">
        <v>981</v>
      </c>
      <c r="C4452" t="s">
        <v>724</v>
      </c>
      <c r="D4452" t="s">
        <v>46</v>
      </c>
      <c r="E4452">
        <v>41</v>
      </c>
      <c r="F4452" t="s">
        <v>200</v>
      </c>
      <c r="G4452" t="s">
        <v>16</v>
      </c>
      <c r="I4452" s="1" t="d">
        <v>2008-06-06</v>
      </c>
      <c r="J4452" t="s">
        <v>1609</v>
      </c>
      <c r="K4452" s="17" t="s">
        <v>184</v>
      </c>
      <c r="L4452">
        <v>3</v>
      </c>
    </row>
    <row r="4453" spans="1:12" x14ac:dyDescent="0.25">
      <c r="A4453" t="s">
        <v>8749</v>
      </c>
      <c r="B4453" t="s">
        <v>630</v>
      </c>
      <c r="C4453" t="s">
        <v>204</v>
      </c>
      <c r="D4453" t="s">
        <v>46</v>
      </c>
      <c r="E4453">
        <v>47</v>
      </c>
      <c r="F4453" t="s">
        <v>989</v>
      </c>
      <c r="G4453" t="s">
        <v>177</v>
      </c>
      <c r="H4453" t="s">
        <v>8750</v>
      </c>
      <c r="I4453" s="1" t="d">
        <v>2023-05-27</v>
      </c>
      <c r="J4453" t="s">
        <v>6607</v>
      </c>
      <c r="K4453" s="17" t="s">
        <v>50</v>
      </c>
      <c r="L4453">
        <v>4</v>
      </c>
    </row>
    <row r="4454" spans="1:12" x14ac:dyDescent="0.25">
      <c r="A4454" t="s">
        <v>3711</v>
      </c>
      <c r="B4454" t="s">
        <v>833</v>
      </c>
      <c r="C4454" t="s">
        <v>416</v>
      </c>
      <c r="D4454" t="s">
        <v>46</v>
      </c>
      <c r="E4454">
        <v>21</v>
      </c>
      <c r="F4454" t="s">
        <v>373</v>
      </c>
      <c r="G4454" t="s">
        <v>16</v>
      </c>
      <c r="H4454" s="2">
        <v>133161</v>
      </c>
      <c r="I4454" s="1" t="d">
        <v>2020-04-08</v>
      </c>
      <c r="J4454" t="s">
        <v>3712</v>
      </c>
      <c r="K4454" s="17" t="s">
        <v>118</v>
      </c>
      <c r="L4454">
        <v>3</v>
      </c>
    </row>
    <row r="4455" spans="1:12" x14ac:dyDescent="0.25">
      <c r="A4455" t="s">
        <v>8751</v>
      </c>
      <c r="B4455" t="s">
        <v>102</v>
      </c>
      <c r="C4455" t="s">
        <v>5307</v>
      </c>
      <c r="D4455" t="s">
        <v>23</v>
      </c>
      <c r="E4455">
        <v>48</v>
      </c>
      <c r="F4455" t="s">
        <v>559</v>
      </c>
      <c r="G4455" t="s">
        <v>177</v>
      </c>
      <c r="I4455" s="1" t="d">
        <v>2010-07-26</v>
      </c>
      <c r="J4455" t="s">
        <v>160</v>
      </c>
      <c r="K4455" s="17" t="s">
        <v>149</v>
      </c>
      <c r="L4455">
        <v>4</v>
      </c>
    </row>
    <row r="4456" spans="1:12" x14ac:dyDescent="0.25">
      <c r="A4456" t="s">
        <v>8752</v>
      </c>
      <c r="B4456" t="s">
        <v>199</v>
      </c>
      <c r="C4456" t="s">
        <v>483</v>
      </c>
      <c r="D4456" t="s">
        <v>23</v>
      </c>
      <c r="E4456">
        <v>50</v>
      </c>
      <c r="F4456" t="s">
        <v>399</v>
      </c>
      <c r="G4456" t="s">
        <v>212</v>
      </c>
      <c r="H4456">
        <v>66237</v>
      </c>
      <c r="I4456" s="1" t="d">
        <v>2021-12-23</v>
      </c>
      <c r="J4456" t="s">
        <v>1741</v>
      </c>
      <c r="K4456" s="17" t="s">
        <v>50</v>
      </c>
      <c r="L4456">
        <v>3</v>
      </c>
    </row>
    <row r="4457" spans="1:12" x14ac:dyDescent="0.25">
      <c r="A4457" t="s">
        <v>8753</v>
      </c>
      <c r="B4457" t="s">
        <v>1350</v>
      </c>
      <c r="C4457" t="s">
        <v>4216</v>
      </c>
      <c r="D4457" t="s">
        <v>9527</v>
      </c>
      <c r="E4457">
        <v>31</v>
      </c>
      <c r="F4457" t="s">
        <v>859</v>
      </c>
      <c r="G4457" t="s">
        <v>16</v>
      </c>
      <c r="H4457" t="s">
        <v>8754</v>
      </c>
      <c r="I4457" s="1" t="d">
        <v>2020-05-08</v>
      </c>
      <c r="J4457" t="s">
        <v>1748</v>
      </c>
      <c r="K4457" s="17" t="s">
        <v>370</v>
      </c>
      <c r="L4457">
        <v>2</v>
      </c>
    </row>
    <row r="4458" spans="1:12" x14ac:dyDescent="0.25">
      <c r="A4458" t="s">
        <v>8755</v>
      </c>
      <c r="B4458" t="s">
        <v>7524</v>
      </c>
      <c r="C4458" t="s">
        <v>67</v>
      </c>
      <c r="D4458" t="s">
        <v>23</v>
      </c>
      <c r="E4458">
        <v>32</v>
      </c>
      <c r="F4458" t="s">
        <v>238</v>
      </c>
      <c r="G4458" t="s">
        <v>278</v>
      </c>
      <c r="I4458" s="1" t="d">
        <v>2020-01-29</v>
      </c>
      <c r="J4458" t="s">
        <v>3105</v>
      </c>
      <c r="K4458" s="17" t="s">
        <v>34</v>
      </c>
      <c r="L4458">
        <v>5</v>
      </c>
    </row>
    <row r="4459" spans="1:12" x14ac:dyDescent="0.25">
      <c r="A4459" t="s">
        <v>8756</v>
      </c>
      <c r="B4459" t="s">
        <v>134</v>
      </c>
      <c r="C4459" t="s">
        <v>1384</v>
      </c>
      <c r="D4459" t="s">
        <v>9527</v>
      </c>
      <c r="E4459">
        <v>41</v>
      </c>
      <c r="F4459" t="s">
        <v>153</v>
      </c>
      <c r="G4459" t="s">
        <v>69</v>
      </c>
      <c r="H4459">
        <v>88248</v>
      </c>
      <c r="I4459" s="1" t="d">
        <v>2011-09-21</v>
      </c>
      <c r="J4459" t="s">
        <v>3576</v>
      </c>
      <c r="K4459" s="17" t="s">
        <v>50</v>
      </c>
      <c r="L4459">
        <v>4</v>
      </c>
    </row>
    <row r="4460" spans="1:12" x14ac:dyDescent="0.25">
      <c r="A4460" t="s">
        <v>3110</v>
      </c>
      <c r="B4460" t="s">
        <v>2041</v>
      </c>
      <c r="C4460" t="s">
        <v>45</v>
      </c>
      <c r="D4460" t="s">
        <v>9527</v>
      </c>
      <c r="E4460">
        <v>42</v>
      </c>
      <c r="F4460" t="s">
        <v>411</v>
      </c>
      <c r="G4460" t="s">
        <v>1215</v>
      </c>
      <c r="H4460" t="s">
        <v>8757</v>
      </c>
      <c r="I4460" s="1" t="d">
        <v>2019-08-08</v>
      </c>
      <c r="J4460" t="s">
        <v>3112</v>
      </c>
      <c r="K4460" s="17" t="s">
        <v>34</v>
      </c>
      <c r="L4460">
        <v>4</v>
      </c>
    </row>
    <row r="4461" spans="1:12" x14ac:dyDescent="0.25">
      <c r="A4461" t="s">
        <v>8758</v>
      </c>
      <c r="B4461" t="s">
        <v>130</v>
      </c>
      <c r="C4461" t="s">
        <v>215</v>
      </c>
      <c r="D4461" t="s">
        <v>9527</v>
      </c>
      <c r="E4461">
        <v>32</v>
      </c>
      <c r="F4461" t="s">
        <v>319</v>
      </c>
      <c r="G4461" t="s">
        <v>191</v>
      </c>
      <c r="H4461" t="s">
        <v>8759</v>
      </c>
      <c r="I4461" s="1" t="d">
        <v>2020-02-15</v>
      </c>
      <c r="J4461" t="s">
        <v>2176</v>
      </c>
      <c r="K4461" s="17" t="s">
        <v>42</v>
      </c>
      <c r="L4461">
        <v>5</v>
      </c>
    </row>
    <row r="4462" spans="1:12" x14ac:dyDescent="0.25">
      <c r="A4462" t="s">
        <v>8760</v>
      </c>
      <c r="B4462" t="s">
        <v>394</v>
      </c>
      <c r="C4462" t="s">
        <v>93</v>
      </c>
      <c r="D4462" t="s">
        <v>23</v>
      </c>
      <c r="E4462">
        <v>23</v>
      </c>
      <c r="F4462" t="s">
        <v>411</v>
      </c>
      <c r="G4462" t="s">
        <v>458</v>
      </c>
      <c r="H4462" t="s">
        <v>8761</v>
      </c>
      <c r="I4462" s="1" t="d">
        <v>2012-02-20</v>
      </c>
      <c r="J4462" t="s">
        <v>7120</v>
      </c>
      <c r="K4462" s="17" t="s">
        <v>27</v>
      </c>
      <c r="L4462">
        <v>3</v>
      </c>
    </row>
    <row r="4463" spans="1:12" x14ac:dyDescent="0.25">
      <c r="A4463" t="s">
        <v>8762</v>
      </c>
      <c r="B4463" t="s">
        <v>709</v>
      </c>
      <c r="C4463" t="s">
        <v>2737</v>
      </c>
      <c r="D4463" t="s">
        <v>9527</v>
      </c>
      <c r="E4463">
        <v>35</v>
      </c>
      <c r="F4463" t="s">
        <v>211</v>
      </c>
      <c r="G4463" t="s">
        <v>82</v>
      </c>
      <c r="I4463" s="1" t="d">
        <v>2015-04-21</v>
      </c>
      <c r="J4463" t="s">
        <v>4733</v>
      </c>
      <c r="K4463" s="17" t="s">
        <v>149</v>
      </c>
      <c r="L4463">
        <v>4</v>
      </c>
    </row>
    <row r="4464" spans="1:12" x14ac:dyDescent="0.25">
      <c r="A4464" t="s">
        <v>8763</v>
      </c>
      <c r="B4464" t="s">
        <v>8764</v>
      </c>
      <c r="C4464" t="s">
        <v>1039</v>
      </c>
      <c r="D4464" t="s">
        <v>9527</v>
      </c>
      <c r="E4464">
        <v>47</v>
      </c>
      <c r="F4464" t="s">
        <v>356</v>
      </c>
      <c r="G4464" t="s">
        <v>82</v>
      </c>
      <c r="H4464" s="2">
        <v>87914</v>
      </c>
      <c r="I4464" s="1" t="d">
        <v>2024-07-08</v>
      </c>
      <c r="J4464" t="s">
        <v>929</v>
      </c>
      <c r="K4464" s="17" t="s">
        <v>184</v>
      </c>
      <c r="L4464">
        <v>3</v>
      </c>
    </row>
    <row r="4465" spans="1:12" x14ac:dyDescent="0.25">
      <c r="A4465" t="s">
        <v>6656</v>
      </c>
      <c r="B4465" t="s">
        <v>664</v>
      </c>
      <c r="C4465" t="s">
        <v>336</v>
      </c>
      <c r="D4465" t="s">
        <v>46</v>
      </c>
      <c r="E4465">
        <v>57</v>
      </c>
      <c r="F4465" t="s">
        <v>576</v>
      </c>
      <c r="G4465" t="s">
        <v>191</v>
      </c>
      <c r="H4465" t="s">
        <v>8765</v>
      </c>
      <c r="I4465" s="1" t="d">
        <v>2007-12-30</v>
      </c>
      <c r="J4465" t="s">
        <v>414</v>
      </c>
      <c r="K4465" s="17" t="s">
        <v>184</v>
      </c>
      <c r="L4465">
        <v>4</v>
      </c>
    </row>
    <row r="4466" spans="1:12" x14ac:dyDescent="0.25">
      <c r="A4466" t="s">
        <v>8766</v>
      </c>
      <c r="B4466" t="s">
        <v>1403</v>
      </c>
      <c r="C4466" t="s">
        <v>1356</v>
      </c>
      <c r="D4466" t="s">
        <v>46</v>
      </c>
      <c r="E4466">
        <v>32</v>
      </c>
      <c r="F4466" t="s">
        <v>230</v>
      </c>
      <c r="G4466" t="s">
        <v>82</v>
      </c>
      <c r="H4466">
        <v>54837</v>
      </c>
      <c r="I4466" s="1" t="d">
        <v>2012-05-21</v>
      </c>
      <c r="J4466" t="s">
        <v>1435</v>
      </c>
      <c r="K4466" s="17" t="s">
        <v>27</v>
      </c>
      <c r="L4466">
        <v>4</v>
      </c>
    </row>
    <row r="4467" spans="1:12" x14ac:dyDescent="0.25">
      <c r="A4467" t="s">
        <v>8767</v>
      </c>
      <c r="B4467" t="s">
        <v>566</v>
      </c>
      <c r="C4467" t="s">
        <v>483</v>
      </c>
      <c r="D4467" t="s">
        <v>9527</v>
      </c>
      <c r="E4467">
        <v>34</v>
      </c>
      <c r="F4467" t="s">
        <v>645</v>
      </c>
      <c r="G4467" t="s">
        <v>212</v>
      </c>
      <c r="H4467" s="2">
        <v>54933</v>
      </c>
      <c r="I4467" s="1" t="d">
        <v>2022-09-25</v>
      </c>
      <c r="J4467" t="s">
        <v>569</v>
      </c>
      <c r="K4467" s="17" t="s">
        <v>90</v>
      </c>
      <c r="L4467">
        <v>4</v>
      </c>
    </row>
    <row r="4468" spans="1:12" x14ac:dyDescent="0.25">
      <c r="A4468" t="s">
        <v>8768</v>
      </c>
      <c r="B4468" t="s">
        <v>999</v>
      </c>
      <c r="C4468" t="s">
        <v>696</v>
      </c>
      <c r="D4468" t="s">
        <v>46</v>
      </c>
      <c r="E4468">
        <v>32</v>
      </c>
      <c r="F4468" t="s">
        <v>68</v>
      </c>
      <c r="G4468" t="s">
        <v>357</v>
      </c>
      <c r="H4468" t="s">
        <v>8769</v>
      </c>
      <c r="I4468" s="1" t="d">
        <v>2024-09-09</v>
      </c>
      <c r="J4468" t="s">
        <v>3946</v>
      </c>
      <c r="K4468" s="17" t="s">
        <v>207</v>
      </c>
      <c r="L4468">
        <v>3</v>
      </c>
    </row>
    <row r="4469" spans="1:12" x14ac:dyDescent="0.25">
      <c r="A4469" t="s">
        <v>8770</v>
      </c>
      <c r="B4469" t="s">
        <v>102</v>
      </c>
      <c r="C4469" t="s">
        <v>93</v>
      </c>
      <c r="D4469" t="s">
        <v>9527</v>
      </c>
      <c r="E4469">
        <v>42</v>
      </c>
      <c r="F4469" t="s">
        <v>54</v>
      </c>
      <c r="G4469" t="s">
        <v>159</v>
      </c>
      <c r="I4469" s="1" t="d">
        <v>2022-03-09</v>
      </c>
      <c r="J4469" t="s">
        <v>2990</v>
      </c>
      <c r="K4469" s="17" t="s">
        <v>58</v>
      </c>
      <c r="L4469">
        <v>5</v>
      </c>
    </row>
    <row r="4470" spans="1:12" x14ac:dyDescent="0.25">
      <c r="A4470" t="s">
        <v>8771</v>
      </c>
      <c r="B4470" t="s">
        <v>684</v>
      </c>
      <c r="C4470" t="s">
        <v>2246</v>
      </c>
      <c r="D4470" t="s">
        <v>9527</v>
      </c>
      <c r="E4470">
        <v>45</v>
      </c>
      <c r="F4470" t="s">
        <v>258</v>
      </c>
      <c r="G4470" t="s">
        <v>115</v>
      </c>
      <c r="H4470">
        <v>48834</v>
      </c>
      <c r="I4470" s="1" t="d">
        <v>2017-10-18</v>
      </c>
      <c r="J4470" t="s">
        <v>8544</v>
      </c>
      <c r="K4470" s="17" t="s">
        <v>27</v>
      </c>
      <c r="L4470">
        <v>4</v>
      </c>
    </row>
    <row r="4471" spans="1:12" x14ac:dyDescent="0.25">
      <c r="A4471" t="s">
        <v>8772</v>
      </c>
      <c r="B4471" t="s">
        <v>1241</v>
      </c>
      <c r="C4471" t="s">
        <v>1859</v>
      </c>
      <c r="D4471" t="s">
        <v>9527</v>
      </c>
      <c r="E4471">
        <v>35</v>
      </c>
      <c r="F4471" t="s">
        <v>122</v>
      </c>
      <c r="G4471" t="s">
        <v>423</v>
      </c>
      <c r="I4471" s="1" t="d">
        <v>2021-12-17</v>
      </c>
      <c r="J4471" t="s">
        <v>1717</v>
      </c>
      <c r="K4471" s="17" t="s">
        <v>149</v>
      </c>
      <c r="L4471">
        <v>5</v>
      </c>
    </row>
    <row r="4472" spans="1:12" x14ac:dyDescent="0.25">
      <c r="A4472" t="s">
        <v>8773</v>
      </c>
      <c r="B4472" t="s">
        <v>1096</v>
      </c>
      <c r="C4472" t="s">
        <v>37</v>
      </c>
      <c r="D4472" t="s">
        <v>46</v>
      </c>
      <c r="E4472">
        <v>43</v>
      </c>
      <c r="F4472" t="s">
        <v>75</v>
      </c>
      <c r="G4472" t="s">
        <v>141</v>
      </c>
      <c r="H4472" s="2">
        <v>81327</v>
      </c>
      <c r="I4472" s="1" t="d">
        <v>2017-02-13</v>
      </c>
      <c r="J4472" t="s">
        <v>5256</v>
      </c>
      <c r="K4472" s="17" t="s">
        <v>370</v>
      </c>
      <c r="L4472">
        <v>2</v>
      </c>
    </row>
    <row r="4473" spans="1:12" x14ac:dyDescent="0.25">
      <c r="A4473" t="s">
        <v>8774</v>
      </c>
      <c r="B4473" t="s">
        <v>2899</v>
      </c>
      <c r="C4473" t="s">
        <v>869</v>
      </c>
      <c r="D4473" t="s">
        <v>9527</v>
      </c>
      <c r="E4473">
        <v>36</v>
      </c>
      <c r="F4473" t="s">
        <v>319</v>
      </c>
      <c r="G4473" t="s">
        <v>500</v>
      </c>
      <c r="H4473" t="s">
        <v>8775</v>
      </c>
      <c r="I4473" s="1" t="d">
        <v>2009-01-24</v>
      </c>
      <c r="J4473" t="s">
        <v>117</v>
      </c>
      <c r="K4473" s="17" t="s">
        <v>42</v>
      </c>
      <c r="L4473">
        <v>5</v>
      </c>
    </row>
    <row r="4474" spans="1:12" x14ac:dyDescent="0.25">
      <c r="A4474" t="s">
        <v>8776</v>
      </c>
      <c r="B4474" t="s">
        <v>174</v>
      </c>
      <c r="C4474" t="s">
        <v>8777</v>
      </c>
      <c r="D4474" t="s">
        <v>9527</v>
      </c>
      <c r="E4474">
        <v>51</v>
      </c>
      <c r="F4474" t="s">
        <v>666</v>
      </c>
      <c r="G4474" t="s">
        <v>82</v>
      </c>
      <c r="H4474" s="2">
        <v>50559</v>
      </c>
      <c r="I4474" s="1" t="d">
        <v>2018-04-20</v>
      </c>
      <c r="J4474" t="s">
        <v>5984</v>
      </c>
      <c r="K4474" s="17" t="s">
        <v>42</v>
      </c>
      <c r="L4474">
        <v>3</v>
      </c>
    </row>
    <row r="4475" spans="1:12" x14ac:dyDescent="0.25">
      <c r="A4475" t="s">
        <v>8778</v>
      </c>
      <c r="B4475" t="s">
        <v>79</v>
      </c>
      <c r="C4475" t="s">
        <v>4281</v>
      </c>
      <c r="D4475" t="s">
        <v>46</v>
      </c>
      <c r="E4475">
        <v>40</v>
      </c>
      <c r="F4475" t="s">
        <v>649</v>
      </c>
      <c r="G4475" t="s">
        <v>127</v>
      </c>
      <c r="H4475" t="s">
        <v>8779</v>
      </c>
      <c r="I4475" s="1" t="d">
        <v>2024-03-02</v>
      </c>
      <c r="J4475" t="s">
        <v>77</v>
      </c>
      <c r="K4475" s="17" t="s">
        <v>71</v>
      </c>
      <c r="L4475">
        <v>4</v>
      </c>
    </row>
    <row r="4476" spans="1:12" x14ac:dyDescent="0.25">
      <c r="A4476" t="s">
        <v>7643</v>
      </c>
      <c r="B4476" t="s">
        <v>130</v>
      </c>
      <c r="C4476" t="s">
        <v>660</v>
      </c>
      <c r="D4476" t="s">
        <v>46</v>
      </c>
      <c r="E4476">
        <v>29</v>
      </c>
      <c r="F4476" t="s">
        <v>245</v>
      </c>
      <c r="G4476" t="s">
        <v>39</v>
      </c>
      <c r="H4476" s="2">
        <v>53388</v>
      </c>
      <c r="I4476" s="1" t="d">
        <v>2010-03-27</v>
      </c>
      <c r="J4476" t="s">
        <v>4594</v>
      </c>
      <c r="K4476" s="17" t="s">
        <v>50</v>
      </c>
      <c r="L4476">
        <v>3</v>
      </c>
    </row>
    <row r="4477" spans="1:12" x14ac:dyDescent="0.25">
      <c r="A4477" t="s">
        <v>8780</v>
      </c>
      <c r="B4477" t="s">
        <v>874</v>
      </c>
      <c r="C4477" t="s">
        <v>8781</v>
      </c>
      <c r="D4477" t="s">
        <v>23</v>
      </c>
      <c r="E4477">
        <v>35</v>
      </c>
      <c r="F4477" t="s">
        <v>411</v>
      </c>
      <c r="G4477" t="s">
        <v>3541</v>
      </c>
      <c r="H4477" t="s">
        <v>8782</v>
      </c>
      <c r="I4477" s="1" t="d">
        <v>2012-07-05</v>
      </c>
      <c r="J4477" t="s">
        <v>7303</v>
      </c>
      <c r="K4477" s="17" t="s">
        <v>184</v>
      </c>
      <c r="L4477">
        <v>3</v>
      </c>
    </row>
    <row r="4478" spans="1:12" x14ac:dyDescent="0.25">
      <c r="A4478" t="s">
        <v>8783</v>
      </c>
      <c r="B4478" t="s">
        <v>267</v>
      </c>
      <c r="C4478" t="s">
        <v>8784</v>
      </c>
      <c r="D4478" t="s">
        <v>9527</v>
      </c>
      <c r="E4478">
        <v>21</v>
      </c>
      <c r="F4478" t="s">
        <v>522</v>
      </c>
      <c r="G4478" t="s">
        <v>212</v>
      </c>
      <c r="H4478">
        <v>107316</v>
      </c>
      <c r="I4478" s="1" t="d">
        <v>2015-04-29</v>
      </c>
      <c r="J4478" t="s">
        <v>1960</v>
      </c>
      <c r="K4478" s="17" t="s">
        <v>42</v>
      </c>
      <c r="L4478">
        <v>3</v>
      </c>
    </row>
    <row r="4479" spans="1:12" x14ac:dyDescent="0.25">
      <c r="A4479" t="s">
        <v>8785</v>
      </c>
      <c r="B4479" t="s">
        <v>1051</v>
      </c>
      <c r="C4479" t="s">
        <v>229</v>
      </c>
      <c r="D4479" t="s">
        <v>23</v>
      </c>
      <c r="E4479">
        <v>54</v>
      </c>
      <c r="F4479" t="s">
        <v>216</v>
      </c>
      <c r="G4479" t="s">
        <v>55</v>
      </c>
      <c r="H4479" s="2">
        <v>999999</v>
      </c>
      <c r="I4479" s="1" t="d">
        <v>2006-09-26</v>
      </c>
      <c r="J4479" t="s">
        <v>8786</v>
      </c>
      <c r="K4479" s="17" t="s">
        <v>207</v>
      </c>
      <c r="L4479">
        <v>4</v>
      </c>
    </row>
    <row r="4480" spans="1:12" x14ac:dyDescent="0.25">
      <c r="A4480" t="s">
        <v>8787</v>
      </c>
      <c r="B4480" t="s">
        <v>174</v>
      </c>
      <c r="C4480" t="s">
        <v>2323</v>
      </c>
      <c r="D4480" t="s">
        <v>9527</v>
      </c>
      <c r="E4480">
        <v>32</v>
      </c>
      <c r="F4480" t="s">
        <v>559</v>
      </c>
      <c r="G4480" t="s">
        <v>337</v>
      </c>
      <c r="H4480" t="s">
        <v>8788</v>
      </c>
      <c r="I4480" s="1" t="d">
        <v>2016-09-16</v>
      </c>
      <c r="J4480" t="s">
        <v>8789</v>
      </c>
      <c r="K4480" s="17" t="s">
        <v>118</v>
      </c>
      <c r="L4480">
        <v>4</v>
      </c>
    </row>
    <row r="4481" spans="1:12" x14ac:dyDescent="0.25">
      <c r="A4481" t="s">
        <v>8790</v>
      </c>
      <c r="B4481" t="s">
        <v>789</v>
      </c>
      <c r="C4481" t="s">
        <v>300</v>
      </c>
      <c r="D4481" t="s">
        <v>46</v>
      </c>
      <c r="E4481">
        <v>45</v>
      </c>
      <c r="F4481" t="s">
        <v>68</v>
      </c>
      <c r="G4481" t="s">
        <v>55</v>
      </c>
      <c r="I4481" s="1" t="d">
        <v>2011-06-22</v>
      </c>
      <c r="J4481" t="s">
        <v>7864</v>
      </c>
      <c r="K4481" s="17" t="s">
        <v>27</v>
      </c>
      <c r="L4481">
        <v>3</v>
      </c>
    </row>
    <row r="4482" spans="1:12" x14ac:dyDescent="0.25">
      <c r="A4482" t="s">
        <v>8791</v>
      </c>
      <c r="B4482" t="s">
        <v>167</v>
      </c>
      <c r="C4482" t="s">
        <v>1770</v>
      </c>
      <c r="D4482" t="s">
        <v>23</v>
      </c>
      <c r="E4482">
        <v>39</v>
      </c>
      <c r="F4482" t="s">
        <v>417</v>
      </c>
      <c r="G4482" t="s">
        <v>39</v>
      </c>
      <c r="H4482">
        <v>50340</v>
      </c>
      <c r="I4482" s="1" t="d">
        <v>2024-05-16</v>
      </c>
      <c r="J4482" t="s">
        <v>2829</v>
      </c>
      <c r="K4482" s="17" t="s">
        <v>207</v>
      </c>
      <c r="L4482">
        <v>4</v>
      </c>
    </row>
    <row r="4483" spans="1:12" x14ac:dyDescent="0.25">
      <c r="A4483" t="s">
        <v>8792</v>
      </c>
      <c r="B4483" t="s">
        <v>1479</v>
      </c>
      <c r="C4483" t="s">
        <v>851</v>
      </c>
      <c r="D4483" t="s">
        <v>9527</v>
      </c>
      <c r="E4483">
        <v>26</v>
      </c>
      <c r="F4483" t="s">
        <v>532</v>
      </c>
      <c r="G4483" t="s">
        <v>217</v>
      </c>
      <c r="H4483" s="2">
        <v>118080</v>
      </c>
      <c r="I4483" s="1" t="d">
        <v>2010-02-08</v>
      </c>
      <c r="J4483" t="s">
        <v>5815</v>
      </c>
      <c r="K4483" s="17" t="s">
        <v>207</v>
      </c>
      <c r="L4483">
        <v>4</v>
      </c>
    </row>
    <row r="4484" spans="1:12" x14ac:dyDescent="0.25">
      <c r="A4484" t="s">
        <v>8793</v>
      </c>
      <c r="B4484" t="s">
        <v>360</v>
      </c>
      <c r="C4484" t="s">
        <v>8201</v>
      </c>
      <c r="D4484" t="s">
        <v>23</v>
      </c>
      <c r="E4484">
        <v>21</v>
      </c>
      <c r="F4484" t="s">
        <v>186</v>
      </c>
      <c r="G4484" t="s">
        <v>115</v>
      </c>
      <c r="H4484" s="2">
        <v>96897</v>
      </c>
      <c r="I4484" s="1" t="d">
        <v>2005-01-14</v>
      </c>
      <c r="J4484" t="s">
        <v>4108</v>
      </c>
      <c r="K4484" s="17" t="s">
        <v>184</v>
      </c>
      <c r="L4484">
        <v>3</v>
      </c>
    </row>
    <row r="4485" spans="1:12" x14ac:dyDescent="0.25">
      <c r="A4485" t="s">
        <v>8794</v>
      </c>
      <c r="B4485" t="s">
        <v>1769</v>
      </c>
      <c r="C4485" t="s">
        <v>8689</v>
      </c>
      <c r="D4485" t="s">
        <v>23</v>
      </c>
      <c r="E4485">
        <v>33</v>
      </c>
      <c r="F4485" t="s">
        <v>406</v>
      </c>
      <c r="G4485" t="s">
        <v>912</v>
      </c>
      <c r="H4485">
        <v>41135</v>
      </c>
      <c r="I4485" s="1" t="d">
        <v>2018-06-15</v>
      </c>
      <c r="J4485" t="s">
        <v>5846</v>
      </c>
      <c r="K4485" s="17" t="s">
        <v>370</v>
      </c>
      <c r="L4485">
        <v>4</v>
      </c>
    </row>
    <row r="4486" spans="1:12" x14ac:dyDescent="0.25">
      <c r="A4486" t="s">
        <v>8795</v>
      </c>
      <c r="B4486" t="s">
        <v>1350</v>
      </c>
      <c r="C4486" t="s">
        <v>660</v>
      </c>
      <c r="D4486" t="s">
        <v>9527</v>
      </c>
      <c r="E4486">
        <v>28</v>
      </c>
      <c r="F4486" t="s">
        <v>559</v>
      </c>
      <c r="G4486" t="s">
        <v>39</v>
      </c>
      <c r="H4486" t="s">
        <v>8796</v>
      </c>
      <c r="I4486" s="1" t="d">
        <v>2024-12-24</v>
      </c>
      <c r="J4486" t="s">
        <v>6217</v>
      </c>
      <c r="K4486" s="17" t="s">
        <v>19</v>
      </c>
      <c r="L4486">
        <v>3</v>
      </c>
    </row>
    <row r="4487" spans="1:12" x14ac:dyDescent="0.25">
      <c r="A4487" t="s">
        <v>8797</v>
      </c>
      <c r="B4487" t="s">
        <v>1099</v>
      </c>
      <c r="C4487" t="s">
        <v>827</v>
      </c>
      <c r="D4487" t="s">
        <v>9527</v>
      </c>
      <c r="E4487">
        <v>41</v>
      </c>
      <c r="F4487" t="s">
        <v>589</v>
      </c>
      <c r="G4487" t="s">
        <v>842</v>
      </c>
      <c r="H4487" t="s">
        <v>8798</v>
      </c>
      <c r="I4487" s="1" t="d">
        <v>2024-01-22</v>
      </c>
      <c r="J4487" t="s">
        <v>1856</v>
      </c>
      <c r="K4487" s="17" t="s">
        <v>19</v>
      </c>
      <c r="L4487">
        <v>2</v>
      </c>
    </row>
    <row r="4488" spans="1:12" x14ac:dyDescent="0.25">
      <c r="A4488" t="s">
        <v>8799</v>
      </c>
      <c r="B4488" t="s">
        <v>571</v>
      </c>
      <c r="C4488" t="s">
        <v>453</v>
      </c>
      <c r="D4488" t="s">
        <v>9527</v>
      </c>
      <c r="E4488">
        <v>49</v>
      </c>
      <c r="F4488" t="s">
        <v>146</v>
      </c>
      <c r="G4488" t="s">
        <v>458</v>
      </c>
      <c r="H4488" t="s">
        <v>8800</v>
      </c>
      <c r="I4488" s="1" t="d">
        <v>2024-06-12</v>
      </c>
      <c r="J4488" t="s">
        <v>2366</v>
      </c>
      <c r="K4488" s="17" t="s">
        <v>19</v>
      </c>
      <c r="L4488">
        <v>3</v>
      </c>
    </row>
    <row r="4489" spans="1:12" x14ac:dyDescent="0.25">
      <c r="A4489" t="s">
        <v>8801</v>
      </c>
      <c r="B4489" t="s">
        <v>563</v>
      </c>
      <c r="C4489" t="s">
        <v>204</v>
      </c>
      <c r="D4489" t="s">
        <v>46</v>
      </c>
      <c r="E4489">
        <v>48</v>
      </c>
      <c r="F4489" t="s">
        <v>399</v>
      </c>
      <c r="G4489" t="s">
        <v>141</v>
      </c>
      <c r="I4489" s="1" t="d">
        <v>2010-02-06</v>
      </c>
      <c r="J4489" t="s">
        <v>3292</v>
      </c>
      <c r="K4489" s="17" t="s">
        <v>118</v>
      </c>
      <c r="L4489">
        <v>5</v>
      </c>
    </row>
    <row r="4490" spans="1:12" x14ac:dyDescent="0.25">
      <c r="A4490" t="s">
        <v>8802</v>
      </c>
      <c r="B4490" t="s">
        <v>804</v>
      </c>
      <c r="C4490" t="s">
        <v>830</v>
      </c>
      <c r="D4490" t="s">
        <v>46</v>
      </c>
      <c r="E4490">
        <v>41</v>
      </c>
      <c r="F4490" t="s">
        <v>122</v>
      </c>
      <c r="G4490" t="s">
        <v>39</v>
      </c>
      <c r="H4490" t="s">
        <v>8803</v>
      </c>
      <c r="I4490" s="1" t="d">
        <v>2022-08-30</v>
      </c>
      <c r="J4490" t="s">
        <v>1485</v>
      </c>
      <c r="K4490" s="17" t="s">
        <v>19</v>
      </c>
      <c r="L4490">
        <v>2</v>
      </c>
    </row>
    <row r="4491" spans="1:12" x14ac:dyDescent="0.25">
      <c r="A4491" t="s">
        <v>8214</v>
      </c>
      <c r="B4491" t="s">
        <v>3051</v>
      </c>
      <c r="C4491" t="s">
        <v>1538</v>
      </c>
      <c r="D4491" t="s">
        <v>9527</v>
      </c>
      <c r="E4491">
        <v>55</v>
      </c>
      <c r="F4491" t="s">
        <v>3085</v>
      </c>
      <c r="G4491" t="s">
        <v>504</v>
      </c>
      <c r="H4491">
        <v>51348</v>
      </c>
      <c r="I4491" s="1" t="d">
        <v>2010-04-22</v>
      </c>
      <c r="J4491" t="s">
        <v>2946</v>
      </c>
      <c r="K4491" s="17" t="s">
        <v>71</v>
      </c>
      <c r="L4491">
        <v>3</v>
      </c>
    </row>
    <row r="4492" spans="1:12" x14ac:dyDescent="0.25">
      <c r="A4492" t="s">
        <v>8804</v>
      </c>
      <c r="B4492" t="s">
        <v>874</v>
      </c>
      <c r="C4492" t="s">
        <v>1356</v>
      </c>
      <c r="D4492" t="s">
        <v>9527</v>
      </c>
      <c r="E4492">
        <v>47</v>
      </c>
      <c r="F4492" t="s">
        <v>422</v>
      </c>
      <c r="G4492" t="s">
        <v>177</v>
      </c>
      <c r="H4492" t="s">
        <v>8805</v>
      </c>
      <c r="I4492" s="1" t="d">
        <v>2021-04-20</v>
      </c>
      <c r="J4492" t="s">
        <v>2342</v>
      </c>
      <c r="K4492" s="17" t="s">
        <v>50</v>
      </c>
      <c r="L4492">
        <v>3</v>
      </c>
    </row>
    <row r="4493" spans="1:12" x14ac:dyDescent="0.25">
      <c r="A4493" t="s">
        <v>8806</v>
      </c>
      <c r="B4493" t="s">
        <v>2706</v>
      </c>
      <c r="C4493" t="s">
        <v>1520</v>
      </c>
      <c r="D4493" t="s">
        <v>46</v>
      </c>
      <c r="E4493">
        <v>40</v>
      </c>
      <c r="F4493" t="s">
        <v>350</v>
      </c>
      <c r="G4493" t="s">
        <v>82</v>
      </c>
      <c r="H4493" s="2">
        <v>53331</v>
      </c>
      <c r="I4493" s="1" t="d">
        <v>2014-10-03</v>
      </c>
      <c r="J4493" t="s">
        <v>1047</v>
      </c>
      <c r="K4493" s="17" t="s">
        <v>42</v>
      </c>
      <c r="L4493">
        <v>1</v>
      </c>
    </row>
    <row r="4494" spans="1:12" x14ac:dyDescent="0.25">
      <c r="A4494" t="s">
        <v>8807</v>
      </c>
      <c r="B4494" t="s">
        <v>507</v>
      </c>
      <c r="C4494" t="s">
        <v>552</v>
      </c>
      <c r="D4494" t="s">
        <v>9527</v>
      </c>
      <c r="E4494">
        <v>32</v>
      </c>
      <c r="F4494" t="s">
        <v>411</v>
      </c>
      <c r="G4494" t="s">
        <v>141</v>
      </c>
      <c r="H4494" t="s">
        <v>8808</v>
      </c>
      <c r="I4494" s="1" t="d">
        <v>2024-06-14</v>
      </c>
      <c r="J4494" t="s">
        <v>5680</v>
      </c>
      <c r="K4494" s="17" t="s">
        <v>370</v>
      </c>
      <c r="L4494">
        <v>4</v>
      </c>
    </row>
    <row r="4495" spans="1:12" x14ac:dyDescent="0.25">
      <c r="A4495" t="s">
        <v>8809</v>
      </c>
      <c r="B4495" t="s">
        <v>13</v>
      </c>
      <c r="C4495" t="s">
        <v>3392</v>
      </c>
      <c r="D4495" t="s">
        <v>46</v>
      </c>
      <c r="E4495">
        <v>21</v>
      </c>
      <c r="F4495" t="s">
        <v>196</v>
      </c>
      <c r="G4495" t="s">
        <v>48</v>
      </c>
      <c r="H4495" s="2">
        <v>39214</v>
      </c>
      <c r="I4495" s="1" t="d">
        <v>2024-08-12</v>
      </c>
      <c r="J4495" t="s">
        <v>853</v>
      </c>
      <c r="K4495" s="17" t="s">
        <v>207</v>
      </c>
      <c r="L4495">
        <v>3</v>
      </c>
    </row>
    <row r="4496" spans="1:12" x14ac:dyDescent="0.25">
      <c r="A4496" t="s">
        <v>8810</v>
      </c>
      <c r="B4496" t="s">
        <v>1181</v>
      </c>
      <c r="C4496" t="s">
        <v>181</v>
      </c>
      <c r="D4496" t="s">
        <v>23</v>
      </c>
      <c r="E4496">
        <v>43</v>
      </c>
      <c r="G4496" t="s">
        <v>82</v>
      </c>
      <c r="H4496" t="s">
        <v>8811</v>
      </c>
      <c r="I4496" s="1" t="d">
        <v>2007-10-31</v>
      </c>
      <c r="J4496" t="s">
        <v>1941</v>
      </c>
      <c r="K4496" s="17" t="s">
        <v>58</v>
      </c>
      <c r="L4496">
        <v>3</v>
      </c>
    </row>
    <row r="4497" spans="1:12" x14ac:dyDescent="0.25">
      <c r="A4497" t="s">
        <v>8812</v>
      </c>
      <c r="B4497" t="s">
        <v>583</v>
      </c>
      <c r="C4497" t="s">
        <v>805</v>
      </c>
      <c r="D4497" t="s">
        <v>9527</v>
      </c>
      <c r="E4497">
        <v>52</v>
      </c>
      <c r="F4497" t="s">
        <v>238</v>
      </c>
      <c r="G4497" t="s">
        <v>82</v>
      </c>
      <c r="H4497" s="2">
        <v>44482</v>
      </c>
      <c r="I4497" s="1" t="d">
        <v>2018-08-10</v>
      </c>
      <c r="J4497" t="s">
        <v>6417</v>
      </c>
      <c r="K4497" s="17" t="s">
        <v>71</v>
      </c>
      <c r="L4497">
        <v>5</v>
      </c>
    </row>
    <row r="4498" spans="1:12" x14ac:dyDescent="0.25">
      <c r="A4498" t="s">
        <v>8813</v>
      </c>
      <c r="B4498" t="s">
        <v>5278</v>
      </c>
      <c r="C4498" t="s">
        <v>8814</v>
      </c>
      <c r="D4498" t="s">
        <v>23</v>
      </c>
      <c r="E4498">
        <v>21</v>
      </c>
      <c r="F4498" t="s">
        <v>5599</v>
      </c>
      <c r="G4498" t="s">
        <v>504</v>
      </c>
      <c r="H4498" s="2">
        <v>82565</v>
      </c>
      <c r="I4498" s="1" t="d">
        <v>2011-11-22</v>
      </c>
      <c r="J4498" t="s">
        <v>4131</v>
      </c>
      <c r="K4498" s="17" t="s">
        <v>184</v>
      </c>
      <c r="L4498">
        <v>3</v>
      </c>
    </row>
    <row r="4499" spans="1:12" x14ac:dyDescent="0.25">
      <c r="A4499" t="s">
        <v>8815</v>
      </c>
      <c r="B4499" t="s">
        <v>456</v>
      </c>
      <c r="C4499" t="s">
        <v>3532</v>
      </c>
      <c r="D4499" t="s">
        <v>23</v>
      </c>
      <c r="E4499">
        <v>35</v>
      </c>
      <c r="F4499" t="s">
        <v>3101</v>
      </c>
      <c r="G4499" t="s">
        <v>141</v>
      </c>
      <c r="H4499" t="s">
        <v>8816</v>
      </c>
      <c r="I4499" s="1" t="d">
        <v>2011-01-15</v>
      </c>
      <c r="J4499" t="s">
        <v>5435</v>
      </c>
      <c r="K4499" s="17" t="s">
        <v>370</v>
      </c>
      <c r="L4499">
        <v>3</v>
      </c>
    </row>
    <row r="4500" spans="1:12" x14ac:dyDescent="0.25">
      <c r="A4500" t="s">
        <v>8817</v>
      </c>
      <c r="B4500" t="s">
        <v>13</v>
      </c>
      <c r="C4500" t="s">
        <v>386</v>
      </c>
      <c r="D4500" t="s">
        <v>9527</v>
      </c>
      <c r="E4500">
        <v>44</v>
      </c>
      <c r="F4500" t="s">
        <v>38</v>
      </c>
      <c r="G4500" t="s">
        <v>996</v>
      </c>
      <c r="H4500" t="s">
        <v>8818</v>
      </c>
      <c r="I4500" s="1" t="d">
        <v>2008-07-09</v>
      </c>
      <c r="J4500" t="s">
        <v>4898</v>
      </c>
      <c r="K4500" s="17" t="s">
        <v>184</v>
      </c>
      <c r="L4500">
        <v>2</v>
      </c>
    </row>
    <row r="4501" spans="1:12" x14ac:dyDescent="0.25">
      <c r="A4501" t="s">
        <v>8819</v>
      </c>
      <c r="B4501" t="s">
        <v>1997</v>
      </c>
      <c r="C4501" t="s">
        <v>1194</v>
      </c>
      <c r="D4501" t="s">
        <v>23</v>
      </c>
      <c r="E4501">
        <v>38</v>
      </c>
      <c r="F4501" t="s">
        <v>169</v>
      </c>
      <c r="G4501" t="s">
        <v>479</v>
      </c>
      <c r="H4501" t="s">
        <v>8820</v>
      </c>
      <c r="I4501" s="1" t="d">
        <v>2018-04-23</v>
      </c>
      <c r="J4501" t="s">
        <v>8821</v>
      </c>
      <c r="K4501" s="17" t="s">
        <v>19</v>
      </c>
      <c r="L4501">
        <v>4</v>
      </c>
    </row>
    <row r="4502" spans="1:12" x14ac:dyDescent="0.25">
      <c r="A4502" t="s">
        <v>8822</v>
      </c>
      <c r="B4502" t="s">
        <v>718</v>
      </c>
      <c r="C4502" t="s">
        <v>567</v>
      </c>
      <c r="D4502" t="s">
        <v>23</v>
      </c>
      <c r="E4502">
        <v>21</v>
      </c>
      <c r="F4502" t="s">
        <v>666</v>
      </c>
      <c r="G4502" t="s">
        <v>217</v>
      </c>
      <c r="J4502" t="s">
        <v>2795</v>
      </c>
      <c r="K4502" s="17" t="s">
        <v>118</v>
      </c>
      <c r="L4502">
        <v>2</v>
      </c>
    </row>
    <row r="4503" spans="1:12" x14ac:dyDescent="0.25">
      <c r="A4503" t="s">
        <v>8823</v>
      </c>
      <c r="B4503" t="s">
        <v>2234</v>
      </c>
      <c r="C4503" t="s">
        <v>2127</v>
      </c>
      <c r="D4503" t="s">
        <v>23</v>
      </c>
      <c r="E4503">
        <v>39</v>
      </c>
      <c r="F4503" t="s">
        <v>146</v>
      </c>
      <c r="G4503" t="s">
        <v>191</v>
      </c>
      <c r="H4503" s="2">
        <v>97822</v>
      </c>
      <c r="I4503" s="1" t="d">
        <v>2011-03-27</v>
      </c>
      <c r="J4503" t="s">
        <v>5645</v>
      </c>
      <c r="K4503" s="17" t="s">
        <v>207</v>
      </c>
      <c r="L4503">
        <v>3</v>
      </c>
    </row>
    <row r="4504" spans="1:12" x14ac:dyDescent="0.25">
      <c r="A4504" t="s">
        <v>8824</v>
      </c>
      <c r="B4504" t="s">
        <v>262</v>
      </c>
      <c r="C4504" t="s">
        <v>1657</v>
      </c>
      <c r="D4504" t="s">
        <v>9527</v>
      </c>
      <c r="E4504">
        <v>34</v>
      </c>
      <c r="F4504" t="s">
        <v>126</v>
      </c>
      <c r="G4504" t="s">
        <v>69</v>
      </c>
      <c r="H4504" t="s">
        <v>8825</v>
      </c>
      <c r="I4504" s="1" t="d">
        <v>2005-12-04</v>
      </c>
      <c r="J4504" t="s">
        <v>388</v>
      </c>
      <c r="K4504" s="17" t="s">
        <v>71</v>
      </c>
      <c r="L4504">
        <v>3</v>
      </c>
    </row>
    <row r="4505" spans="1:12" x14ac:dyDescent="0.25">
      <c r="A4505" t="s">
        <v>8826</v>
      </c>
      <c r="B4505" t="s">
        <v>60</v>
      </c>
      <c r="C4505" t="s">
        <v>244</v>
      </c>
      <c r="D4505" t="s">
        <v>46</v>
      </c>
      <c r="E4505">
        <v>28</v>
      </c>
      <c r="F4505" t="s">
        <v>200</v>
      </c>
      <c r="G4505" t="s">
        <v>69</v>
      </c>
      <c r="H4505" t="s">
        <v>8827</v>
      </c>
      <c r="I4505" s="1" t="d">
        <v>2014-06-12</v>
      </c>
      <c r="J4505" t="s">
        <v>1870</v>
      </c>
      <c r="K4505" s="17" t="s">
        <v>118</v>
      </c>
      <c r="L4505">
        <v>4</v>
      </c>
    </row>
    <row r="4506" spans="1:12" x14ac:dyDescent="0.25">
      <c r="A4506" t="s">
        <v>8828</v>
      </c>
      <c r="B4506" t="s">
        <v>571</v>
      </c>
      <c r="C4506" t="s">
        <v>1030</v>
      </c>
      <c r="D4506" t="s">
        <v>9527</v>
      </c>
      <c r="E4506">
        <v>38</v>
      </c>
      <c r="F4506" t="s">
        <v>122</v>
      </c>
      <c r="G4506" t="s">
        <v>205</v>
      </c>
      <c r="H4506">
        <v>60855</v>
      </c>
      <c r="I4506" s="1" t="d">
        <v>2009-06-04</v>
      </c>
      <c r="J4506" t="s">
        <v>3265</v>
      </c>
      <c r="K4506" s="17" t="s">
        <v>149</v>
      </c>
      <c r="L4506">
        <v>4</v>
      </c>
    </row>
    <row r="4507" spans="1:12" x14ac:dyDescent="0.25">
      <c r="A4507" t="s">
        <v>8829</v>
      </c>
      <c r="B4507" t="s">
        <v>174</v>
      </c>
      <c r="C4507" t="s">
        <v>1030</v>
      </c>
      <c r="D4507" t="s">
        <v>23</v>
      </c>
      <c r="E4507">
        <v>37</v>
      </c>
      <c r="F4507" t="s">
        <v>1168</v>
      </c>
      <c r="G4507" t="s">
        <v>115</v>
      </c>
      <c r="H4507" t="s">
        <v>8830</v>
      </c>
      <c r="I4507" s="1" t="d">
        <v>2019-04-19</v>
      </c>
      <c r="J4507" t="s">
        <v>1934</v>
      </c>
      <c r="K4507" s="17" t="s">
        <v>184</v>
      </c>
      <c r="L4507">
        <v>3</v>
      </c>
    </row>
    <row r="4508" spans="1:12" x14ac:dyDescent="0.25">
      <c r="A4508" t="s">
        <v>8831</v>
      </c>
      <c r="B4508" t="s">
        <v>5193</v>
      </c>
      <c r="C4508" t="s">
        <v>381</v>
      </c>
      <c r="D4508" t="s">
        <v>46</v>
      </c>
      <c r="E4508">
        <v>41</v>
      </c>
      <c r="F4508" t="s">
        <v>319</v>
      </c>
      <c r="G4508" t="s">
        <v>191</v>
      </c>
      <c r="H4508">
        <v>48567</v>
      </c>
      <c r="I4508" s="1" t="d">
        <v>2005-08-23</v>
      </c>
      <c r="J4508" t="s">
        <v>8165</v>
      </c>
      <c r="K4508" s="17" t="s">
        <v>71</v>
      </c>
      <c r="L4508">
        <v>4</v>
      </c>
    </row>
    <row r="4509" spans="1:12" x14ac:dyDescent="0.25">
      <c r="A4509" t="s">
        <v>8832</v>
      </c>
      <c r="B4509" t="s">
        <v>2517</v>
      </c>
      <c r="C4509" t="s">
        <v>427</v>
      </c>
      <c r="D4509" t="s">
        <v>46</v>
      </c>
      <c r="E4509">
        <v>42</v>
      </c>
      <c r="F4509" t="s">
        <v>406</v>
      </c>
      <c r="G4509" t="s">
        <v>458</v>
      </c>
      <c r="H4509" t="s">
        <v>8833</v>
      </c>
      <c r="I4509" s="1" t="d">
        <v>2015-09-10</v>
      </c>
      <c r="J4509" t="s">
        <v>5890</v>
      </c>
      <c r="K4509" s="17" t="s">
        <v>207</v>
      </c>
      <c r="L4509">
        <v>5</v>
      </c>
    </row>
    <row r="4510" spans="1:12" x14ac:dyDescent="0.25">
      <c r="A4510" t="s">
        <v>8834</v>
      </c>
      <c r="B4510" t="s">
        <v>1854</v>
      </c>
      <c r="C4510" t="s">
        <v>22</v>
      </c>
      <c r="D4510" t="s">
        <v>9527</v>
      </c>
      <c r="E4510">
        <v>40</v>
      </c>
      <c r="F4510" t="s">
        <v>169</v>
      </c>
      <c r="G4510" t="s">
        <v>115</v>
      </c>
      <c r="H4510" s="2">
        <v>67487</v>
      </c>
      <c r="I4510" s="1" t="d">
        <v>2009-02-11</v>
      </c>
      <c r="J4510" t="s">
        <v>2687</v>
      </c>
      <c r="K4510" s="17" t="s">
        <v>207</v>
      </c>
      <c r="L4510">
        <v>3</v>
      </c>
    </row>
    <row r="4511" spans="1:12" x14ac:dyDescent="0.25">
      <c r="A4511" t="s">
        <v>8835</v>
      </c>
      <c r="B4511" t="s">
        <v>804</v>
      </c>
      <c r="C4511" t="s">
        <v>237</v>
      </c>
      <c r="D4511" t="s">
        <v>23</v>
      </c>
      <c r="E4511">
        <v>52</v>
      </c>
      <c r="F4511" t="s">
        <v>269</v>
      </c>
      <c r="G4511" t="s">
        <v>55</v>
      </c>
      <c r="H4511" t="s">
        <v>8836</v>
      </c>
      <c r="J4511" t="s">
        <v>8837</v>
      </c>
      <c r="K4511" s="17" t="s">
        <v>149</v>
      </c>
      <c r="L4511">
        <v>3</v>
      </c>
    </row>
    <row r="4512" spans="1:12" x14ac:dyDescent="0.25">
      <c r="A4512" t="s">
        <v>8838</v>
      </c>
      <c r="B4512" t="s">
        <v>167</v>
      </c>
      <c r="C4512" t="s">
        <v>324</v>
      </c>
      <c r="D4512" t="s">
        <v>46</v>
      </c>
      <c r="E4512">
        <v>26</v>
      </c>
      <c r="F4512" t="s">
        <v>417</v>
      </c>
      <c r="G4512" t="s">
        <v>967</v>
      </c>
      <c r="H4512">
        <v>48307</v>
      </c>
      <c r="J4512" t="s">
        <v>3949</v>
      </c>
      <c r="K4512" s="17" t="s">
        <v>207</v>
      </c>
      <c r="L4512">
        <v>4</v>
      </c>
    </row>
    <row r="4513" spans="1:12" x14ac:dyDescent="0.25">
      <c r="A4513" t="s">
        <v>8839</v>
      </c>
      <c r="B4513" t="s">
        <v>267</v>
      </c>
      <c r="C4513" t="s">
        <v>263</v>
      </c>
      <c r="D4513" t="s">
        <v>9527</v>
      </c>
      <c r="E4513">
        <v>24</v>
      </c>
      <c r="F4513" t="s">
        <v>126</v>
      </c>
      <c r="G4513" t="s">
        <v>1215</v>
      </c>
      <c r="H4513" t="s">
        <v>8840</v>
      </c>
      <c r="I4513" s="1" t="d">
        <v>2009-02-08</v>
      </c>
      <c r="J4513" t="s">
        <v>1255</v>
      </c>
      <c r="K4513" s="17" t="s">
        <v>207</v>
      </c>
      <c r="L4513">
        <v>3</v>
      </c>
    </row>
    <row r="4514" spans="1:12" x14ac:dyDescent="0.25">
      <c r="A4514" t="s">
        <v>8841</v>
      </c>
      <c r="B4514" t="s">
        <v>180</v>
      </c>
      <c r="C4514" t="s">
        <v>295</v>
      </c>
      <c r="D4514" t="s">
        <v>23</v>
      </c>
      <c r="E4514">
        <v>43</v>
      </c>
      <c r="F4514" t="s">
        <v>230</v>
      </c>
      <c r="G4514" t="s">
        <v>55</v>
      </c>
      <c r="H4514" s="2">
        <v>55783</v>
      </c>
      <c r="I4514" s="1" t="d">
        <v>2009-06-09</v>
      </c>
      <c r="J4514" t="s">
        <v>1034</v>
      </c>
      <c r="K4514" s="17" t="s">
        <v>100</v>
      </c>
      <c r="L4514">
        <v>3</v>
      </c>
    </row>
    <row r="4515" spans="1:12" x14ac:dyDescent="0.25">
      <c r="A4515" t="s">
        <v>8842</v>
      </c>
      <c r="B4515" t="s">
        <v>470</v>
      </c>
      <c r="C4515" t="s">
        <v>361</v>
      </c>
      <c r="D4515" t="s">
        <v>23</v>
      </c>
      <c r="E4515">
        <v>42</v>
      </c>
      <c r="F4515" t="s">
        <v>559</v>
      </c>
      <c r="G4515" t="s">
        <v>641</v>
      </c>
      <c r="H4515" s="2">
        <v>96239</v>
      </c>
      <c r="I4515" s="1" t="d">
        <v>2012-02-21</v>
      </c>
      <c r="J4515" t="s">
        <v>8843</v>
      </c>
      <c r="K4515" s="17" t="s">
        <v>71</v>
      </c>
      <c r="L4515">
        <v>4</v>
      </c>
    </row>
    <row r="4516" spans="1:12" x14ac:dyDescent="0.25">
      <c r="A4516" t="s">
        <v>8844</v>
      </c>
      <c r="B4516" t="s">
        <v>2697</v>
      </c>
      <c r="C4516" t="s">
        <v>1442</v>
      </c>
      <c r="D4516" t="s">
        <v>23</v>
      </c>
      <c r="E4516">
        <v>40</v>
      </c>
      <c r="F4516" t="s">
        <v>230</v>
      </c>
      <c r="G4516" t="s">
        <v>48</v>
      </c>
      <c r="H4516">
        <v>54382</v>
      </c>
      <c r="I4516" s="1" t="d">
        <v>2020-05-14</v>
      </c>
      <c r="J4516" t="s">
        <v>2893</v>
      </c>
      <c r="K4516" s="17" t="s">
        <v>27</v>
      </c>
      <c r="L4516">
        <v>3</v>
      </c>
    </row>
    <row r="4517" spans="1:12" x14ac:dyDescent="0.25">
      <c r="A4517" t="s">
        <v>8845</v>
      </c>
      <c r="B4517" t="s">
        <v>3343</v>
      </c>
      <c r="C4517" t="s">
        <v>121</v>
      </c>
      <c r="D4517" t="s">
        <v>46</v>
      </c>
      <c r="E4517">
        <v>39</v>
      </c>
      <c r="F4517" t="s">
        <v>1116</v>
      </c>
      <c r="G4517" t="s">
        <v>88</v>
      </c>
      <c r="H4517" t="s">
        <v>8846</v>
      </c>
      <c r="I4517" s="1" t="d">
        <v>2014-06-28</v>
      </c>
      <c r="J4517" t="s">
        <v>4723</v>
      </c>
      <c r="K4517" s="17" t="s">
        <v>90</v>
      </c>
      <c r="L4517">
        <v>5</v>
      </c>
    </row>
    <row r="4518" spans="1:12" x14ac:dyDescent="0.25">
      <c r="A4518" t="s">
        <v>8847</v>
      </c>
      <c r="B4518" t="s">
        <v>3186</v>
      </c>
      <c r="C4518" t="s">
        <v>483</v>
      </c>
      <c r="D4518" t="s">
        <v>23</v>
      </c>
      <c r="E4518">
        <v>41</v>
      </c>
      <c r="F4518" t="s">
        <v>989</v>
      </c>
      <c r="G4518" t="s">
        <v>82</v>
      </c>
      <c r="H4518" s="2">
        <v>51251</v>
      </c>
      <c r="I4518" s="1" t="d">
        <v>2013-05-05</v>
      </c>
      <c r="J4518" t="s">
        <v>2105</v>
      </c>
      <c r="K4518" s="17" t="s">
        <v>58</v>
      </c>
      <c r="L4518">
        <v>3</v>
      </c>
    </row>
    <row r="4519" spans="1:12" x14ac:dyDescent="0.25">
      <c r="A4519" t="s">
        <v>8848</v>
      </c>
      <c r="B4519" t="s">
        <v>563</v>
      </c>
      <c r="C4519" t="s">
        <v>405</v>
      </c>
      <c r="D4519" t="s">
        <v>23</v>
      </c>
      <c r="E4519">
        <v>43</v>
      </c>
      <c r="F4519" t="s">
        <v>24</v>
      </c>
      <c r="G4519" t="s">
        <v>48</v>
      </c>
      <c r="I4519" s="1" t="d">
        <v>2016-03-13</v>
      </c>
      <c r="J4519" t="s">
        <v>4423</v>
      </c>
      <c r="K4519" s="17" t="s">
        <v>149</v>
      </c>
      <c r="L4519">
        <v>5</v>
      </c>
    </row>
    <row r="4520" spans="1:12" x14ac:dyDescent="0.25">
      <c r="A4520" t="s">
        <v>8849</v>
      </c>
      <c r="B4520" t="s">
        <v>112</v>
      </c>
      <c r="C4520" t="s">
        <v>483</v>
      </c>
      <c r="D4520" t="s">
        <v>46</v>
      </c>
      <c r="E4520">
        <v>35</v>
      </c>
      <c r="F4520" t="s">
        <v>153</v>
      </c>
      <c r="G4520" t="s">
        <v>115</v>
      </c>
      <c r="H4520" t="s">
        <v>8850</v>
      </c>
      <c r="I4520" s="1" t="d">
        <v>2022-06-28</v>
      </c>
      <c r="J4520" t="s">
        <v>3325</v>
      </c>
      <c r="K4520" s="17" t="s">
        <v>149</v>
      </c>
      <c r="L4520">
        <v>4</v>
      </c>
    </row>
    <row r="4521" spans="1:12" x14ac:dyDescent="0.25">
      <c r="A4521" t="s">
        <v>8851</v>
      </c>
      <c r="B4521" t="s">
        <v>936</v>
      </c>
      <c r="C4521" t="s">
        <v>22</v>
      </c>
      <c r="D4521" t="s">
        <v>46</v>
      </c>
      <c r="E4521">
        <v>43</v>
      </c>
      <c r="F4521" t="s">
        <v>108</v>
      </c>
      <c r="G4521" t="s">
        <v>69</v>
      </c>
      <c r="H4521" t="s">
        <v>8852</v>
      </c>
      <c r="I4521" s="1" t="d">
        <v>2017-06-20</v>
      </c>
      <c r="J4521" t="s">
        <v>4738</v>
      </c>
      <c r="K4521" s="17" t="s">
        <v>27</v>
      </c>
      <c r="L4521">
        <v>4</v>
      </c>
    </row>
    <row r="4522" spans="1:12" x14ac:dyDescent="0.25">
      <c r="A4522" t="s">
        <v>8853</v>
      </c>
      <c r="B4522" t="s">
        <v>2041</v>
      </c>
      <c r="C4522" t="s">
        <v>763</v>
      </c>
      <c r="D4522" t="s">
        <v>46</v>
      </c>
      <c r="E4522">
        <v>29</v>
      </c>
      <c r="F4522" t="s">
        <v>859</v>
      </c>
      <c r="G4522" t="s">
        <v>177</v>
      </c>
      <c r="H4522" s="2">
        <v>55262</v>
      </c>
      <c r="I4522" s="1" t="d">
        <v>2009-06-27</v>
      </c>
      <c r="J4522" t="s">
        <v>3077</v>
      </c>
      <c r="K4522" s="17" t="s">
        <v>90</v>
      </c>
      <c r="L4522">
        <v>3</v>
      </c>
    </row>
    <row r="4523" spans="1:12" x14ac:dyDescent="0.25">
      <c r="A4523" t="s">
        <v>8854</v>
      </c>
      <c r="B4523" t="s">
        <v>1481</v>
      </c>
      <c r="C4523" t="s">
        <v>189</v>
      </c>
      <c r="D4523" t="s">
        <v>23</v>
      </c>
      <c r="E4523">
        <v>35</v>
      </c>
      <c r="F4523" t="s">
        <v>31</v>
      </c>
      <c r="G4523" t="s">
        <v>283</v>
      </c>
      <c r="H4523">
        <v>97803</v>
      </c>
      <c r="I4523" s="1" t="d">
        <v>2013-03-09</v>
      </c>
      <c r="J4523" t="s">
        <v>4156</v>
      </c>
      <c r="K4523" s="17" t="s">
        <v>27</v>
      </c>
      <c r="L4523">
        <v>3</v>
      </c>
    </row>
    <row r="4524" spans="1:12" x14ac:dyDescent="0.25">
      <c r="A4524" t="s">
        <v>8855</v>
      </c>
      <c r="B4524" t="s">
        <v>2248</v>
      </c>
      <c r="C4524" t="s">
        <v>1520</v>
      </c>
      <c r="D4524" t="s">
        <v>23</v>
      </c>
      <c r="E4524">
        <v>41</v>
      </c>
      <c r="F4524" t="s">
        <v>169</v>
      </c>
      <c r="G4524" t="s">
        <v>191</v>
      </c>
      <c r="H4524" s="2">
        <v>45879</v>
      </c>
      <c r="I4524" s="1" t="d">
        <v>2019-03-09</v>
      </c>
      <c r="J4524" t="s">
        <v>6161</v>
      </c>
      <c r="K4524" s="17" t="s">
        <v>370</v>
      </c>
      <c r="L4524">
        <v>4</v>
      </c>
    </row>
    <row r="4525" spans="1:12" x14ac:dyDescent="0.25">
      <c r="A4525" t="s">
        <v>8856</v>
      </c>
      <c r="B4525" t="s">
        <v>1481</v>
      </c>
      <c r="C4525" t="s">
        <v>1734</v>
      </c>
      <c r="D4525" t="s">
        <v>23</v>
      </c>
      <c r="E4525">
        <v>46</v>
      </c>
      <c r="F4525" t="s">
        <v>399</v>
      </c>
      <c r="G4525" t="s">
        <v>177</v>
      </c>
      <c r="H4525" s="2">
        <v>49208</v>
      </c>
      <c r="I4525" s="1" t="d">
        <v>2012-08-24</v>
      </c>
      <c r="J4525" t="s">
        <v>1928</v>
      </c>
      <c r="K4525" s="17" t="s">
        <v>90</v>
      </c>
      <c r="L4525">
        <v>4</v>
      </c>
    </row>
    <row r="4526" spans="1:12" x14ac:dyDescent="0.25">
      <c r="A4526" t="s">
        <v>8857</v>
      </c>
      <c r="B4526" t="s">
        <v>248</v>
      </c>
      <c r="C4526" t="s">
        <v>567</v>
      </c>
      <c r="D4526" t="s">
        <v>23</v>
      </c>
      <c r="E4526">
        <v>39</v>
      </c>
      <c r="F4526" t="s">
        <v>1116</v>
      </c>
      <c r="G4526" t="s">
        <v>8858</v>
      </c>
      <c r="H4526" t="s">
        <v>8859</v>
      </c>
      <c r="I4526" s="1" t="d">
        <v>2005-10-03</v>
      </c>
      <c r="J4526" t="s">
        <v>486</v>
      </c>
      <c r="K4526" s="17" t="s">
        <v>184</v>
      </c>
      <c r="L4526">
        <v>3</v>
      </c>
    </row>
    <row r="4527" spans="1:12" x14ac:dyDescent="0.25">
      <c r="A4527" t="s">
        <v>8860</v>
      </c>
      <c r="B4527" t="s">
        <v>2409</v>
      </c>
      <c r="C4527" t="s">
        <v>474</v>
      </c>
      <c r="D4527" t="s">
        <v>46</v>
      </c>
      <c r="E4527">
        <v>43</v>
      </c>
      <c r="F4527" t="s">
        <v>15</v>
      </c>
      <c r="G4527" t="s">
        <v>1329</v>
      </c>
      <c r="H4527" t="s">
        <v>8861</v>
      </c>
      <c r="I4527" s="1" t="d">
        <v>2010-09-23</v>
      </c>
      <c r="J4527" t="s">
        <v>7799</v>
      </c>
      <c r="K4527" s="17" t="s">
        <v>100</v>
      </c>
      <c r="L4527">
        <v>1</v>
      </c>
    </row>
    <row r="4528" spans="1:12" x14ac:dyDescent="0.25">
      <c r="A4528" t="s">
        <v>8862</v>
      </c>
      <c r="B4528" t="s">
        <v>174</v>
      </c>
      <c r="C4528" t="s">
        <v>2064</v>
      </c>
      <c r="D4528" t="s">
        <v>46</v>
      </c>
      <c r="E4528">
        <v>21</v>
      </c>
      <c r="G4528" t="s">
        <v>1329</v>
      </c>
      <c r="H4528">
        <v>78260</v>
      </c>
      <c r="I4528" s="1" t="d">
        <v>2015-02-24</v>
      </c>
      <c r="J4528" t="s">
        <v>3251</v>
      </c>
      <c r="K4528" s="17" t="s">
        <v>71</v>
      </c>
      <c r="L4528">
        <v>2</v>
      </c>
    </row>
    <row r="4529" spans="1:12" x14ac:dyDescent="0.25">
      <c r="A4529" t="s">
        <v>3752</v>
      </c>
      <c r="B4529" t="s">
        <v>2252</v>
      </c>
      <c r="C4529" t="s">
        <v>1052</v>
      </c>
      <c r="D4529" t="s">
        <v>23</v>
      </c>
      <c r="E4529">
        <v>44</v>
      </c>
      <c r="F4529" t="s">
        <v>978</v>
      </c>
      <c r="G4529" t="s">
        <v>500</v>
      </c>
      <c r="H4529" t="s">
        <v>8863</v>
      </c>
      <c r="I4529" s="1" t="d">
        <v>2014-02-18</v>
      </c>
      <c r="J4529" t="s">
        <v>2254</v>
      </c>
      <c r="K4529" s="17" t="s">
        <v>50</v>
      </c>
      <c r="L4529">
        <v>3</v>
      </c>
    </row>
    <row r="4530" spans="1:12" x14ac:dyDescent="0.25">
      <c r="A4530" t="s">
        <v>8864</v>
      </c>
      <c r="B4530" t="s">
        <v>315</v>
      </c>
      <c r="C4530" t="s">
        <v>758</v>
      </c>
      <c r="D4530" t="s">
        <v>23</v>
      </c>
      <c r="E4530">
        <v>40</v>
      </c>
      <c r="F4530" t="s">
        <v>104</v>
      </c>
      <c r="G4530" t="s">
        <v>357</v>
      </c>
      <c r="H4530">
        <v>83370</v>
      </c>
      <c r="I4530" s="1" t="d">
        <v>2019-03-13</v>
      </c>
      <c r="J4530" t="s">
        <v>2460</v>
      </c>
      <c r="K4530" s="17" t="s">
        <v>207</v>
      </c>
      <c r="L4530">
        <v>3</v>
      </c>
    </row>
    <row r="4531" spans="1:12" x14ac:dyDescent="0.25">
      <c r="A4531" t="s">
        <v>8865</v>
      </c>
      <c r="B4531" t="s">
        <v>2041</v>
      </c>
      <c r="C4531" t="s">
        <v>681</v>
      </c>
      <c r="D4531" t="s">
        <v>9527</v>
      </c>
      <c r="E4531">
        <v>42</v>
      </c>
      <c r="F4531" t="s">
        <v>153</v>
      </c>
      <c r="G4531" t="s">
        <v>82</v>
      </c>
      <c r="H4531" s="2">
        <v>71535</v>
      </c>
      <c r="I4531" s="1" t="d">
        <v>2016-06-20</v>
      </c>
      <c r="J4531" t="s">
        <v>3112</v>
      </c>
      <c r="K4531" s="17" t="s">
        <v>149</v>
      </c>
      <c r="L4531">
        <v>3</v>
      </c>
    </row>
    <row r="4532" spans="1:12" x14ac:dyDescent="0.25">
      <c r="A4532" t="s">
        <v>8866</v>
      </c>
      <c r="B4532" t="s">
        <v>1854</v>
      </c>
      <c r="C4532" t="s">
        <v>729</v>
      </c>
      <c r="D4532" t="s">
        <v>9527</v>
      </c>
      <c r="E4532">
        <v>25</v>
      </c>
      <c r="F4532" t="s">
        <v>532</v>
      </c>
      <c r="G4532" t="s">
        <v>1329</v>
      </c>
      <c r="H4532">
        <v>70187</v>
      </c>
      <c r="I4532" s="1" t="d">
        <v>2007-08-31</v>
      </c>
      <c r="J4532" t="s">
        <v>1081</v>
      </c>
      <c r="K4532" s="17" t="s">
        <v>19</v>
      </c>
      <c r="L4532">
        <v>4</v>
      </c>
    </row>
    <row r="4533" spans="1:12" x14ac:dyDescent="0.25">
      <c r="A4533" t="s">
        <v>8867</v>
      </c>
      <c r="B4533" t="s">
        <v>470</v>
      </c>
      <c r="C4533" t="s">
        <v>696</v>
      </c>
      <c r="D4533" t="s">
        <v>23</v>
      </c>
      <c r="E4533">
        <v>39</v>
      </c>
      <c r="F4533" t="s">
        <v>666</v>
      </c>
      <c r="G4533" t="s">
        <v>283</v>
      </c>
      <c r="H4533">
        <v>107471</v>
      </c>
      <c r="I4533" s="1" t="d">
        <v>2020-08-07</v>
      </c>
      <c r="J4533" t="s">
        <v>2081</v>
      </c>
      <c r="K4533" s="17" t="s">
        <v>34</v>
      </c>
      <c r="L4533">
        <v>3</v>
      </c>
    </row>
    <row r="4534" spans="1:12" x14ac:dyDescent="0.25">
      <c r="A4534" t="s">
        <v>8868</v>
      </c>
      <c r="B4534" t="s">
        <v>826</v>
      </c>
      <c r="C4534" t="s">
        <v>386</v>
      </c>
      <c r="D4534" t="s">
        <v>46</v>
      </c>
      <c r="E4534">
        <v>24</v>
      </c>
      <c r="F4534" t="s">
        <v>38</v>
      </c>
      <c r="G4534" t="s">
        <v>177</v>
      </c>
      <c r="I4534" s="1" t="d">
        <v>2022-05-14</v>
      </c>
      <c r="J4534" t="s">
        <v>3792</v>
      </c>
      <c r="K4534" s="17" t="s">
        <v>100</v>
      </c>
      <c r="L4534">
        <v>3</v>
      </c>
    </row>
    <row r="4535" spans="1:12" x14ac:dyDescent="0.25">
      <c r="A4535" t="s">
        <v>8869</v>
      </c>
      <c r="B4535" t="s">
        <v>221</v>
      </c>
      <c r="C4535" t="s">
        <v>1030</v>
      </c>
      <c r="D4535" t="s">
        <v>23</v>
      </c>
      <c r="E4535">
        <v>40</v>
      </c>
      <c r="F4535" t="s">
        <v>31</v>
      </c>
      <c r="G4535" t="s">
        <v>69</v>
      </c>
      <c r="H4535" t="s">
        <v>8870</v>
      </c>
      <c r="I4535" s="1" t="d">
        <v>2022-11-07</v>
      </c>
      <c r="J4535" t="s">
        <v>4060</v>
      </c>
      <c r="K4535" s="17" t="s">
        <v>118</v>
      </c>
      <c r="L4535">
        <v>3</v>
      </c>
    </row>
    <row r="4536" spans="1:12" x14ac:dyDescent="0.25">
      <c r="A4536" t="s">
        <v>6298</v>
      </c>
      <c r="B4536" t="s">
        <v>566</v>
      </c>
      <c r="C4536" t="s">
        <v>6299</v>
      </c>
      <c r="D4536" t="s">
        <v>9527</v>
      </c>
      <c r="E4536">
        <v>29</v>
      </c>
      <c r="F4536" t="s">
        <v>522</v>
      </c>
      <c r="G4536" t="s">
        <v>458</v>
      </c>
      <c r="I4536" s="1" t="d">
        <v>2022-01-06</v>
      </c>
      <c r="J4536" t="s">
        <v>5054</v>
      </c>
      <c r="K4536" s="17" t="s">
        <v>34</v>
      </c>
      <c r="L4536">
        <v>5</v>
      </c>
    </row>
    <row r="4537" spans="1:12" x14ac:dyDescent="0.25">
      <c r="A4537" t="s">
        <v>8871</v>
      </c>
      <c r="B4537" t="s">
        <v>6239</v>
      </c>
      <c r="C4537" t="s">
        <v>988</v>
      </c>
      <c r="D4537" t="s">
        <v>46</v>
      </c>
      <c r="E4537">
        <v>54</v>
      </c>
      <c r="F4537" t="s">
        <v>356</v>
      </c>
      <c r="G4537" t="s">
        <v>191</v>
      </c>
      <c r="H4537" t="s">
        <v>8872</v>
      </c>
      <c r="I4537" s="1" t="d">
        <v>2019-01-21</v>
      </c>
      <c r="J4537" t="s">
        <v>7293</v>
      </c>
      <c r="K4537" s="17" t="s">
        <v>100</v>
      </c>
      <c r="L4537">
        <v>4</v>
      </c>
    </row>
    <row r="4538" spans="1:12" x14ac:dyDescent="0.25">
      <c r="A4538" t="s">
        <v>8873</v>
      </c>
      <c r="B4538" t="s">
        <v>1769</v>
      </c>
      <c r="C4538" t="s">
        <v>3097</v>
      </c>
      <c r="D4538" t="s">
        <v>46</v>
      </c>
      <c r="E4538">
        <v>54</v>
      </c>
      <c r="F4538" t="s">
        <v>356</v>
      </c>
      <c r="G4538" t="s">
        <v>177</v>
      </c>
      <c r="H4538">
        <v>92271</v>
      </c>
      <c r="I4538" s="1" t="d">
        <v>2008-12-10</v>
      </c>
      <c r="J4538" t="s">
        <v>4730</v>
      </c>
      <c r="K4538" s="17" t="s">
        <v>100</v>
      </c>
      <c r="L4538">
        <v>5</v>
      </c>
    </row>
    <row r="4539" spans="1:12" x14ac:dyDescent="0.25">
      <c r="A4539" t="s">
        <v>8874</v>
      </c>
      <c r="B4539" t="s">
        <v>37</v>
      </c>
      <c r="C4539" t="s">
        <v>631</v>
      </c>
      <c r="D4539" t="s">
        <v>23</v>
      </c>
      <c r="E4539">
        <v>45</v>
      </c>
      <c r="F4539" t="s">
        <v>1107</v>
      </c>
      <c r="G4539" t="s">
        <v>16</v>
      </c>
      <c r="H4539">
        <v>143839</v>
      </c>
      <c r="I4539" s="1" t="d">
        <v>2011-04-24</v>
      </c>
      <c r="J4539" t="s">
        <v>2995</v>
      </c>
      <c r="K4539" s="17" t="s">
        <v>19</v>
      </c>
      <c r="L4539">
        <v>3</v>
      </c>
    </row>
    <row r="4540" spans="1:12" x14ac:dyDescent="0.25">
      <c r="A4540" t="s">
        <v>7663</v>
      </c>
      <c r="B4540" t="s">
        <v>79</v>
      </c>
      <c r="C4540" t="s">
        <v>988</v>
      </c>
      <c r="D4540" t="s">
        <v>23</v>
      </c>
      <c r="E4540">
        <v>24</v>
      </c>
      <c r="G4540" t="s">
        <v>141</v>
      </c>
      <c r="H4540">
        <v>90002</v>
      </c>
      <c r="I4540" s="1" t="d">
        <v>2022-08-21</v>
      </c>
      <c r="J4540" t="s">
        <v>6257</v>
      </c>
      <c r="K4540" s="17" t="s">
        <v>184</v>
      </c>
      <c r="L4540">
        <v>3</v>
      </c>
    </row>
    <row r="4541" spans="1:12" x14ac:dyDescent="0.25">
      <c r="A4541" t="s">
        <v>8875</v>
      </c>
      <c r="B4541" t="s">
        <v>2041</v>
      </c>
      <c r="C4541" t="s">
        <v>215</v>
      </c>
      <c r="D4541" t="s">
        <v>9527</v>
      </c>
      <c r="E4541">
        <v>37</v>
      </c>
      <c r="F4541" t="s">
        <v>47</v>
      </c>
      <c r="G4541" t="s">
        <v>504</v>
      </c>
      <c r="H4541" t="s">
        <v>8876</v>
      </c>
      <c r="I4541" s="1" t="d">
        <v>2014-03-17</v>
      </c>
      <c r="J4541" t="s">
        <v>3477</v>
      </c>
      <c r="K4541" s="17" t="s">
        <v>42</v>
      </c>
      <c r="L4541">
        <v>3</v>
      </c>
    </row>
    <row r="4542" spans="1:12" x14ac:dyDescent="0.25">
      <c r="A4542" t="s">
        <v>8877</v>
      </c>
      <c r="B4542" t="s">
        <v>2252</v>
      </c>
      <c r="C4542" t="s">
        <v>1146</v>
      </c>
      <c r="D4542" t="s">
        <v>9527</v>
      </c>
      <c r="E4542">
        <v>51</v>
      </c>
      <c r="F4542" t="s">
        <v>62</v>
      </c>
      <c r="G4542" t="s">
        <v>82</v>
      </c>
      <c r="H4542" t="s">
        <v>8878</v>
      </c>
      <c r="I4542" s="1" t="d">
        <v>2024-10-22</v>
      </c>
      <c r="J4542" t="s">
        <v>1149</v>
      </c>
      <c r="K4542" s="17" t="s">
        <v>184</v>
      </c>
      <c r="L4542">
        <v>3</v>
      </c>
    </row>
    <row r="4543" spans="1:12" x14ac:dyDescent="0.25">
      <c r="A4543" t="s">
        <v>8879</v>
      </c>
      <c r="B4543" t="s">
        <v>92</v>
      </c>
      <c r="C4543" t="s">
        <v>966</v>
      </c>
      <c r="D4543" t="s">
        <v>23</v>
      </c>
      <c r="E4543">
        <v>44</v>
      </c>
      <c r="F4543" t="s">
        <v>108</v>
      </c>
      <c r="G4543" t="s">
        <v>170</v>
      </c>
      <c r="H4543" t="s">
        <v>8880</v>
      </c>
      <c r="I4543" s="1" t="d">
        <v>2024-03-29</v>
      </c>
      <c r="J4543" t="s">
        <v>1926</v>
      </c>
      <c r="K4543" s="17" t="s">
        <v>370</v>
      </c>
      <c r="L4543">
        <v>3</v>
      </c>
    </row>
    <row r="4544" spans="1:12" x14ac:dyDescent="0.25">
      <c r="A4544" t="s">
        <v>8881</v>
      </c>
      <c r="B4544" t="s">
        <v>221</v>
      </c>
      <c r="C4544" t="s">
        <v>898</v>
      </c>
      <c r="D4544" t="s">
        <v>46</v>
      </c>
      <c r="E4544">
        <v>33</v>
      </c>
      <c r="F4544" t="s">
        <v>589</v>
      </c>
      <c r="G4544" t="s">
        <v>69</v>
      </c>
      <c r="H4544" t="s">
        <v>8882</v>
      </c>
      <c r="I4544" s="1" t="d">
        <v>2005-03-13</v>
      </c>
      <c r="J4544" t="s">
        <v>3229</v>
      </c>
      <c r="K4544" s="17" t="s">
        <v>149</v>
      </c>
      <c r="L4544">
        <v>3</v>
      </c>
    </row>
    <row r="4545" spans="1:12" x14ac:dyDescent="0.25">
      <c r="A4545" t="s">
        <v>8883</v>
      </c>
      <c r="B4545" t="s">
        <v>410</v>
      </c>
      <c r="C4545" t="s">
        <v>4785</v>
      </c>
      <c r="D4545" t="s">
        <v>46</v>
      </c>
      <c r="E4545">
        <v>37</v>
      </c>
      <c r="F4545" t="s">
        <v>576</v>
      </c>
      <c r="G4545" t="s">
        <v>82</v>
      </c>
      <c r="H4545">
        <v>90585</v>
      </c>
      <c r="I4545" s="1" t="d">
        <v>2014-10-02</v>
      </c>
      <c r="J4545" t="s">
        <v>2422</v>
      </c>
      <c r="K4545" s="17" t="s">
        <v>34</v>
      </c>
      <c r="L4545">
        <v>4</v>
      </c>
    </row>
    <row r="4546" spans="1:12" x14ac:dyDescent="0.25">
      <c r="A4546" t="s">
        <v>8884</v>
      </c>
      <c r="B4546" t="s">
        <v>1769</v>
      </c>
      <c r="C4546" t="s">
        <v>1306</v>
      </c>
      <c r="D4546" t="s">
        <v>46</v>
      </c>
      <c r="E4546">
        <v>47</v>
      </c>
      <c r="F4546" t="s">
        <v>114</v>
      </c>
      <c r="G4546" t="s">
        <v>39</v>
      </c>
      <c r="H4546" t="s">
        <v>8885</v>
      </c>
      <c r="I4546" s="1" t="d">
        <v>2008-11-01</v>
      </c>
      <c r="J4546" t="s">
        <v>8448</v>
      </c>
      <c r="K4546" s="17" t="s">
        <v>90</v>
      </c>
      <c r="L4546">
        <v>4</v>
      </c>
    </row>
    <row r="4547" spans="1:12" x14ac:dyDescent="0.25">
      <c r="A4547" t="s">
        <v>8886</v>
      </c>
      <c r="B4547" t="s">
        <v>162</v>
      </c>
      <c r="C4547" t="s">
        <v>1306</v>
      </c>
      <c r="D4547" t="s">
        <v>46</v>
      </c>
      <c r="E4547">
        <v>36</v>
      </c>
      <c r="F4547" t="s">
        <v>350</v>
      </c>
      <c r="G4547" t="s">
        <v>115</v>
      </c>
      <c r="H4547" t="s">
        <v>8887</v>
      </c>
      <c r="I4547" s="1" t="d">
        <v>2012-08-18</v>
      </c>
      <c r="J4547" t="s">
        <v>1483</v>
      </c>
      <c r="K4547" s="17" t="s">
        <v>149</v>
      </c>
      <c r="L4547">
        <v>3</v>
      </c>
    </row>
    <row r="4548" spans="1:12" x14ac:dyDescent="0.25">
      <c r="A4548" t="s">
        <v>8888</v>
      </c>
      <c r="B4548" t="s">
        <v>125</v>
      </c>
      <c r="C4548" t="s">
        <v>1062</v>
      </c>
      <c r="D4548" t="s">
        <v>23</v>
      </c>
      <c r="E4548">
        <v>41</v>
      </c>
      <c r="F4548" t="s">
        <v>114</v>
      </c>
      <c r="G4548" t="s">
        <v>82</v>
      </c>
      <c r="H4548" t="s">
        <v>8889</v>
      </c>
      <c r="I4548" s="1" t="d">
        <v>2013-06-30</v>
      </c>
      <c r="J4548" t="s">
        <v>1128</v>
      </c>
      <c r="K4548" s="17" t="s">
        <v>58</v>
      </c>
      <c r="L4548">
        <v>3</v>
      </c>
    </row>
    <row r="4549" spans="1:12" x14ac:dyDescent="0.25">
      <c r="A4549" t="s">
        <v>8890</v>
      </c>
      <c r="B4549" t="s">
        <v>8891</v>
      </c>
      <c r="C4549" t="s">
        <v>805</v>
      </c>
      <c r="D4549" t="s">
        <v>46</v>
      </c>
      <c r="E4549">
        <v>39</v>
      </c>
      <c r="F4549" t="s">
        <v>2700</v>
      </c>
      <c r="G4549" t="s">
        <v>88</v>
      </c>
      <c r="H4549" t="s">
        <v>8892</v>
      </c>
      <c r="I4549" s="1" t="d">
        <v>2006-07-21</v>
      </c>
      <c r="J4549" t="s">
        <v>4123</v>
      </c>
      <c r="K4549" s="17" t="s">
        <v>184</v>
      </c>
      <c r="L4549">
        <v>3</v>
      </c>
    </row>
    <row r="4550" spans="1:12" x14ac:dyDescent="0.25">
      <c r="A4550" t="s">
        <v>8893</v>
      </c>
      <c r="B4550" t="s">
        <v>262</v>
      </c>
      <c r="C4550" t="s">
        <v>36</v>
      </c>
      <c r="D4550" t="s">
        <v>9527</v>
      </c>
      <c r="E4550">
        <v>31</v>
      </c>
      <c r="F4550" t="s">
        <v>230</v>
      </c>
      <c r="G4550" t="s">
        <v>782</v>
      </c>
      <c r="I4550" s="1" t="d">
        <v>2019-04-16</v>
      </c>
      <c r="J4550" t="s">
        <v>6382</v>
      </c>
      <c r="K4550" s="17" t="s">
        <v>207</v>
      </c>
      <c r="L4550">
        <v>3</v>
      </c>
    </row>
    <row r="4551" spans="1:12" x14ac:dyDescent="0.25">
      <c r="A4551" t="s">
        <v>8894</v>
      </c>
      <c r="B4551" t="s">
        <v>44</v>
      </c>
      <c r="C4551" t="s">
        <v>1734</v>
      </c>
      <c r="D4551" t="s">
        <v>23</v>
      </c>
      <c r="E4551">
        <v>30</v>
      </c>
      <c r="F4551" t="s">
        <v>787</v>
      </c>
      <c r="G4551" t="s">
        <v>115</v>
      </c>
      <c r="H4551" t="s">
        <v>8895</v>
      </c>
      <c r="I4551" s="1" t="d">
        <v>2022-12-12</v>
      </c>
      <c r="J4551" t="s">
        <v>2015</v>
      </c>
      <c r="K4551" s="17" t="s">
        <v>27</v>
      </c>
      <c r="L4551">
        <v>2</v>
      </c>
    </row>
    <row r="4552" spans="1:12" x14ac:dyDescent="0.25">
      <c r="A4552" t="s">
        <v>8896</v>
      </c>
      <c r="B4552" t="s">
        <v>563</v>
      </c>
      <c r="C4552" t="s">
        <v>770</v>
      </c>
      <c r="D4552" t="s">
        <v>23</v>
      </c>
      <c r="E4552">
        <v>39</v>
      </c>
      <c r="F4552" t="s">
        <v>532</v>
      </c>
      <c r="G4552" t="s">
        <v>177</v>
      </c>
      <c r="H4552" t="s">
        <v>8897</v>
      </c>
      <c r="I4552" s="1" t="d">
        <v>2023-07-20</v>
      </c>
      <c r="J4552" t="s">
        <v>771</v>
      </c>
      <c r="K4552" s="17" t="s">
        <v>50</v>
      </c>
      <c r="L4552">
        <v>5</v>
      </c>
    </row>
    <row r="4553" spans="1:12" x14ac:dyDescent="0.25">
      <c r="A4553" t="s">
        <v>8898</v>
      </c>
      <c r="B4553" t="s">
        <v>2517</v>
      </c>
      <c r="C4553" t="s">
        <v>5781</v>
      </c>
      <c r="D4553" t="s">
        <v>23</v>
      </c>
      <c r="E4553">
        <v>34</v>
      </c>
      <c r="F4553" t="s">
        <v>211</v>
      </c>
      <c r="G4553" t="s">
        <v>69</v>
      </c>
      <c r="H4553" t="s">
        <v>8899</v>
      </c>
      <c r="I4553" s="1" t="d">
        <v>2024-04-21</v>
      </c>
      <c r="J4553" t="s">
        <v>3572</v>
      </c>
      <c r="K4553" s="17" t="s">
        <v>34</v>
      </c>
      <c r="L4553">
        <v>4</v>
      </c>
    </row>
    <row r="4554" spans="1:12" x14ac:dyDescent="0.25">
      <c r="A4554" t="s">
        <v>8900</v>
      </c>
      <c r="B4554" t="s">
        <v>548</v>
      </c>
      <c r="C4554" t="s">
        <v>210</v>
      </c>
      <c r="D4554" t="s">
        <v>9527</v>
      </c>
      <c r="E4554">
        <v>42</v>
      </c>
      <c r="F4554" t="s">
        <v>319</v>
      </c>
      <c r="G4554" t="s">
        <v>82</v>
      </c>
      <c r="H4554" t="s">
        <v>8901</v>
      </c>
      <c r="I4554" s="1" t="d">
        <v>2006-11-14</v>
      </c>
      <c r="J4554" t="s">
        <v>6589</v>
      </c>
      <c r="K4554" s="17" t="s">
        <v>184</v>
      </c>
      <c r="L4554">
        <v>3</v>
      </c>
    </row>
    <row r="4555" spans="1:12" x14ac:dyDescent="0.25">
      <c r="A4555" t="s">
        <v>8902</v>
      </c>
      <c r="B4555" t="s">
        <v>3179</v>
      </c>
      <c r="C4555" t="s">
        <v>488</v>
      </c>
      <c r="D4555" t="s">
        <v>9527</v>
      </c>
      <c r="E4555">
        <v>36</v>
      </c>
      <c r="F4555" t="s">
        <v>532</v>
      </c>
      <c r="G4555" t="s">
        <v>159</v>
      </c>
      <c r="H4555" s="2">
        <v>66077</v>
      </c>
      <c r="I4555" s="1" t="d">
        <v>2024-09-13</v>
      </c>
      <c r="J4555" t="s">
        <v>2869</v>
      </c>
      <c r="K4555" s="17" t="s">
        <v>42</v>
      </c>
      <c r="L4555">
        <v>2</v>
      </c>
    </row>
    <row r="4556" spans="1:12" x14ac:dyDescent="0.25">
      <c r="A4556" t="s">
        <v>1109</v>
      </c>
      <c r="B4556" t="s">
        <v>248</v>
      </c>
      <c r="C4556" t="s">
        <v>6379</v>
      </c>
      <c r="D4556" t="s">
        <v>23</v>
      </c>
      <c r="E4556">
        <v>46</v>
      </c>
      <c r="F4556" t="s">
        <v>200</v>
      </c>
      <c r="G4556" t="s">
        <v>8903</v>
      </c>
      <c r="H4556">
        <v>91866</v>
      </c>
      <c r="I4556" s="1" t="d">
        <v>2022-12-09</v>
      </c>
      <c r="J4556" t="s">
        <v>1111</v>
      </c>
      <c r="K4556" s="17" t="s">
        <v>100</v>
      </c>
      <c r="L4556">
        <v>3</v>
      </c>
    </row>
    <row r="4557" spans="1:12" x14ac:dyDescent="0.25">
      <c r="A4557" t="s">
        <v>8904</v>
      </c>
      <c r="B4557" t="s">
        <v>1096</v>
      </c>
      <c r="C4557" t="s">
        <v>540</v>
      </c>
      <c r="D4557" t="s">
        <v>46</v>
      </c>
      <c r="E4557">
        <v>21</v>
      </c>
      <c r="F4557" t="s">
        <v>38</v>
      </c>
      <c r="G4557" t="s">
        <v>16</v>
      </c>
      <c r="H4557">
        <v>76590</v>
      </c>
      <c r="I4557" s="1" t="d">
        <v>2016-01-17</v>
      </c>
      <c r="J4557" t="s">
        <v>4776</v>
      </c>
      <c r="K4557" s="17" t="s">
        <v>90</v>
      </c>
      <c r="L4557">
        <v>4</v>
      </c>
    </row>
    <row r="4558" spans="1:12" x14ac:dyDescent="0.25">
      <c r="A4558" t="s">
        <v>8905</v>
      </c>
      <c r="B4558" t="s">
        <v>73</v>
      </c>
      <c r="C4558" t="s">
        <v>1205</v>
      </c>
      <c r="D4558" t="s">
        <v>46</v>
      </c>
      <c r="E4558">
        <v>34</v>
      </c>
      <c r="F4558" t="s">
        <v>94</v>
      </c>
      <c r="G4558" t="s">
        <v>170</v>
      </c>
      <c r="H4558">
        <v>65407</v>
      </c>
      <c r="I4558" s="1" t="d">
        <v>2013-04-19</v>
      </c>
      <c r="J4558" t="s">
        <v>2184</v>
      </c>
      <c r="K4558" s="17" t="s">
        <v>58</v>
      </c>
      <c r="L4558">
        <v>3</v>
      </c>
    </row>
    <row r="4559" spans="1:12" x14ac:dyDescent="0.25">
      <c r="A4559" t="s">
        <v>8906</v>
      </c>
      <c r="B4559" t="s">
        <v>456</v>
      </c>
      <c r="C4559" t="s">
        <v>181</v>
      </c>
      <c r="D4559" t="s">
        <v>23</v>
      </c>
      <c r="E4559">
        <v>49</v>
      </c>
      <c r="F4559" t="s">
        <v>75</v>
      </c>
      <c r="G4559" t="s">
        <v>170</v>
      </c>
      <c r="H4559" t="s">
        <v>8907</v>
      </c>
      <c r="I4559" s="1" t="d">
        <v>2016-07-05</v>
      </c>
      <c r="J4559" t="s">
        <v>8908</v>
      </c>
      <c r="K4559" s="17" t="s">
        <v>100</v>
      </c>
      <c r="L4559">
        <v>3</v>
      </c>
    </row>
    <row r="4560" spans="1:12" x14ac:dyDescent="0.25">
      <c r="A4560" t="s">
        <v>8909</v>
      </c>
      <c r="B4560" t="s">
        <v>1002</v>
      </c>
      <c r="C4560" t="s">
        <v>988</v>
      </c>
      <c r="D4560" t="s">
        <v>9527</v>
      </c>
      <c r="E4560">
        <v>41</v>
      </c>
      <c r="F4560" t="s">
        <v>356</v>
      </c>
      <c r="G4560" t="s">
        <v>16</v>
      </c>
      <c r="H4560" t="s">
        <v>8910</v>
      </c>
      <c r="I4560" s="1" t="d">
        <v>2016-02-28</v>
      </c>
      <c r="J4560" t="s">
        <v>991</v>
      </c>
      <c r="K4560" s="17" t="s">
        <v>118</v>
      </c>
      <c r="L4560">
        <v>4</v>
      </c>
    </row>
    <row r="4561" spans="1:12" x14ac:dyDescent="0.25">
      <c r="A4561" t="s">
        <v>8911</v>
      </c>
      <c r="B4561" t="s">
        <v>1403</v>
      </c>
      <c r="C4561" t="s">
        <v>377</v>
      </c>
      <c r="D4561" t="s">
        <v>46</v>
      </c>
      <c r="E4561">
        <v>52</v>
      </c>
      <c r="F4561" t="s">
        <v>3978</v>
      </c>
      <c r="G4561" t="s">
        <v>182</v>
      </c>
      <c r="H4561">
        <v>137421</v>
      </c>
      <c r="I4561" s="1" t="d">
        <v>2007-02-04</v>
      </c>
      <c r="J4561" t="s">
        <v>4733</v>
      </c>
      <c r="K4561" s="17" t="s">
        <v>100</v>
      </c>
      <c r="L4561">
        <v>3</v>
      </c>
    </row>
    <row r="4562" spans="1:12" x14ac:dyDescent="0.25">
      <c r="A4562" t="s">
        <v>8912</v>
      </c>
      <c r="B4562" t="s">
        <v>180</v>
      </c>
      <c r="C4562" t="s">
        <v>22</v>
      </c>
      <c r="D4562" t="s">
        <v>23</v>
      </c>
      <c r="E4562">
        <v>42</v>
      </c>
      <c r="F4562" t="s">
        <v>104</v>
      </c>
      <c r="G4562" t="s">
        <v>82</v>
      </c>
      <c r="H4562" t="s">
        <v>8913</v>
      </c>
      <c r="I4562" s="1" t="d">
        <v>2006-03-30</v>
      </c>
      <c r="J4562" t="s">
        <v>2340</v>
      </c>
      <c r="K4562" s="17" t="s">
        <v>50</v>
      </c>
      <c r="L4562">
        <v>3</v>
      </c>
    </row>
    <row r="4563" spans="1:12" x14ac:dyDescent="0.25">
      <c r="A4563" t="s">
        <v>8914</v>
      </c>
      <c r="B4563" t="s">
        <v>162</v>
      </c>
      <c r="C4563" t="s">
        <v>851</v>
      </c>
      <c r="D4563" t="s">
        <v>23</v>
      </c>
      <c r="E4563">
        <v>28</v>
      </c>
      <c r="F4563" t="s">
        <v>146</v>
      </c>
      <c r="G4563" t="s">
        <v>159</v>
      </c>
      <c r="H4563">
        <v>97929</v>
      </c>
      <c r="I4563" s="1" t="d">
        <v>2023-02-23</v>
      </c>
      <c r="J4563" t="s">
        <v>4741</v>
      </c>
      <c r="K4563" s="17" t="s">
        <v>370</v>
      </c>
      <c r="L4563">
        <v>3</v>
      </c>
    </row>
    <row r="4564" spans="1:12" x14ac:dyDescent="0.25">
      <c r="A4564" t="s">
        <v>8915</v>
      </c>
      <c r="B4564" t="s">
        <v>323</v>
      </c>
      <c r="C4564" t="s">
        <v>851</v>
      </c>
      <c r="D4564" t="s">
        <v>23</v>
      </c>
      <c r="E4564">
        <v>41</v>
      </c>
      <c r="F4564" t="s">
        <v>406</v>
      </c>
      <c r="G4564" t="s">
        <v>55</v>
      </c>
      <c r="H4564">
        <v>45203</v>
      </c>
      <c r="I4564" s="1" t="d">
        <v>2011-12-23</v>
      </c>
      <c r="J4564" t="s">
        <v>325</v>
      </c>
      <c r="K4564" s="17" t="s">
        <v>58</v>
      </c>
      <c r="L4564">
        <v>4</v>
      </c>
    </row>
    <row r="4565" spans="1:12" x14ac:dyDescent="0.25">
      <c r="A4565" t="s">
        <v>8916</v>
      </c>
      <c r="B4565" t="s">
        <v>583</v>
      </c>
      <c r="C4565" t="s">
        <v>4565</v>
      </c>
      <c r="D4565" t="s">
        <v>23</v>
      </c>
      <c r="E4565">
        <v>46</v>
      </c>
      <c r="F4565" t="s">
        <v>24</v>
      </c>
      <c r="G4565" t="s">
        <v>351</v>
      </c>
      <c r="H4565" t="s">
        <v>8917</v>
      </c>
      <c r="I4565" s="1" t="d">
        <v>2015-01-23</v>
      </c>
      <c r="J4565" t="s">
        <v>4199</v>
      </c>
      <c r="K4565" s="17" t="s">
        <v>118</v>
      </c>
      <c r="L4565">
        <v>4</v>
      </c>
    </row>
    <row r="4566" spans="1:12" x14ac:dyDescent="0.25">
      <c r="A4566" t="s">
        <v>8918</v>
      </c>
      <c r="B4566" t="s">
        <v>394</v>
      </c>
      <c r="C4566" t="s">
        <v>3448</v>
      </c>
      <c r="D4566" t="s">
        <v>23</v>
      </c>
      <c r="E4566">
        <v>38</v>
      </c>
      <c r="F4566" t="s">
        <v>752</v>
      </c>
      <c r="G4566" t="s">
        <v>967</v>
      </c>
      <c r="H4566" t="s">
        <v>8919</v>
      </c>
      <c r="I4566" s="1" t="d">
        <v>2020-04-11</v>
      </c>
      <c r="J4566" t="s">
        <v>1554</v>
      </c>
      <c r="K4566" s="17" t="s">
        <v>34</v>
      </c>
      <c r="L4566">
        <v>3</v>
      </c>
    </row>
    <row r="4567" spans="1:12" x14ac:dyDescent="0.25">
      <c r="A4567" t="s">
        <v>8920</v>
      </c>
      <c r="B4567" t="s">
        <v>728</v>
      </c>
      <c r="C4567" t="s">
        <v>291</v>
      </c>
      <c r="D4567" t="s">
        <v>46</v>
      </c>
      <c r="E4567">
        <v>63</v>
      </c>
      <c r="F4567" t="s">
        <v>258</v>
      </c>
      <c r="G4567" t="s">
        <v>378</v>
      </c>
      <c r="I4567" s="1" t="d">
        <v>2007-11-17</v>
      </c>
      <c r="J4567" t="s">
        <v>1208</v>
      </c>
      <c r="K4567" s="17" t="s">
        <v>100</v>
      </c>
      <c r="L4567">
        <v>4</v>
      </c>
    </row>
    <row r="4568" spans="1:12" x14ac:dyDescent="0.25">
      <c r="A4568" t="s">
        <v>8921</v>
      </c>
      <c r="B4568" t="s">
        <v>482</v>
      </c>
      <c r="C4568" t="s">
        <v>1356</v>
      </c>
      <c r="D4568" t="s">
        <v>23</v>
      </c>
      <c r="E4568">
        <v>44</v>
      </c>
      <c r="F4568" t="s">
        <v>24</v>
      </c>
      <c r="G4568" t="s">
        <v>182</v>
      </c>
      <c r="H4568" s="2">
        <v>134346</v>
      </c>
      <c r="I4568" s="1" t="d">
        <v>2008-09-21</v>
      </c>
      <c r="J4568" t="s">
        <v>4551</v>
      </c>
      <c r="K4568" s="17" t="s">
        <v>118</v>
      </c>
      <c r="L4568">
        <v>3</v>
      </c>
    </row>
    <row r="4569" spans="1:12" x14ac:dyDescent="0.25">
      <c r="A4569" t="s">
        <v>8922</v>
      </c>
      <c r="B4569" t="s">
        <v>1096</v>
      </c>
      <c r="C4569" t="s">
        <v>215</v>
      </c>
      <c r="D4569" t="s">
        <v>23</v>
      </c>
      <c r="E4569">
        <v>40</v>
      </c>
      <c r="F4569" t="s">
        <v>1307</v>
      </c>
      <c r="G4569" t="s">
        <v>82</v>
      </c>
      <c r="I4569" s="1" t="d">
        <v>2013-08-02</v>
      </c>
      <c r="J4569" t="s">
        <v>5147</v>
      </c>
      <c r="K4569" s="17" t="s">
        <v>118</v>
      </c>
      <c r="L4569">
        <v>4</v>
      </c>
    </row>
    <row r="4570" spans="1:12" x14ac:dyDescent="0.25">
      <c r="A4570" t="s">
        <v>8923</v>
      </c>
      <c r="B4570" t="s">
        <v>340</v>
      </c>
      <c r="C4570" t="s">
        <v>624</v>
      </c>
      <c r="D4570" t="s">
        <v>23</v>
      </c>
      <c r="E4570">
        <v>47</v>
      </c>
      <c r="F4570" t="s">
        <v>230</v>
      </c>
      <c r="G4570" t="s">
        <v>48</v>
      </c>
      <c r="I4570" s="1" t="d">
        <v>2014-06-21</v>
      </c>
      <c r="J4570" t="s">
        <v>7074</v>
      </c>
      <c r="K4570" s="17" t="s">
        <v>34</v>
      </c>
      <c r="L4570">
        <v>5</v>
      </c>
    </row>
    <row r="4571" spans="1:12" x14ac:dyDescent="0.25">
      <c r="A4571" t="s">
        <v>8924</v>
      </c>
      <c r="B4571" t="s">
        <v>1336</v>
      </c>
      <c r="C4571" t="s">
        <v>6524</v>
      </c>
      <c r="D4571" t="s">
        <v>23</v>
      </c>
      <c r="E4571">
        <v>40</v>
      </c>
      <c r="F4571" t="s">
        <v>62</v>
      </c>
      <c r="G4571" t="s">
        <v>48</v>
      </c>
      <c r="I4571" s="1" t="d">
        <v>2018-06-08</v>
      </c>
      <c r="J4571" t="s">
        <v>1338</v>
      </c>
      <c r="K4571" s="17" t="s">
        <v>207</v>
      </c>
      <c r="L4571">
        <v>3</v>
      </c>
    </row>
    <row r="4572" spans="1:12" x14ac:dyDescent="0.25">
      <c r="A4572" t="s">
        <v>8670</v>
      </c>
      <c r="B4572" t="s">
        <v>66</v>
      </c>
      <c r="C4572" t="s">
        <v>152</v>
      </c>
      <c r="D4572" t="s">
        <v>9527</v>
      </c>
      <c r="E4572">
        <v>32</v>
      </c>
      <c r="F4572" t="s">
        <v>1307</v>
      </c>
      <c r="G4572" t="s">
        <v>191</v>
      </c>
      <c r="I4572" s="1" t="d">
        <v>2022-12-23</v>
      </c>
      <c r="J4572" t="s">
        <v>2276</v>
      </c>
      <c r="K4572" s="17" t="s">
        <v>42</v>
      </c>
      <c r="L4572">
        <v>4</v>
      </c>
    </row>
    <row r="4573" spans="1:12" x14ac:dyDescent="0.25">
      <c r="A4573" t="s">
        <v>8925</v>
      </c>
      <c r="B4573" t="s">
        <v>98</v>
      </c>
      <c r="C4573" t="s">
        <v>521</v>
      </c>
      <c r="D4573" t="s">
        <v>23</v>
      </c>
      <c r="E4573">
        <v>28</v>
      </c>
      <c r="F4573" t="s">
        <v>666</v>
      </c>
      <c r="G4573" t="s">
        <v>526</v>
      </c>
      <c r="H4573" t="s">
        <v>8926</v>
      </c>
      <c r="I4573" s="1" t="d">
        <v>2007-03-10</v>
      </c>
      <c r="J4573" t="s">
        <v>4009</v>
      </c>
      <c r="K4573" s="17" t="s">
        <v>19</v>
      </c>
      <c r="L4573">
        <v>3</v>
      </c>
    </row>
    <row r="4574" spans="1:12" x14ac:dyDescent="0.25">
      <c r="A4574" t="s">
        <v>8927</v>
      </c>
      <c r="B4574" t="s">
        <v>3486</v>
      </c>
      <c r="C4574" t="s">
        <v>729</v>
      </c>
      <c r="D4574" t="s">
        <v>46</v>
      </c>
      <c r="E4574">
        <v>39</v>
      </c>
      <c r="F4574" t="s">
        <v>230</v>
      </c>
      <c r="G4574" t="s">
        <v>357</v>
      </c>
      <c r="H4574" t="s">
        <v>8928</v>
      </c>
      <c r="I4574" s="1" t="d">
        <v>2011-07-27</v>
      </c>
      <c r="J4574" t="s">
        <v>2605</v>
      </c>
      <c r="K4574" s="17" t="s">
        <v>34</v>
      </c>
      <c r="L4574">
        <v>3</v>
      </c>
    </row>
    <row r="4575" spans="1:12" x14ac:dyDescent="0.25">
      <c r="A4575" t="s">
        <v>8929</v>
      </c>
      <c r="B4575" t="s">
        <v>1437</v>
      </c>
      <c r="C4575" t="s">
        <v>552</v>
      </c>
      <c r="D4575" t="s">
        <v>23</v>
      </c>
      <c r="E4575">
        <v>42</v>
      </c>
      <c r="F4575" t="s">
        <v>859</v>
      </c>
      <c r="G4575" t="s">
        <v>16</v>
      </c>
      <c r="I4575" s="1" t="d">
        <v>2011-02-26</v>
      </c>
      <c r="J4575" t="s">
        <v>4508</v>
      </c>
      <c r="K4575" s="17" t="s">
        <v>100</v>
      </c>
      <c r="L4575">
        <v>2</v>
      </c>
    </row>
    <row r="4576" spans="1:12" x14ac:dyDescent="0.25">
      <c r="A4576" t="s">
        <v>1537</v>
      </c>
      <c r="B4576" t="s">
        <v>1561</v>
      </c>
      <c r="C4576" t="s">
        <v>318</v>
      </c>
      <c r="D4576" t="s">
        <v>9527</v>
      </c>
      <c r="E4576">
        <v>45</v>
      </c>
      <c r="F4576" t="s">
        <v>296</v>
      </c>
      <c r="G4576" t="s">
        <v>141</v>
      </c>
      <c r="H4576" t="s">
        <v>8930</v>
      </c>
      <c r="I4576" s="1" t="d">
        <v>2009-06-27</v>
      </c>
      <c r="J4576" t="s">
        <v>1539</v>
      </c>
      <c r="K4576" s="17" t="s">
        <v>149</v>
      </c>
      <c r="L4576">
        <v>4</v>
      </c>
    </row>
    <row r="4577" spans="1:12" x14ac:dyDescent="0.25">
      <c r="A4577" t="s">
        <v>8931</v>
      </c>
      <c r="B4577" t="s">
        <v>684</v>
      </c>
      <c r="C4577" t="s">
        <v>5940</v>
      </c>
      <c r="D4577" t="s">
        <v>46</v>
      </c>
      <c r="E4577">
        <v>47</v>
      </c>
      <c r="F4577" t="s">
        <v>1195</v>
      </c>
      <c r="G4577" t="s">
        <v>115</v>
      </c>
      <c r="H4577" t="s">
        <v>8932</v>
      </c>
      <c r="I4577" s="1" t="d">
        <v>2016-03-04</v>
      </c>
      <c r="J4577" t="s">
        <v>6109</v>
      </c>
      <c r="K4577" s="17" t="s">
        <v>207</v>
      </c>
      <c r="L4577">
        <v>4</v>
      </c>
    </row>
    <row r="4578" spans="1:12" x14ac:dyDescent="0.25">
      <c r="A4578" t="s">
        <v>8933</v>
      </c>
      <c r="B4578" t="s">
        <v>144</v>
      </c>
      <c r="C4578" t="s">
        <v>45</v>
      </c>
      <c r="D4578" t="s">
        <v>46</v>
      </c>
      <c r="E4578">
        <v>55</v>
      </c>
      <c r="G4578" t="s">
        <v>115</v>
      </c>
      <c r="H4578" s="2">
        <v>69314</v>
      </c>
      <c r="I4578" s="1" t="d">
        <v>2009-09-04</v>
      </c>
      <c r="J4578" t="s">
        <v>3314</v>
      </c>
      <c r="K4578" s="17" t="s">
        <v>184</v>
      </c>
      <c r="L4578">
        <v>1</v>
      </c>
    </row>
    <row r="4579" spans="1:12" x14ac:dyDescent="0.25">
      <c r="A4579" t="s">
        <v>8934</v>
      </c>
      <c r="B4579" t="s">
        <v>1437</v>
      </c>
      <c r="C4579" t="s">
        <v>575</v>
      </c>
      <c r="D4579" t="s">
        <v>9527</v>
      </c>
      <c r="E4579">
        <v>35</v>
      </c>
      <c r="F4579" t="s">
        <v>15</v>
      </c>
      <c r="G4579" t="s">
        <v>504</v>
      </c>
      <c r="H4579" t="s">
        <v>8935</v>
      </c>
      <c r="I4579" s="1" t="d">
        <v>2019-03-11</v>
      </c>
      <c r="J4579" t="s">
        <v>2634</v>
      </c>
      <c r="K4579" s="17" t="s">
        <v>50</v>
      </c>
      <c r="L4579">
        <v>3</v>
      </c>
    </row>
    <row r="4580" spans="1:12" x14ac:dyDescent="0.25">
      <c r="A4580" t="s">
        <v>6857</v>
      </c>
      <c r="B4580" t="s">
        <v>670</v>
      </c>
      <c r="C4580" t="s">
        <v>318</v>
      </c>
      <c r="D4580" t="s">
        <v>9527</v>
      </c>
      <c r="E4580">
        <v>43</v>
      </c>
      <c r="F4580" t="s">
        <v>918</v>
      </c>
      <c r="G4580" t="s">
        <v>55</v>
      </c>
      <c r="H4580" s="2">
        <v>70658</v>
      </c>
      <c r="I4580" s="1" t="d">
        <v>2023-06-02</v>
      </c>
      <c r="J4580" t="s">
        <v>3844</v>
      </c>
      <c r="K4580" s="17" t="s">
        <v>34</v>
      </c>
      <c r="L4580">
        <v>4</v>
      </c>
    </row>
    <row r="4581" spans="1:12" x14ac:dyDescent="0.25">
      <c r="A4581" t="s">
        <v>8936</v>
      </c>
      <c r="B4581" t="s">
        <v>3535</v>
      </c>
      <c r="C4581" t="s">
        <v>988</v>
      </c>
      <c r="D4581" t="s">
        <v>23</v>
      </c>
      <c r="E4581">
        <v>40</v>
      </c>
      <c r="F4581" t="s">
        <v>1839</v>
      </c>
      <c r="G4581" t="s">
        <v>16</v>
      </c>
      <c r="H4581" s="2">
        <v>81075</v>
      </c>
      <c r="I4581" s="1" t="d">
        <v>2008-06-17</v>
      </c>
      <c r="J4581" t="s">
        <v>3238</v>
      </c>
      <c r="K4581" s="17" t="s">
        <v>42</v>
      </c>
      <c r="L4581">
        <v>3</v>
      </c>
    </row>
    <row r="4582" spans="1:12" x14ac:dyDescent="0.25">
      <c r="A4582" t="s">
        <v>8937</v>
      </c>
      <c r="B4582" t="s">
        <v>2365</v>
      </c>
      <c r="C4582" t="s">
        <v>67</v>
      </c>
      <c r="D4582" t="s">
        <v>46</v>
      </c>
      <c r="E4582">
        <v>44</v>
      </c>
      <c r="F4582" t="s">
        <v>1851</v>
      </c>
      <c r="G4582" t="s">
        <v>82</v>
      </c>
      <c r="H4582">
        <v>51928</v>
      </c>
      <c r="I4582" s="1" t="d">
        <v>2005-03-29</v>
      </c>
      <c r="J4582" t="s">
        <v>2849</v>
      </c>
      <c r="K4582" s="17" t="s">
        <v>42</v>
      </c>
      <c r="L4582">
        <v>4</v>
      </c>
    </row>
    <row r="4583" spans="1:12" x14ac:dyDescent="0.25">
      <c r="A4583" t="s">
        <v>8938</v>
      </c>
      <c r="B4583" t="s">
        <v>112</v>
      </c>
      <c r="C4583" t="s">
        <v>377</v>
      </c>
      <c r="D4583" t="s">
        <v>46</v>
      </c>
      <c r="E4583">
        <v>25</v>
      </c>
      <c r="F4583" t="s">
        <v>918</v>
      </c>
      <c r="G4583" t="s">
        <v>48</v>
      </c>
      <c r="H4583" t="s">
        <v>8939</v>
      </c>
      <c r="I4583" s="1" t="d">
        <v>2010-01-25</v>
      </c>
      <c r="J4583" t="s">
        <v>1755</v>
      </c>
      <c r="K4583" s="17" t="s">
        <v>207</v>
      </c>
      <c r="L4583">
        <v>2</v>
      </c>
    </row>
    <row r="4584" spans="1:12" x14ac:dyDescent="0.25">
      <c r="A4584" t="s">
        <v>8940</v>
      </c>
      <c r="B4584" t="s">
        <v>1826</v>
      </c>
      <c r="C4584" t="s">
        <v>2242</v>
      </c>
      <c r="D4584" t="s">
        <v>46</v>
      </c>
      <c r="E4584">
        <v>43</v>
      </c>
      <c r="F4584" t="s">
        <v>122</v>
      </c>
      <c r="G4584" t="s">
        <v>1013</v>
      </c>
      <c r="H4584" s="2">
        <v>71924</v>
      </c>
      <c r="J4584" t="s">
        <v>8941</v>
      </c>
      <c r="K4584" s="17" t="s">
        <v>71</v>
      </c>
      <c r="L4584">
        <v>2</v>
      </c>
    </row>
    <row r="4585" spans="1:12" x14ac:dyDescent="0.25">
      <c r="A4585" t="s">
        <v>8942</v>
      </c>
      <c r="B4585" t="s">
        <v>112</v>
      </c>
      <c r="C4585" t="s">
        <v>516</v>
      </c>
      <c r="D4585" t="s">
        <v>23</v>
      </c>
      <c r="E4585">
        <v>35</v>
      </c>
      <c r="F4585" t="s">
        <v>238</v>
      </c>
      <c r="G4585" t="s">
        <v>88</v>
      </c>
      <c r="H4585" s="2">
        <v>59718</v>
      </c>
      <c r="I4585" s="1" t="d">
        <v>2024-12-06</v>
      </c>
      <c r="J4585" t="s">
        <v>2769</v>
      </c>
      <c r="K4585" s="17" t="s">
        <v>42</v>
      </c>
      <c r="L4585">
        <v>4</v>
      </c>
    </row>
    <row r="4586" spans="1:12" x14ac:dyDescent="0.25">
      <c r="A4586" t="s">
        <v>8943</v>
      </c>
      <c r="B4586" t="s">
        <v>4260</v>
      </c>
      <c r="C4586" t="s">
        <v>483</v>
      </c>
      <c r="D4586" t="s">
        <v>23</v>
      </c>
      <c r="E4586">
        <v>32</v>
      </c>
      <c r="F4586" t="s">
        <v>2065</v>
      </c>
      <c r="G4586" t="s">
        <v>1791</v>
      </c>
      <c r="I4586" s="1" t="d">
        <v>2005-03-02</v>
      </c>
      <c r="J4586" t="s">
        <v>2906</v>
      </c>
      <c r="K4586" s="17" t="s">
        <v>19</v>
      </c>
      <c r="L4586">
        <v>3</v>
      </c>
    </row>
    <row r="4587" spans="1:12" x14ac:dyDescent="0.25">
      <c r="A4587" t="s">
        <v>8944</v>
      </c>
      <c r="B4587" t="s">
        <v>13</v>
      </c>
      <c r="C4587" t="s">
        <v>1052</v>
      </c>
      <c r="D4587" t="s">
        <v>23</v>
      </c>
      <c r="E4587">
        <v>37</v>
      </c>
      <c r="F4587" t="s">
        <v>1983</v>
      </c>
      <c r="G4587" t="s">
        <v>967</v>
      </c>
      <c r="H4587" t="s">
        <v>8945</v>
      </c>
      <c r="I4587" s="1" t="d">
        <v>2024-09-05</v>
      </c>
      <c r="J4587" t="s">
        <v>6779</v>
      </c>
      <c r="K4587" s="17" t="s">
        <v>27</v>
      </c>
      <c r="L4587">
        <v>5</v>
      </c>
    </row>
    <row r="4588" spans="1:12" x14ac:dyDescent="0.25">
      <c r="A4588" t="s">
        <v>8946</v>
      </c>
      <c r="B4588" t="s">
        <v>4760</v>
      </c>
      <c r="C4588" t="s">
        <v>1859</v>
      </c>
      <c r="D4588" t="s">
        <v>46</v>
      </c>
      <c r="E4588">
        <v>32</v>
      </c>
      <c r="F4588" t="s">
        <v>31</v>
      </c>
      <c r="G4588" t="s">
        <v>48</v>
      </c>
      <c r="H4588" s="2">
        <v>43086</v>
      </c>
      <c r="I4588" s="1" t="d">
        <v>2007-10-18</v>
      </c>
      <c r="J4588" t="s">
        <v>4168</v>
      </c>
      <c r="K4588" s="17" t="s">
        <v>118</v>
      </c>
      <c r="L4588">
        <v>3</v>
      </c>
    </row>
    <row r="4589" spans="1:12" x14ac:dyDescent="0.25">
      <c r="A4589" t="s">
        <v>8947</v>
      </c>
      <c r="B4589" t="s">
        <v>1403</v>
      </c>
      <c r="C4589" t="s">
        <v>1770</v>
      </c>
      <c r="D4589" t="s">
        <v>46</v>
      </c>
      <c r="E4589">
        <v>27</v>
      </c>
      <c r="F4589" t="s">
        <v>245</v>
      </c>
      <c r="G4589" t="s">
        <v>82</v>
      </c>
      <c r="H4589" t="s">
        <v>8948</v>
      </c>
      <c r="I4589" s="1" t="d">
        <v>2012-11-25</v>
      </c>
      <c r="J4589" t="s">
        <v>2701</v>
      </c>
      <c r="K4589" s="17" t="s">
        <v>100</v>
      </c>
      <c r="L4589">
        <v>4</v>
      </c>
    </row>
    <row r="4590" spans="1:12" x14ac:dyDescent="0.25">
      <c r="A4590" t="s">
        <v>8949</v>
      </c>
      <c r="B4590" t="s">
        <v>520</v>
      </c>
      <c r="C4590" t="s">
        <v>53</v>
      </c>
      <c r="D4590" t="s">
        <v>46</v>
      </c>
      <c r="E4590">
        <v>61</v>
      </c>
      <c r="F4590" t="s">
        <v>211</v>
      </c>
      <c r="G4590" t="s">
        <v>217</v>
      </c>
      <c r="H4590" s="2">
        <v>88219</v>
      </c>
      <c r="I4590" s="1" t="d">
        <v>2012-09-24</v>
      </c>
      <c r="J4590" t="s">
        <v>4035</v>
      </c>
      <c r="K4590" s="17" t="s">
        <v>207</v>
      </c>
      <c r="L4590">
        <v>4</v>
      </c>
    </row>
    <row r="4591" spans="1:12" x14ac:dyDescent="0.25">
      <c r="A4591" t="s">
        <v>8950</v>
      </c>
      <c r="B4591" t="s">
        <v>482</v>
      </c>
      <c r="C4591" t="s">
        <v>552</v>
      </c>
      <c r="D4591" t="s">
        <v>23</v>
      </c>
      <c r="E4591">
        <v>38</v>
      </c>
      <c r="F4591" t="s">
        <v>153</v>
      </c>
      <c r="G4591" t="s">
        <v>82</v>
      </c>
      <c r="H4591" s="2">
        <v>68767</v>
      </c>
      <c r="I4591" s="1" t="d">
        <v>2011-04-10</v>
      </c>
      <c r="J4591" t="s">
        <v>2266</v>
      </c>
      <c r="K4591" s="17" t="s">
        <v>370</v>
      </c>
      <c r="L4591">
        <v>5</v>
      </c>
    </row>
    <row r="4592" spans="1:12" x14ac:dyDescent="0.25">
      <c r="A4592" t="s">
        <v>8951</v>
      </c>
      <c r="B4592" t="s">
        <v>637</v>
      </c>
      <c r="C4592" t="s">
        <v>181</v>
      </c>
      <c r="D4592" t="s">
        <v>23</v>
      </c>
      <c r="E4592">
        <v>34</v>
      </c>
      <c r="F4592" t="s">
        <v>649</v>
      </c>
      <c r="G4592" t="s">
        <v>39</v>
      </c>
      <c r="H4592">
        <v>67601</v>
      </c>
      <c r="I4592" s="1" t="d">
        <v>2022-09-16</v>
      </c>
      <c r="J4592" t="s">
        <v>8908</v>
      </c>
      <c r="K4592" s="17" t="s">
        <v>118</v>
      </c>
      <c r="L4592">
        <v>4</v>
      </c>
    </row>
    <row r="4593" spans="1:12" x14ac:dyDescent="0.25">
      <c r="A4593" t="s">
        <v>8952</v>
      </c>
      <c r="B4593" t="s">
        <v>66</v>
      </c>
      <c r="C4593" t="s">
        <v>398</v>
      </c>
      <c r="D4593" t="s">
        <v>9527</v>
      </c>
      <c r="E4593">
        <v>27</v>
      </c>
      <c r="F4593" t="s">
        <v>350</v>
      </c>
      <c r="G4593" t="s">
        <v>170</v>
      </c>
      <c r="H4593" t="s">
        <v>8953</v>
      </c>
      <c r="I4593" s="1" t="d">
        <v>2018-09-17</v>
      </c>
      <c r="J4593" t="s">
        <v>1873</v>
      </c>
      <c r="K4593" s="17" t="s">
        <v>42</v>
      </c>
      <c r="L4593">
        <v>4</v>
      </c>
    </row>
    <row r="4594" spans="1:12" x14ac:dyDescent="0.25">
      <c r="A4594" t="s">
        <v>8954</v>
      </c>
      <c r="B4594" t="s">
        <v>841</v>
      </c>
      <c r="C4594" t="s">
        <v>336</v>
      </c>
      <c r="D4594" t="s">
        <v>46</v>
      </c>
      <c r="E4594">
        <v>49</v>
      </c>
      <c r="F4594" t="s">
        <v>253</v>
      </c>
      <c r="G4594" t="s">
        <v>212</v>
      </c>
      <c r="H4594">
        <v>66199</v>
      </c>
      <c r="I4594" s="1" t="d">
        <v>2008-02-14</v>
      </c>
      <c r="J4594" t="s">
        <v>737</v>
      </c>
      <c r="K4594" s="17" t="s">
        <v>42</v>
      </c>
      <c r="L4594">
        <v>4</v>
      </c>
    </row>
    <row r="4595" spans="1:12" x14ac:dyDescent="0.25">
      <c r="A4595" t="s">
        <v>8955</v>
      </c>
      <c r="B4595" t="s">
        <v>482</v>
      </c>
      <c r="C4595" t="s">
        <v>5654</v>
      </c>
      <c r="D4595" t="s">
        <v>9527</v>
      </c>
      <c r="E4595">
        <v>49</v>
      </c>
      <c r="F4595" t="s">
        <v>2065</v>
      </c>
      <c r="G4595" t="s">
        <v>115</v>
      </c>
      <c r="H4595" t="s">
        <v>8956</v>
      </c>
      <c r="I4595" s="1" t="d">
        <v>2018-11-08</v>
      </c>
      <c r="J4595" t="s">
        <v>1879</v>
      </c>
      <c r="K4595" s="17" t="s">
        <v>42</v>
      </c>
      <c r="L4595">
        <v>3</v>
      </c>
    </row>
    <row r="4596" spans="1:12" x14ac:dyDescent="0.25">
      <c r="A4596" t="s">
        <v>8957</v>
      </c>
      <c r="B4596" t="s">
        <v>1403</v>
      </c>
      <c r="C4596" t="s">
        <v>1306</v>
      </c>
      <c r="D4596" t="s">
        <v>9527</v>
      </c>
      <c r="E4596">
        <v>39</v>
      </c>
      <c r="F4596" t="s">
        <v>245</v>
      </c>
      <c r="G4596" t="s">
        <v>638</v>
      </c>
      <c r="H4596">
        <v>68509</v>
      </c>
      <c r="I4596" s="1" t="d">
        <v>2023-09-18</v>
      </c>
      <c r="J4596" t="s">
        <v>650</v>
      </c>
      <c r="K4596" s="17" t="s">
        <v>118</v>
      </c>
      <c r="L4596">
        <v>3</v>
      </c>
    </row>
    <row r="4597" spans="1:12" x14ac:dyDescent="0.25">
      <c r="A4597" t="s">
        <v>6912</v>
      </c>
      <c r="B4597" t="s">
        <v>709</v>
      </c>
      <c r="C4597" t="s">
        <v>306</v>
      </c>
      <c r="D4597" t="s">
        <v>23</v>
      </c>
      <c r="E4597">
        <v>37</v>
      </c>
      <c r="F4597" t="s">
        <v>373</v>
      </c>
      <c r="G4597" t="s">
        <v>141</v>
      </c>
      <c r="I4597" s="1" t="d">
        <v>2006-03-10</v>
      </c>
      <c r="J4597" t="s">
        <v>1968</v>
      </c>
      <c r="K4597" s="17" t="s">
        <v>42</v>
      </c>
      <c r="L4597">
        <v>4</v>
      </c>
    </row>
    <row r="4598" spans="1:12" x14ac:dyDescent="0.25">
      <c r="A4598" t="s">
        <v>8958</v>
      </c>
      <c r="B4598" t="s">
        <v>548</v>
      </c>
      <c r="C4598" t="s">
        <v>1622</v>
      </c>
      <c r="D4598" t="s">
        <v>23</v>
      </c>
      <c r="E4598">
        <v>21</v>
      </c>
      <c r="F4598" t="s">
        <v>1203</v>
      </c>
      <c r="G4598" t="s">
        <v>141</v>
      </c>
      <c r="H4598">
        <v>55424</v>
      </c>
      <c r="I4598" s="1" t="d">
        <v>2013-04-25</v>
      </c>
      <c r="J4598" t="s">
        <v>1811</v>
      </c>
      <c r="K4598" s="17" t="s">
        <v>370</v>
      </c>
      <c r="L4598">
        <v>3</v>
      </c>
    </row>
    <row r="4599" spans="1:12" x14ac:dyDescent="0.25">
      <c r="A4599" t="s">
        <v>8959</v>
      </c>
      <c r="B4599" t="s">
        <v>833</v>
      </c>
      <c r="C4599" t="s">
        <v>1487</v>
      </c>
      <c r="D4599" t="s">
        <v>9527</v>
      </c>
      <c r="E4599">
        <v>33</v>
      </c>
      <c r="F4599" t="s">
        <v>1699</v>
      </c>
      <c r="G4599" t="s">
        <v>842</v>
      </c>
      <c r="I4599" s="1" t="d">
        <v>2009-07-02</v>
      </c>
      <c r="J4599" t="s">
        <v>8960</v>
      </c>
      <c r="K4599" s="17" t="s">
        <v>27</v>
      </c>
      <c r="L4599">
        <v>2</v>
      </c>
    </row>
    <row r="4600" spans="1:12" x14ac:dyDescent="0.25">
      <c r="A4600" t="s">
        <v>8961</v>
      </c>
      <c r="B4600" t="s">
        <v>1896</v>
      </c>
      <c r="C4600" t="s">
        <v>189</v>
      </c>
      <c r="D4600" t="s">
        <v>9527</v>
      </c>
      <c r="E4600">
        <v>35</v>
      </c>
      <c r="G4600" t="s">
        <v>641</v>
      </c>
      <c r="H4600" t="s">
        <v>8962</v>
      </c>
      <c r="I4600" s="1" t="d">
        <v>2006-09-09</v>
      </c>
      <c r="J4600" t="s">
        <v>4650</v>
      </c>
      <c r="K4600" s="17" t="s">
        <v>58</v>
      </c>
      <c r="L4600">
        <v>4</v>
      </c>
    </row>
    <row r="4601" spans="1:12" x14ac:dyDescent="0.25">
      <c r="A4601" t="s">
        <v>8963</v>
      </c>
      <c r="B4601" t="s">
        <v>228</v>
      </c>
      <c r="C4601" t="s">
        <v>332</v>
      </c>
      <c r="D4601" t="s">
        <v>9527</v>
      </c>
      <c r="E4601">
        <v>24</v>
      </c>
      <c r="F4601" t="s">
        <v>24</v>
      </c>
      <c r="G4601" t="s">
        <v>500</v>
      </c>
      <c r="H4601" s="2">
        <v>108382</v>
      </c>
      <c r="I4601" s="1" t="d">
        <v>2020-08-18</v>
      </c>
      <c r="J4601" t="s">
        <v>4103</v>
      </c>
      <c r="K4601" s="17" t="s">
        <v>100</v>
      </c>
      <c r="L4601">
        <v>3</v>
      </c>
    </row>
    <row r="4602" spans="1:12" x14ac:dyDescent="0.25">
      <c r="A4602" t="s">
        <v>8964</v>
      </c>
      <c r="B4602" t="s">
        <v>709</v>
      </c>
      <c r="C4602" t="s">
        <v>751</v>
      </c>
      <c r="D4602" t="s">
        <v>46</v>
      </c>
      <c r="E4602">
        <v>28</v>
      </c>
      <c r="F4602" t="s">
        <v>918</v>
      </c>
      <c r="G4602" t="s">
        <v>191</v>
      </c>
      <c r="I4602" s="1" t="d">
        <v>2009-07-11</v>
      </c>
      <c r="J4602" t="s">
        <v>713</v>
      </c>
      <c r="K4602" s="17" t="s">
        <v>71</v>
      </c>
      <c r="L4602">
        <v>4</v>
      </c>
    </row>
    <row r="4603" spans="1:12" x14ac:dyDescent="0.25">
      <c r="A4603" t="s">
        <v>8965</v>
      </c>
      <c r="B4603" t="s">
        <v>3247</v>
      </c>
      <c r="C4603" t="s">
        <v>552</v>
      </c>
      <c r="D4603" t="s">
        <v>9527</v>
      </c>
      <c r="E4603">
        <v>40</v>
      </c>
      <c r="F4603" t="s">
        <v>417</v>
      </c>
      <c r="G4603" t="s">
        <v>526</v>
      </c>
      <c r="I4603" s="1" t="d">
        <v>2023-06-09</v>
      </c>
      <c r="J4603" t="s">
        <v>1816</v>
      </c>
      <c r="K4603" s="17" t="s">
        <v>370</v>
      </c>
      <c r="L4603">
        <v>5</v>
      </c>
    </row>
    <row r="4604" spans="1:12" x14ac:dyDescent="0.25">
      <c r="A4604" t="s">
        <v>8966</v>
      </c>
      <c r="B4604" t="s">
        <v>248</v>
      </c>
      <c r="C4604" t="s">
        <v>405</v>
      </c>
      <c r="D4604" t="s">
        <v>23</v>
      </c>
      <c r="E4604">
        <v>49</v>
      </c>
      <c r="F4604" t="s">
        <v>153</v>
      </c>
      <c r="G4604" t="s">
        <v>337</v>
      </c>
      <c r="H4604" t="s">
        <v>8967</v>
      </c>
      <c r="I4604" s="1" t="d">
        <v>2020-08-30</v>
      </c>
      <c r="J4604" t="s">
        <v>8072</v>
      </c>
      <c r="K4604" s="17" t="s">
        <v>71</v>
      </c>
      <c r="L4604">
        <v>4</v>
      </c>
    </row>
    <row r="4605" spans="1:12" x14ac:dyDescent="0.25">
      <c r="A4605" t="s">
        <v>8968</v>
      </c>
      <c r="B4605" t="s">
        <v>456</v>
      </c>
      <c r="C4605" t="s">
        <v>1320</v>
      </c>
      <c r="D4605" t="s">
        <v>9527</v>
      </c>
      <c r="E4605">
        <v>21</v>
      </c>
      <c r="F4605" t="s">
        <v>108</v>
      </c>
      <c r="G4605" t="s">
        <v>69</v>
      </c>
      <c r="H4605">
        <v>-106107</v>
      </c>
      <c r="I4605" s="1" t="d">
        <v>2023-09-08</v>
      </c>
      <c r="J4605" t="s">
        <v>3156</v>
      </c>
      <c r="K4605" s="17" t="s">
        <v>27</v>
      </c>
      <c r="L4605">
        <v>3</v>
      </c>
    </row>
    <row r="4606" spans="1:12" x14ac:dyDescent="0.25">
      <c r="A4606" t="s">
        <v>8969</v>
      </c>
      <c r="B4606" t="s">
        <v>194</v>
      </c>
      <c r="C4606" t="s">
        <v>575</v>
      </c>
      <c r="D4606" t="s">
        <v>46</v>
      </c>
      <c r="E4606">
        <v>37</v>
      </c>
      <c r="F4606" t="s">
        <v>450</v>
      </c>
      <c r="G4606" t="s">
        <v>337</v>
      </c>
      <c r="I4606" s="1" t="d">
        <v>2020-12-16</v>
      </c>
      <c r="J4606" t="s">
        <v>4608</v>
      </c>
      <c r="K4606" s="17" t="s">
        <v>207</v>
      </c>
      <c r="L4606">
        <v>3</v>
      </c>
    </row>
    <row r="4607" spans="1:12" x14ac:dyDescent="0.25">
      <c r="A4607" t="s">
        <v>8970</v>
      </c>
      <c r="B4607" t="s">
        <v>670</v>
      </c>
      <c r="C4607" t="s">
        <v>386</v>
      </c>
      <c r="D4607" t="s">
        <v>23</v>
      </c>
      <c r="E4607">
        <v>24</v>
      </c>
      <c r="F4607" t="s">
        <v>2275</v>
      </c>
      <c r="G4607" t="s">
        <v>297</v>
      </c>
      <c r="H4607">
        <v>152158</v>
      </c>
      <c r="I4607" s="1" t="d">
        <v>2008-07-09</v>
      </c>
      <c r="J4607" t="s">
        <v>3697</v>
      </c>
      <c r="K4607" s="17" t="s">
        <v>370</v>
      </c>
      <c r="L4607">
        <v>5</v>
      </c>
    </row>
    <row r="4608" spans="1:12" x14ac:dyDescent="0.25">
      <c r="A4608" t="s">
        <v>8971</v>
      </c>
      <c r="B4608" t="s">
        <v>221</v>
      </c>
      <c r="C4608" t="s">
        <v>416</v>
      </c>
      <c r="D4608" t="s">
        <v>23</v>
      </c>
      <c r="E4608">
        <v>33</v>
      </c>
      <c r="F4608" t="s">
        <v>365</v>
      </c>
      <c r="G4608" t="s">
        <v>191</v>
      </c>
      <c r="H4608" t="s">
        <v>8972</v>
      </c>
      <c r="I4608" s="1" t="d">
        <v>2011-09-27</v>
      </c>
      <c r="J4608" t="s">
        <v>6786</v>
      </c>
      <c r="K4608" s="17" t="s">
        <v>184</v>
      </c>
      <c r="L4608">
        <v>3</v>
      </c>
    </row>
    <row r="4609" spans="1:12" x14ac:dyDescent="0.25">
      <c r="A4609" t="s">
        <v>8973</v>
      </c>
      <c r="B4609" t="s">
        <v>652</v>
      </c>
      <c r="C4609" t="s">
        <v>1564</v>
      </c>
      <c r="D4609" t="s">
        <v>23</v>
      </c>
      <c r="E4609">
        <v>54</v>
      </c>
      <c r="F4609" t="s">
        <v>978</v>
      </c>
      <c r="G4609" t="s">
        <v>141</v>
      </c>
      <c r="H4609" t="s">
        <v>8974</v>
      </c>
      <c r="I4609" s="1" t="d">
        <v>2006-03-07</v>
      </c>
      <c r="J4609" t="s">
        <v>1566</v>
      </c>
      <c r="K4609" s="17" t="s">
        <v>370</v>
      </c>
      <c r="L4609">
        <v>4</v>
      </c>
    </row>
    <row r="4610" spans="1:12" x14ac:dyDescent="0.25">
      <c r="A4610" t="s">
        <v>8975</v>
      </c>
      <c r="B4610" t="s">
        <v>102</v>
      </c>
      <c r="C4610" t="s">
        <v>715</v>
      </c>
      <c r="D4610" t="s">
        <v>9527</v>
      </c>
      <c r="E4610">
        <v>30</v>
      </c>
      <c r="F4610" t="s">
        <v>258</v>
      </c>
      <c r="G4610" t="s">
        <v>387</v>
      </c>
      <c r="I4610" s="1" t="d">
        <v>2007-07-29</v>
      </c>
      <c r="J4610" t="s">
        <v>6013</v>
      </c>
      <c r="K4610" s="17" t="s">
        <v>207</v>
      </c>
      <c r="L4610">
        <v>4</v>
      </c>
    </row>
    <row r="4611" spans="1:12" x14ac:dyDescent="0.25">
      <c r="A4611" t="s">
        <v>8976</v>
      </c>
      <c r="B4611" t="s">
        <v>981</v>
      </c>
      <c r="C4611" t="s">
        <v>67</v>
      </c>
      <c r="D4611" t="s">
        <v>9527</v>
      </c>
      <c r="E4611">
        <v>49</v>
      </c>
      <c r="F4611" t="s">
        <v>190</v>
      </c>
      <c r="G4611" t="s">
        <v>95</v>
      </c>
      <c r="H4611" t="s">
        <v>8977</v>
      </c>
      <c r="I4611" s="1" t="d">
        <v>2012-02-14</v>
      </c>
      <c r="J4611" t="s">
        <v>8978</v>
      </c>
      <c r="K4611" s="17" t="s">
        <v>149</v>
      </c>
      <c r="L4611">
        <v>3</v>
      </c>
    </row>
    <row r="4612" spans="1:12" x14ac:dyDescent="0.25">
      <c r="A4612" t="s">
        <v>8979</v>
      </c>
      <c r="B4612" t="s">
        <v>648</v>
      </c>
      <c r="C4612" t="s">
        <v>405</v>
      </c>
      <c r="D4612" t="s">
        <v>9527</v>
      </c>
      <c r="E4612">
        <v>29</v>
      </c>
      <c r="G4612" t="s">
        <v>109</v>
      </c>
      <c r="H4612">
        <v>61913</v>
      </c>
      <c r="I4612" s="1" t="d">
        <v>2022-02-11</v>
      </c>
      <c r="J4612" t="s">
        <v>7373</v>
      </c>
      <c r="K4612" s="17" t="s">
        <v>370</v>
      </c>
      <c r="L4612">
        <v>5</v>
      </c>
    </row>
    <row r="4613" spans="1:12" x14ac:dyDescent="0.25">
      <c r="A4613" t="s">
        <v>8980</v>
      </c>
      <c r="B4613" t="s">
        <v>786</v>
      </c>
      <c r="C4613" t="s">
        <v>483</v>
      </c>
      <c r="D4613" t="s">
        <v>46</v>
      </c>
      <c r="E4613">
        <v>43</v>
      </c>
      <c r="F4613" t="s">
        <v>649</v>
      </c>
      <c r="G4613" t="s">
        <v>912</v>
      </c>
      <c r="H4613" t="s">
        <v>8981</v>
      </c>
      <c r="I4613" s="1" t="d">
        <v>2018-04-25</v>
      </c>
      <c r="J4613" t="s">
        <v>1416</v>
      </c>
      <c r="K4613" s="17" t="s">
        <v>207</v>
      </c>
      <c r="L4613">
        <v>3</v>
      </c>
    </row>
    <row r="4614" spans="1:12" x14ac:dyDescent="0.25">
      <c r="A4614" t="s">
        <v>8982</v>
      </c>
      <c r="B4614" t="s">
        <v>670</v>
      </c>
      <c r="C4614" t="s">
        <v>739</v>
      </c>
      <c r="D4614" t="s">
        <v>46</v>
      </c>
      <c r="E4614">
        <v>47</v>
      </c>
      <c r="F4614" t="s">
        <v>31</v>
      </c>
      <c r="G4614" t="s">
        <v>283</v>
      </c>
      <c r="H4614" s="2">
        <v>92426</v>
      </c>
      <c r="I4614" s="1" t="d">
        <v>2017-01-31</v>
      </c>
      <c r="J4614" t="s">
        <v>1401</v>
      </c>
      <c r="K4614" s="17" t="s">
        <v>118</v>
      </c>
      <c r="L4614">
        <v>3</v>
      </c>
    </row>
    <row r="4615" spans="1:12" x14ac:dyDescent="0.25">
      <c r="A4615" t="s">
        <v>8983</v>
      </c>
      <c r="B4615" t="s">
        <v>174</v>
      </c>
      <c r="C4615" t="s">
        <v>8984</v>
      </c>
      <c r="D4615" t="s">
        <v>9527</v>
      </c>
      <c r="E4615">
        <v>27</v>
      </c>
      <c r="F4615" t="s">
        <v>2065</v>
      </c>
      <c r="G4615" t="s">
        <v>141</v>
      </c>
      <c r="I4615" s="1" t="d">
        <v>2017-04-29</v>
      </c>
      <c r="J4615" t="s">
        <v>6286</v>
      </c>
      <c r="K4615" s="17" t="s">
        <v>58</v>
      </c>
      <c r="L4615">
        <v>2</v>
      </c>
    </row>
    <row r="4616" spans="1:12" x14ac:dyDescent="0.25">
      <c r="A4616" t="s">
        <v>8985</v>
      </c>
      <c r="B4616" t="s">
        <v>482</v>
      </c>
      <c r="C4616" t="s">
        <v>624</v>
      </c>
      <c r="D4616" t="s">
        <v>46</v>
      </c>
      <c r="E4616">
        <v>37</v>
      </c>
      <c r="F4616" t="s">
        <v>31</v>
      </c>
      <c r="G4616" t="s">
        <v>357</v>
      </c>
      <c r="H4616">
        <v>59239</v>
      </c>
      <c r="I4616" s="1" t="d">
        <v>2005-05-12</v>
      </c>
      <c r="J4616" t="s">
        <v>4457</v>
      </c>
      <c r="K4616" s="17" t="s">
        <v>34</v>
      </c>
      <c r="L4616">
        <v>3</v>
      </c>
    </row>
    <row r="4617" spans="1:12" x14ac:dyDescent="0.25">
      <c r="A4617" t="s">
        <v>8986</v>
      </c>
      <c r="B4617" t="s">
        <v>1689</v>
      </c>
      <c r="C4617" t="s">
        <v>291</v>
      </c>
      <c r="D4617" t="s">
        <v>9527</v>
      </c>
      <c r="E4617">
        <v>34</v>
      </c>
      <c r="F4617" t="s">
        <v>1110</v>
      </c>
      <c r="G4617" t="s">
        <v>191</v>
      </c>
      <c r="H4617" t="s">
        <v>8987</v>
      </c>
      <c r="I4617" s="1" t="d">
        <v>2012-03-20</v>
      </c>
      <c r="J4617" t="s">
        <v>3431</v>
      </c>
      <c r="K4617" s="17" t="s">
        <v>149</v>
      </c>
      <c r="L4617">
        <v>5</v>
      </c>
    </row>
    <row r="4618" spans="1:12" x14ac:dyDescent="0.25">
      <c r="A4618" t="s">
        <v>8988</v>
      </c>
      <c r="B4618" t="s">
        <v>1888</v>
      </c>
      <c r="C4618" t="s">
        <v>37</v>
      </c>
      <c r="D4618" t="s">
        <v>9527</v>
      </c>
      <c r="E4618">
        <v>47</v>
      </c>
      <c r="F4618" t="s">
        <v>399</v>
      </c>
      <c r="G4618" t="s">
        <v>212</v>
      </c>
      <c r="I4618" s="1" t="d">
        <v>2015-12-07</v>
      </c>
      <c r="J4618" t="s">
        <v>1890</v>
      </c>
      <c r="K4618" s="17" t="s">
        <v>58</v>
      </c>
      <c r="L4618">
        <v>3</v>
      </c>
    </row>
    <row r="4619" spans="1:12" x14ac:dyDescent="0.25">
      <c r="A4619" t="s">
        <v>8989</v>
      </c>
      <c r="B4619" t="s">
        <v>467</v>
      </c>
      <c r="C4619" t="s">
        <v>521</v>
      </c>
      <c r="D4619" t="s">
        <v>9527</v>
      </c>
      <c r="E4619">
        <v>38</v>
      </c>
      <c r="F4619" t="s">
        <v>350</v>
      </c>
      <c r="G4619" t="s">
        <v>217</v>
      </c>
      <c r="H4619">
        <v>71591</v>
      </c>
      <c r="I4619" s="1" t="d">
        <v>2011-01-13</v>
      </c>
      <c r="J4619" t="s">
        <v>688</v>
      </c>
      <c r="K4619" s="17" t="s">
        <v>184</v>
      </c>
      <c r="L4619">
        <v>3</v>
      </c>
    </row>
    <row r="4620" spans="1:12" x14ac:dyDescent="0.25">
      <c r="A4620" t="s">
        <v>4916</v>
      </c>
      <c r="B4620" t="s">
        <v>323</v>
      </c>
      <c r="C4620" t="s">
        <v>395</v>
      </c>
      <c r="D4620" t="s">
        <v>9527</v>
      </c>
      <c r="E4620">
        <v>31</v>
      </c>
      <c r="F4620" t="s">
        <v>576</v>
      </c>
      <c r="G4620" t="s">
        <v>205</v>
      </c>
      <c r="H4620" t="s">
        <v>4917</v>
      </c>
      <c r="I4620" s="1" t="d">
        <v>2017-05-12</v>
      </c>
      <c r="J4620" t="s">
        <v>4918</v>
      </c>
      <c r="K4620" s="17" t="s">
        <v>27</v>
      </c>
      <c r="L4620">
        <v>4</v>
      </c>
    </row>
    <row r="4621" spans="1:12" x14ac:dyDescent="0.25">
      <c r="A4621" t="s">
        <v>8990</v>
      </c>
      <c r="B4621" t="s">
        <v>718</v>
      </c>
      <c r="C4621" t="s">
        <v>805</v>
      </c>
      <c r="D4621" t="s">
        <v>9527</v>
      </c>
      <c r="E4621">
        <v>46</v>
      </c>
      <c r="F4621" t="s">
        <v>269</v>
      </c>
      <c r="G4621" t="s">
        <v>69</v>
      </c>
      <c r="H4621" s="2">
        <v>46165</v>
      </c>
      <c r="I4621" s="1" t="d">
        <v>2022-02-20</v>
      </c>
      <c r="J4621" t="s">
        <v>8429</v>
      </c>
      <c r="K4621" s="17" t="s">
        <v>100</v>
      </c>
      <c r="L4621">
        <v>3</v>
      </c>
    </row>
    <row r="4622" spans="1:12" x14ac:dyDescent="0.25">
      <c r="A4622" t="s">
        <v>208</v>
      </c>
      <c r="B4622" t="s">
        <v>79</v>
      </c>
      <c r="C4622" t="s">
        <v>210</v>
      </c>
      <c r="D4622" t="s">
        <v>23</v>
      </c>
      <c r="E4622">
        <v>40</v>
      </c>
      <c r="F4622" t="s">
        <v>399</v>
      </c>
      <c r="G4622" t="s">
        <v>69</v>
      </c>
      <c r="H4622">
        <v>72570</v>
      </c>
      <c r="I4622" s="1" t="d">
        <v>2020-02-01</v>
      </c>
      <c r="J4622" t="s">
        <v>213</v>
      </c>
      <c r="K4622" s="17" t="s">
        <v>50</v>
      </c>
      <c r="L4622">
        <v>3</v>
      </c>
    </row>
    <row r="4623" spans="1:12" x14ac:dyDescent="0.25">
      <c r="A4623" t="s">
        <v>8991</v>
      </c>
      <c r="B4623" t="s">
        <v>7229</v>
      </c>
      <c r="C4623" t="s">
        <v>3425</v>
      </c>
      <c r="D4623" t="s">
        <v>46</v>
      </c>
      <c r="E4623">
        <v>34</v>
      </c>
      <c r="F4623" t="s">
        <v>649</v>
      </c>
      <c r="G4623" t="s">
        <v>32</v>
      </c>
      <c r="H4623" t="s">
        <v>8992</v>
      </c>
      <c r="I4623" s="1" t="d">
        <v>2006-01-09</v>
      </c>
      <c r="J4623" t="s">
        <v>5846</v>
      </c>
      <c r="K4623" s="17" t="s">
        <v>184</v>
      </c>
      <c r="L4623">
        <v>4</v>
      </c>
    </row>
    <row r="4624" spans="1:12" x14ac:dyDescent="0.25">
      <c r="A4624" t="s">
        <v>8993</v>
      </c>
      <c r="B4624" t="s">
        <v>394</v>
      </c>
      <c r="C4624" t="s">
        <v>766</v>
      </c>
      <c r="D4624" t="s">
        <v>46</v>
      </c>
      <c r="E4624">
        <v>45</v>
      </c>
      <c r="F4624" t="s">
        <v>38</v>
      </c>
      <c r="G4624" t="s">
        <v>212</v>
      </c>
      <c r="I4624" s="1" t="d">
        <v>2024-06-14</v>
      </c>
      <c r="J4624" t="s">
        <v>2935</v>
      </c>
      <c r="K4624" s="17" t="s">
        <v>58</v>
      </c>
      <c r="L4624">
        <v>4</v>
      </c>
    </row>
    <row r="4625" spans="1:12" x14ac:dyDescent="0.25">
      <c r="A4625" t="s">
        <v>8994</v>
      </c>
      <c r="B4625" t="s">
        <v>410</v>
      </c>
      <c r="C4625" t="s">
        <v>1030</v>
      </c>
      <c r="D4625" t="s">
        <v>46</v>
      </c>
      <c r="E4625">
        <v>28</v>
      </c>
      <c r="F4625" t="s">
        <v>104</v>
      </c>
      <c r="G4625" t="s">
        <v>7543</v>
      </c>
      <c r="H4625" t="s">
        <v>8995</v>
      </c>
      <c r="I4625" s="1" t="d">
        <v>2021-03-06</v>
      </c>
      <c r="J4625" t="s">
        <v>3782</v>
      </c>
      <c r="K4625" s="17" t="s">
        <v>71</v>
      </c>
      <c r="L4625">
        <v>3</v>
      </c>
    </row>
    <row r="4626" spans="1:12" x14ac:dyDescent="0.25">
      <c r="A4626" t="s">
        <v>8996</v>
      </c>
      <c r="B4626" t="s">
        <v>7960</v>
      </c>
      <c r="C4626" t="s">
        <v>215</v>
      </c>
      <c r="D4626" t="s">
        <v>9527</v>
      </c>
      <c r="E4626">
        <v>48</v>
      </c>
      <c r="F4626" t="s">
        <v>245</v>
      </c>
      <c r="G4626" t="s">
        <v>159</v>
      </c>
      <c r="I4626" s="1" t="d">
        <v>2013-02-15</v>
      </c>
      <c r="J4626" t="s">
        <v>8997</v>
      </c>
      <c r="K4626" s="17" t="s">
        <v>118</v>
      </c>
      <c r="L4626">
        <v>3</v>
      </c>
    </row>
    <row r="4627" spans="1:12" x14ac:dyDescent="0.25">
      <c r="A4627" t="s">
        <v>8998</v>
      </c>
      <c r="B4627" t="s">
        <v>906</v>
      </c>
      <c r="C4627" t="s">
        <v>1377</v>
      </c>
      <c r="D4627" t="s">
        <v>23</v>
      </c>
      <c r="E4627">
        <v>44</v>
      </c>
      <c r="F4627" t="s">
        <v>417</v>
      </c>
      <c r="G4627" t="s">
        <v>82</v>
      </c>
      <c r="H4627" t="s">
        <v>8999</v>
      </c>
      <c r="I4627" s="1" t="d">
        <v>2016-09-19</v>
      </c>
      <c r="J4627" t="s">
        <v>6594</v>
      </c>
      <c r="K4627" s="17" t="s">
        <v>34</v>
      </c>
      <c r="L4627">
        <v>3</v>
      </c>
    </row>
    <row r="4628" spans="1:12" x14ac:dyDescent="0.25">
      <c r="A4628" t="s">
        <v>9000</v>
      </c>
      <c r="B4628" t="s">
        <v>808</v>
      </c>
      <c r="C4628" t="s">
        <v>103</v>
      </c>
      <c r="D4628" t="s">
        <v>23</v>
      </c>
      <c r="E4628">
        <v>27</v>
      </c>
      <c r="F4628" t="s">
        <v>1571</v>
      </c>
      <c r="G4628" t="s">
        <v>182</v>
      </c>
      <c r="H4628" t="s">
        <v>9001</v>
      </c>
      <c r="I4628" s="1" t="d">
        <v>2018-01-22</v>
      </c>
      <c r="J4628" t="s">
        <v>2099</v>
      </c>
      <c r="K4628" s="17" t="s">
        <v>118</v>
      </c>
      <c r="L4628">
        <v>2</v>
      </c>
    </row>
    <row r="4629" spans="1:12" x14ac:dyDescent="0.25">
      <c r="A4629" t="s">
        <v>9002</v>
      </c>
      <c r="B4629" t="s">
        <v>1997</v>
      </c>
      <c r="C4629" t="s">
        <v>869</v>
      </c>
      <c r="D4629" t="s">
        <v>46</v>
      </c>
      <c r="E4629">
        <v>60</v>
      </c>
      <c r="F4629" t="s">
        <v>978</v>
      </c>
      <c r="G4629" t="s">
        <v>191</v>
      </c>
      <c r="H4629" t="s">
        <v>9003</v>
      </c>
      <c r="I4629" s="1" t="d">
        <v>2023-11-29</v>
      </c>
      <c r="J4629" t="s">
        <v>3073</v>
      </c>
      <c r="K4629" s="17" t="s">
        <v>27</v>
      </c>
      <c r="L4629">
        <v>3</v>
      </c>
    </row>
    <row r="4630" spans="1:12" x14ac:dyDescent="0.25">
      <c r="A4630" t="s">
        <v>9004</v>
      </c>
      <c r="B4630" t="s">
        <v>180</v>
      </c>
      <c r="C4630" t="s">
        <v>45</v>
      </c>
      <c r="D4630" t="s">
        <v>23</v>
      </c>
      <c r="E4630">
        <v>33</v>
      </c>
      <c r="F4630" t="s">
        <v>62</v>
      </c>
      <c r="G4630" t="s">
        <v>205</v>
      </c>
      <c r="I4630" s="1" t="d">
        <v>2023-02-19</v>
      </c>
      <c r="J4630" t="s">
        <v>3112</v>
      </c>
      <c r="K4630" s="17" t="s">
        <v>370</v>
      </c>
      <c r="L4630">
        <v>4</v>
      </c>
    </row>
    <row r="4631" spans="1:12" x14ac:dyDescent="0.25">
      <c r="A4631" t="s">
        <v>9005</v>
      </c>
      <c r="B4631" t="s">
        <v>92</v>
      </c>
      <c r="C4631" t="s">
        <v>2023</v>
      </c>
      <c r="D4631" t="s">
        <v>46</v>
      </c>
      <c r="E4631">
        <v>30</v>
      </c>
      <c r="F4631" t="s">
        <v>238</v>
      </c>
      <c r="G4631" t="s">
        <v>504</v>
      </c>
      <c r="H4631" s="2">
        <v>48429</v>
      </c>
      <c r="I4631" s="1" t="d">
        <v>2024-10-18</v>
      </c>
      <c r="J4631" t="s">
        <v>9006</v>
      </c>
      <c r="K4631" s="17" t="s">
        <v>100</v>
      </c>
      <c r="L4631">
        <v>3</v>
      </c>
    </row>
    <row r="4632" spans="1:12" x14ac:dyDescent="0.25">
      <c r="A4632" t="s">
        <v>9007</v>
      </c>
      <c r="B4632" t="s">
        <v>1706</v>
      </c>
      <c r="C4632" t="s">
        <v>324</v>
      </c>
      <c r="D4632" t="s">
        <v>46</v>
      </c>
      <c r="E4632">
        <v>28</v>
      </c>
      <c r="F4632" t="s">
        <v>216</v>
      </c>
      <c r="G4632" t="s">
        <v>69</v>
      </c>
      <c r="H4632" s="2">
        <v>62413</v>
      </c>
      <c r="I4632" s="1" t="d">
        <v>2015-07-30</v>
      </c>
      <c r="J4632" t="s">
        <v>3022</v>
      </c>
      <c r="K4632" s="17" t="s">
        <v>184</v>
      </c>
      <c r="L4632">
        <v>4</v>
      </c>
    </row>
    <row r="4633" spans="1:12" x14ac:dyDescent="0.25">
      <c r="A4633" t="s">
        <v>9008</v>
      </c>
      <c r="B4633" t="s">
        <v>311</v>
      </c>
      <c r="C4633" t="s">
        <v>107</v>
      </c>
      <c r="D4633" t="s">
        <v>23</v>
      </c>
      <c r="E4633">
        <v>28</v>
      </c>
      <c r="F4633" t="s">
        <v>576</v>
      </c>
      <c r="G4633" t="s">
        <v>641</v>
      </c>
      <c r="H4633">
        <v>85020</v>
      </c>
      <c r="J4633" t="s">
        <v>1449</v>
      </c>
      <c r="K4633" s="17" t="s">
        <v>50</v>
      </c>
      <c r="L4633">
        <v>1</v>
      </c>
    </row>
    <row r="4634" spans="1:12" x14ac:dyDescent="0.25">
      <c r="A4634" t="s">
        <v>9009</v>
      </c>
      <c r="B4634" t="s">
        <v>1476</v>
      </c>
      <c r="C4634" t="s">
        <v>3808</v>
      </c>
      <c r="D4634" t="s">
        <v>9527</v>
      </c>
      <c r="E4634">
        <v>27</v>
      </c>
      <c r="F4634" t="s">
        <v>230</v>
      </c>
      <c r="G4634" t="s">
        <v>170</v>
      </c>
      <c r="H4634">
        <v>53255</v>
      </c>
      <c r="J4634" t="s">
        <v>537</v>
      </c>
      <c r="K4634" s="17" t="s">
        <v>27</v>
      </c>
      <c r="L4634">
        <v>3</v>
      </c>
    </row>
    <row r="4635" spans="1:12" x14ac:dyDescent="0.25">
      <c r="A4635" t="s">
        <v>9010</v>
      </c>
      <c r="B4635" t="s">
        <v>1086</v>
      </c>
      <c r="C4635" t="s">
        <v>74</v>
      </c>
      <c r="D4635" t="s">
        <v>9527</v>
      </c>
      <c r="E4635">
        <v>48</v>
      </c>
      <c r="F4635" t="s">
        <v>238</v>
      </c>
      <c r="G4635" t="s">
        <v>16</v>
      </c>
      <c r="H4635" t="s">
        <v>9011</v>
      </c>
      <c r="I4635" s="1" t="d">
        <v>2024-09-26</v>
      </c>
      <c r="J4635" t="s">
        <v>9012</v>
      </c>
      <c r="K4635" s="17" t="s">
        <v>149</v>
      </c>
      <c r="L4635">
        <v>4</v>
      </c>
    </row>
    <row r="4636" spans="1:12" x14ac:dyDescent="0.25">
      <c r="A4636" t="s">
        <v>9013</v>
      </c>
      <c r="B4636" t="s">
        <v>228</v>
      </c>
      <c r="C4636" t="s">
        <v>386</v>
      </c>
      <c r="D4636" t="s">
        <v>46</v>
      </c>
      <c r="E4636">
        <v>44</v>
      </c>
      <c r="F4636" t="s">
        <v>230</v>
      </c>
      <c r="G4636" t="s">
        <v>842</v>
      </c>
      <c r="H4636" t="s">
        <v>9014</v>
      </c>
      <c r="I4636" s="1" t="d">
        <v>2008-11-30</v>
      </c>
      <c r="J4636" t="s">
        <v>8180</v>
      </c>
      <c r="K4636" s="17" t="s">
        <v>207</v>
      </c>
      <c r="L4636">
        <v>4</v>
      </c>
    </row>
    <row r="4637" spans="1:12" x14ac:dyDescent="0.25">
      <c r="A4637" t="s">
        <v>9015</v>
      </c>
      <c r="B4637" t="s">
        <v>8080</v>
      </c>
      <c r="C4637" t="s">
        <v>22</v>
      </c>
      <c r="D4637" t="s">
        <v>23</v>
      </c>
      <c r="E4637">
        <v>42</v>
      </c>
      <c r="F4637" t="s">
        <v>559</v>
      </c>
      <c r="G4637" t="s">
        <v>16</v>
      </c>
      <c r="H4637">
        <v>155365</v>
      </c>
      <c r="I4637" s="1" t="d">
        <v>2024-08-18</v>
      </c>
      <c r="J4637" t="s">
        <v>9016</v>
      </c>
      <c r="K4637" s="17" t="s">
        <v>149</v>
      </c>
      <c r="L4637">
        <v>3</v>
      </c>
    </row>
    <row r="4638" spans="1:12" x14ac:dyDescent="0.25">
      <c r="A4638" t="s">
        <v>9017</v>
      </c>
      <c r="B4638" t="s">
        <v>482</v>
      </c>
      <c r="C4638" t="s">
        <v>584</v>
      </c>
      <c r="D4638" t="s">
        <v>9527</v>
      </c>
      <c r="E4638">
        <v>49</v>
      </c>
      <c r="F4638" t="s">
        <v>645</v>
      </c>
      <c r="G4638" t="s">
        <v>177</v>
      </c>
      <c r="H4638" s="2">
        <v>39931</v>
      </c>
      <c r="I4638" s="1" t="d">
        <v>2019-02-14</v>
      </c>
      <c r="J4638" t="s">
        <v>2266</v>
      </c>
      <c r="K4638" s="17" t="s">
        <v>100</v>
      </c>
      <c r="L4638">
        <v>3</v>
      </c>
    </row>
    <row r="4639" spans="1:12" x14ac:dyDescent="0.25">
      <c r="A4639" t="s">
        <v>9018</v>
      </c>
      <c r="B4639" t="s">
        <v>901</v>
      </c>
      <c r="C4639" t="s">
        <v>22</v>
      </c>
      <c r="D4639" t="s">
        <v>46</v>
      </c>
      <c r="E4639">
        <v>46</v>
      </c>
      <c r="F4639" t="s">
        <v>264</v>
      </c>
      <c r="G4639" t="s">
        <v>115</v>
      </c>
      <c r="H4639">
        <v>86700</v>
      </c>
      <c r="I4639" s="1" t="d">
        <v>2005-05-08</v>
      </c>
      <c r="J4639" t="s">
        <v>5204</v>
      </c>
      <c r="K4639" s="17" t="s">
        <v>34</v>
      </c>
      <c r="L4639">
        <v>2</v>
      </c>
    </row>
    <row r="4640" spans="1:12" x14ac:dyDescent="0.25">
      <c r="A4640" t="s">
        <v>9019</v>
      </c>
      <c r="B4640" t="s">
        <v>3470</v>
      </c>
      <c r="C4640" t="s">
        <v>1030</v>
      </c>
      <c r="D4640" t="s">
        <v>9527</v>
      </c>
      <c r="E4640">
        <v>39</v>
      </c>
      <c r="F4640" t="s">
        <v>153</v>
      </c>
      <c r="G4640" t="s">
        <v>170</v>
      </c>
      <c r="H4640" t="s">
        <v>9020</v>
      </c>
      <c r="I4640" s="1" t="d">
        <v>2014-06-13</v>
      </c>
      <c r="J4640" t="s">
        <v>744</v>
      </c>
      <c r="K4640" s="17" t="s">
        <v>50</v>
      </c>
      <c r="L4640">
        <v>1</v>
      </c>
    </row>
    <row r="4641" spans="1:12" x14ac:dyDescent="0.25">
      <c r="A4641" t="s">
        <v>9021</v>
      </c>
      <c r="B4641" t="s">
        <v>945</v>
      </c>
      <c r="C4641" t="s">
        <v>488</v>
      </c>
      <c r="D4641" t="s">
        <v>23</v>
      </c>
      <c r="E4641">
        <v>35</v>
      </c>
      <c r="F4641" t="s">
        <v>399</v>
      </c>
      <c r="G4641" t="s">
        <v>458</v>
      </c>
      <c r="H4641" s="2">
        <v>61965</v>
      </c>
      <c r="I4641" s="1" t="d">
        <v>2024-08-27</v>
      </c>
      <c r="J4641" t="s">
        <v>148</v>
      </c>
      <c r="K4641" s="17" t="s">
        <v>27</v>
      </c>
      <c r="L4641">
        <v>4</v>
      </c>
    </row>
    <row r="4642" spans="1:12" x14ac:dyDescent="0.25">
      <c r="A4642" t="s">
        <v>9022</v>
      </c>
      <c r="B4642" t="s">
        <v>571</v>
      </c>
      <c r="C4642" t="s">
        <v>1538</v>
      </c>
      <c r="D4642" t="s">
        <v>46</v>
      </c>
      <c r="E4642">
        <v>28</v>
      </c>
      <c r="F4642" t="s">
        <v>108</v>
      </c>
      <c r="G4642" t="s">
        <v>69</v>
      </c>
      <c r="H4642" t="s">
        <v>9023</v>
      </c>
      <c r="I4642" s="1" t="d">
        <v>2014-01-05</v>
      </c>
      <c r="J4642" t="s">
        <v>3099</v>
      </c>
      <c r="K4642" s="17" t="s">
        <v>90</v>
      </c>
      <c r="L4642">
        <v>2</v>
      </c>
    </row>
    <row r="4643" spans="1:12" x14ac:dyDescent="0.25">
      <c r="A4643" t="s">
        <v>9024</v>
      </c>
      <c r="B4643" t="s">
        <v>1759</v>
      </c>
      <c r="C4643" t="s">
        <v>747</v>
      </c>
      <c r="D4643" t="s">
        <v>9527</v>
      </c>
      <c r="E4643">
        <v>51</v>
      </c>
      <c r="F4643" t="s">
        <v>450</v>
      </c>
      <c r="G4643" t="s">
        <v>82</v>
      </c>
      <c r="H4643" t="s">
        <v>9025</v>
      </c>
      <c r="I4643" s="1" t="d">
        <v>2023-12-17</v>
      </c>
      <c r="J4643" t="s">
        <v>3850</v>
      </c>
      <c r="K4643" s="17" t="s">
        <v>149</v>
      </c>
      <c r="L4643">
        <v>5</v>
      </c>
    </row>
    <row r="4644" spans="1:12" x14ac:dyDescent="0.25">
      <c r="A4644" t="s">
        <v>9026</v>
      </c>
      <c r="B4644" t="s">
        <v>194</v>
      </c>
      <c r="C4644" t="s">
        <v>665</v>
      </c>
      <c r="D4644" t="s">
        <v>23</v>
      </c>
      <c r="E4644">
        <v>31</v>
      </c>
      <c r="F4644" t="s">
        <v>126</v>
      </c>
      <c r="G4644" t="s">
        <v>69</v>
      </c>
      <c r="H4644">
        <v>82199</v>
      </c>
      <c r="I4644" s="1" t="d">
        <v>2018-06-01</v>
      </c>
      <c r="J4644" t="s">
        <v>4367</v>
      </c>
      <c r="K4644" s="17" t="s">
        <v>58</v>
      </c>
      <c r="L4644">
        <v>5</v>
      </c>
    </row>
    <row r="4645" spans="1:12" x14ac:dyDescent="0.25">
      <c r="A4645" t="s">
        <v>9027</v>
      </c>
      <c r="B4645" t="s">
        <v>2379</v>
      </c>
      <c r="C4645" t="s">
        <v>766</v>
      </c>
      <c r="D4645" t="s">
        <v>9527</v>
      </c>
      <c r="E4645">
        <v>34</v>
      </c>
      <c r="F4645" t="s">
        <v>692</v>
      </c>
      <c r="G4645" t="s">
        <v>16</v>
      </c>
      <c r="I4645" s="1" t="d">
        <v>2010-05-26</v>
      </c>
      <c r="J4645" t="s">
        <v>7683</v>
      </c>
      <c r="K4645" s="17" t="s">
        <v>90</v>
      </c>
      <c r="L4645">
        <v>3</v>
      </c>
    </row>
    <row r="4646" spans="1:12" x14ac:dyDescent="0.25">
      <c r="A4646" t="s">
        <v>9026</v>
      </c>
      <c r="B4646" t="s">
        <v>194</v>
      </c>
      <c r="C4646" t="s">
        <v>665</v>
      </c>
      <c r="D4646" t="s">
        <v>23</v>
      </c>
      <c r="E4646">
        <v>31</v>
      </c>
      <c r="F4646" t="s">
        <v>126</v>
      </c>
      <c r="G4646" t="s">
        <v>69</v>
      </c>
      <c r="H4646">
        <v>82199</v>
      </c>
      <c r="I4646" s="1" t="d">
        <v>2018-06-01</v>
      </c>
      <c r="J4646" t="s">
        <v>4367</v>
      </c>
      <c r="K4646" s="17" t="s">
        <v>58</v>
      </c>
      <c r="L4646">
        <v>5</v>
      </c>
    </row>
    <row r="4647" spans="1:12" x14ac:dyDescent="0.25">
      <c r="A4647" t="s">
        <v>9028</v>
      </c>
      <c r="B4647" t="s">
        <v>1096</v>
      </c>
      <c r="C4647" t="s">
        <v>168</v>
      </c>
      <c r="D4647" t="s">
        <v>46</v>
      </c>
      <c r="E4647">
        <v>39</v>
      </c>
      <c r="F4647" t="s">
        <v>238</v>
      </c>
      <c r="G4647" t="s">
        <v>55</v>
      </c>
      <c r="H4647" t="s">
        <v>9029</v>
      </c>
      <c r="J4647" t="s">
        <v>3452</v>
      </c>
      <c r="K4647" s="17" t="s">
        <v>50</v>
      </c>
      <c r="L4647">
        <v>3</v>
      </c>
    </row>
    <row r="4648" spans="1:12" x14ac:dyDescent="0.25">
      <c r="A4648" t="s">
        <v>9030</v>
      </c>
      <c r="B4648" t="s">
        <v>410</v>
      </c>
      <c r="C4648" t="s">
        <v>103</v>
      </c>
      <c r="D4648" t="s">
        <v>23</v>
      </c>
      <c r="E4648">
        <v>36</v>
      </c>
      <c r="F4648" t="s">
        <v>509</v>
      </c>
      <c r="G4648" t="s">
        <v>39</v>
      </c>
      <c r="H4648" t="s">
        <v>9031</v>
      </c>
      <c r="I4648" s="1" t="d">
        <v>2008-04-11</v>
      </c>
      <c r="J4648" t="s">
        <v>3782</v>
      </c>
      <c r="K4648" s="17" t="s">
        <v>19</v>
      </c>
      <c r="L4648">
        <v>3</v>
      </c>
    </row>
    <row r="4649" spans="1:12" x14ac:dyDescent="0.25">
      <c r="A4649" t="s">
        <v>2406</v>
      </c>
      <c r="B4649" t="s">
        <v>499</v>
      </c>
      <c r="C4649" t="s">
        <v>336</v>
      </c>
      <c r="D4649" t="s">
        <v>9527</v>
      </c>
      <c r="E4649">
        <v>46</v>
      </c>
      <c r="G4649" t="s">
        <v>88</v>
      </c>
      <c r="H4649" t="s">
        <v>2407</v>
      </c>
      <c r="I4649" s="1" t="d">
        <v>2014-11-10</v>
      </c>
      <c r="J4649" t="s">
        <v>657</v>
      </c>
      <c r="K4649" s="17" t="s">
        <v>100</v>
      </c>
      <c r="L4649">
        <v>4</v>
      </c>
    </row>
    <row r="4650" spans="1:12" x14ac:dyDescent="0.25">
      <c r="A4650" t="s">
        <v>7492</v>
      </c>
      <c r="B4650" t="s">
        <v>1154</v>
      </c>
      <c r="C4650" t="s">
        <v>2755</v>
      </c>
      <c r="D4650" t="s">
        <v>46</v>
      </c>
      <c r="E4650">
        <v>52</v>
      </c>
      <c r="F4650" t="s">
        <v>104</v>
      </c>
      <c r="G4650" t="s">
        <v>39</v>
      </c>
      <c r="H4650" t="s">
        <v>9032</v>
      </c>
      <c r="I4650" s="1" t="d">
        <v>2005-02-12</v>
      </c>
      <c r="J4650" t="s">
        <v>3624</v>
      </c>
      <c r="K4650" s="17" t="s">
        <v>90</v>
      </c>
      <c r="L4650">
        <v>5</v>
      </c>
    </row>
    <row r="4651" spans="1:12" x14ac:dyDescent="0.25">
      <c r="A4651" t="s">
        <v>5883</v>
      </c>
      <c r="B4651" t="s">
        <v>931</v>
      </c>
      <c r="C4651" t="s">
        <v>1326</v>
      </c>
      <c r="D4651" t="s">
        <v>23</v>
      </c>
      <c r="E4651">
        <v>42</v>
      </c>
      <c r="G4651" t="s">
        <v>351</v>
      </c>
      <c r="H4651" s="2">
        <v>86326</v>
      </c>
      <c r="I4651" s="1" t="d">
        <v>2007-10-30</v>
      </c>
      <c r="J4651" t="s">
        <v>5884</v>
      </c>
      <c r="K4651" s="17" t="s">
        <v>207</v>
      </c>
      <c r="L4651">
        <v>1</v>
      </c>
    </row>
    <row r="4652" spans="1:12" x14ac:dyDescent="0.25">
      <c r="A4652" t="s">
        <v>9033</v>
      </c>
      <c r="B4652" t="s">
        <v>2041</v>
      </c>
      <c r="C4652" t="s">
        <v>758</v>
      </c>
      <c r="D4652" t="s">
        <v>9527</v>
      </c>
      <c r="E4652">
        <v>44</v>
      </c>
      <c r="F4652" t="s">
        <v>373</v>
      </c>
      <c r="G4652" t="s">
        <v>912</v>
      </c>
      <c r="I4652" s="1" t="d">
        <v>2010-02-03</v>
      </c>
      <c r="J4652" t="s">
        <v>6355</v>
      </c>
      <c r="K4652" s="17" t="s">
        <v>207</v>
      </c>
      <c r="L4652">
        <v>4</v>
      </c>
    </row>
    <row r="4653" spans="1:12" x14ac:dyDescent="0.25">
      <c r="A4653" t="s">
        <v>9034</v>
      </c>
      <c r="B4653" t="s">
        <v>1241</v>
      </c>
      <c r="C4653" t="s">
        <v>3998</v>
      </c>
      <c r="D4653" t="s">
        <v>46</v>
      </c>
      <c r="E4653">
        <v>39</v>
      </c>
      <c r="F4653" t="s">
        <v>94</v>
      </c>
      <c r="G4653" t="s">
        <v>212</v>
      </c>
      <c r="H4653" s="2">
        <v>79500</v>
      </c>
      <c r="I4653" s="1" t="d">
        <v>2021-09-26</v>
      </c>
      <c r="J4653" t="s">
        <v>1499</v>
      </c>
      <c r="K4653" s="17" t="s">
        <v>149</v>
      </c>
      <c r="L4653">
        <v>4</v>
      </c>
    </row>
    <row r="4654" spans="1:12" x14ac:dyDescent="0.25">
      <c r="A4654" t="s">
        <v>9035</v>
      </c>
      <c r="B4654" t="s">
        <v>563</v>
      </c>
      <c r="C4654" t="s">
        <v>961</v>
      </c>
      <c r="D4654" t="s">
        <v>9527</v>
      </c>
      <c r="E4654">
        <v>35</v>
      </c>
      <c r="F4654" t="s">
        <v>1889</v>
      </c>
      <c r="G4654" t="s">
        <v>912</v>
      </c>
      <c r="H4654">
        <v>86053</v>
      </c>
      <c r="I4654" s="1" t="d">
        <v>2020-05-03</v>
      </c>
      <c r="J4654" t="s">
        <v>1562</v>
      </c>
      <c r="K4654" s="17" t="s">
        <v>90</v>
      </c>
      <c r="L4654">
        <v>3</v>
      </c>
    </row>
    <row r="4655" spans="1:12" x14ac:dyDescent="0.25">
      <c r="A4655" t="s">
        <v>9036</v>
      </c>
      <c r="B4655" t="s">
        <v>3988</v>
      </c>
      <c r="C4655" t="s">
        <v>1668</v>
      </c>
      <c r="D4655" t="s">
        <v>46</v>
      </c>
      <c r="E4655">
        <v>47</v>
      </c>
      <c r="G4655" t="s">
        <v>141</v>
      </c>
      <c r="H4655">
        <v>57939</v>
      </c>
      <c r="I4655" s="1" t="d">
        <v>2024-04-14</v>
      </c>
      <c r="J4655" t="s">
        <v>4241</v>
      </c>
      <c r="K4655" s="17" t="s">
        <v>207</v>
      </c>
      <c r="L4655">
        <v>4</v>
      </c>
    </row>
    <row r="4656" spans="1:12" x14ac:dyDescent="0.25">
      <c r="A4656" t="s">
        <v>9037</v>
      </c>
      <c r="B4656" t="s">
        <v>1491</v>
      </c>
      <c r="C4656" t="s">
        <v>3694</v>
      </c>
      <c r="D4656" t="s">
        <v>23</v>
      </c>
      <c r="E4656">
        <v>46</v>
      </c>
      <c r="F4656" t="s">
        <v>649</v>
      </c>
      <c r="G4656" t="s">
        <v>69</v>
      </c>
      <c r="H4656" t="s">
        <v>9038</v>
      </c>
      <c r="I4656" s="1" t="d">
        <v>2017-06-04</v>
      </c>
      <c r="J4656" t="s">
        <v>1492</v>
      </c>
      <c r="K4656" s="17" t="s">
        <v>207</v>
      </c>
      <c r="L4656">
        <v>3</v>
      </c>
    </row>
    <row r="4657" spans="1:12" x14ac:dyDescent="0.25">
      <c r="A4657" t="s">
        <v>9039</v>
      </c>
      <c r="B4657" t="s">
        <v>936</v>
      </c>
      <c r="C4657" t="s">
        <v>1770</v>
      </c>
      <c r="D4657" t="s">
        <v>23</v>
      </c>
      <c r="E4657">
        <v>21</v>
      </c>
      <c r="F4657" t="s">
        <v>24</v>
      </c>
      <c r="G4657" t="s">
        <v>55</v>
      </c>
      <c r="H4657" t="s">
        <v>9040</v>
      </c>
      <c r="I4657" s="1" t="d">
        <v>2005-04-08</v>
      </c>
      <c r="J4657" t="s">
        <v>6644</v>
      </c>
      <c r="K4657" s="17" t="s">
        <v>207</v>
      </c>
      <c r="L4657">
        <v>2</v>
      </c>
    </row>
    <row r="4658" spans="1:12" x14ac:dyDescent="0.25">
      <c r="A4658" t="s">
        <v>9041</v>
      </c>
      <c r="B4658" t="s">
        <v>520</v>
      </c>
      <c r="C4658" t="s">
        <v>512</v>
      </c>
      <c r="D4658" t="s">
        <v>46</v>
      </c>
      <c r="E4658">
        <v>43</v>
      </c>
      <c r="F4658" t="s">
        <v>62</v>
      </c>
      <c r="G4658" t="s">
        <v>191</v>
      </c>
      <c r="H4658" t="s">
        <v>9042</v>
      </c>
      <c r="I4658" s="1" t="d">
        <v>2024-01-04</v>
      </c>
      <c r="J4658" t="s">
        <v>5643</v>
      </c>
      <c r="K4658" s="17" t="s">
        <v>370</v>
      </c>
      <c r="L4658">
        <v>4</v>
      </c>
    </row>
    <row r="4659" spans="1:12" x14ac:dyDescent="0.25">
      <c r="A4659" t="s">
        <v>7711</v>
      </c>
      <c r="B4659" t="s">
        <v>1479</v>
      </c>
      <c r="C4659" t="s">
        <v>1622</v>
      </c>
      <c r="D4659" t="s">
        <v>23</v>
      </c>
      <c r="E4659">
        <v>41</v>
      </c>
      <c r="G4659" t="s">
        <v>3243</v>
      </c>
      <c r="H4659" s="2">
        <v>82931</v>
      </c>
      <c r="I4659" s="1" t="d">
        <v>2007-11-03</v>
      </c>
      <c r="J4659" t="s">
        <v>5778</v>
      </c>
      <c r="K4659" s="17" t="s">
        <v>100</v>
      </c>
      <c r="L4659">
        <v>3</v>
      </c>
    </row>
    <row r="4660" spans="1:12" x14ac:dyDescent="0.25">
      <c r="A4660" t="s">
        <v>9043</v>
      </c>
      <c r="B4660" t="s">
        <v>566</v>
      </c>
      <c r="C4660" t="s">
        <v>462</v>
      </c>
      <c r="D4660" t="s">
        <v>9527</v>
      </c>
      <c r="E4660">
        <v>48</v>
      </c>
      <c r="F4660" t="s">
        <v>47</v>
      </c>
      <c r="G4660" t="s">
        <v>1703</v>
      </c>
      <c r="H4660" s="2">
        <v>54461</v>
      </c>
      <c r="I4660" s="1" t="d">
        <v>2005-02-09</v>
      </c>
      <c r="J4660" t="s">
        <v>2609</v>
      </c>
      <c r="K4660" s="17" t="s">
        <v>58</v>
      </c>
      <c r="L4660">
        <v>3</v>
      </c>
    </row>
    <row r="4661" spans="1:12" x14ac:dyDescent="0.25">
      <c r="A4661" t="s">
        <v>9044</v>
      </c>
      <c r="B4661" t="s">
        <v>134</v>
      </c>
      <c r="C4661" t="s">
        <v>2755</v>
      </c>
      <c r="D4661" t="s">
        <v>46</v>
      </c>
      <c r="E4661">
        <v>26</v>
      </c>
      <c r="F4661" t="s">
        <v>153</v>
      </c>
      <c r="G4661" t="s">
        <v>2916</v>
      </c>
      <c r="H4661">
        <v>69215</v>
      </c>
      <c r="I4661" s="1" t="d">
        <v>2018-12-31</v>
      </c>
      <c r="J4661" t="s">
        <v>3655</v>
      </c>
      <c r="K4661" s="17" t="s">
        <v>42</v>
      </c>
      <c r="L4661">
        <v>3</v>
      </c>
    </row>
    <row r="4662" spans="1:12" x14ac:dyDescent="0.25">
      <c r="A4662" t="s">
        <v>9045</v>
      </c>
      <c r="B4662" t="s">
        <v>112</v>
      </c>
      <c r="C4662" t="s">
        <v>766</v>
      </c>
      <c r="D4662" t="s">
        <v>46</v>
      </c>
      <c r="E4662">
        <v>36</v>
      </c>
      <c r="F4662" t="s">
        <v>153</v>
      </c>
      <c r="G4662" t="s">
        <v>39</v>
      </c>
      <c r="H4662" t="s">
        <v>9046</v>
      </c>
      <c r="I4662" s="1" t="d">
        <v>2009-07-16</v>
      </c>
      <c r="J4662" t="s">
        <v>2503</v>
      </c>
      <c r="K4662" s="17" t="s">
        <v>19</v>
      </c>
      <c r="L4662">
        <v>3</v>
      </c>
    </row>
    <row r="4663" spans="1:12" x14ac:dyDescent="0.25">
      <c r="A4663" t="s">
        <v>9047</v>
      </c>
      <c r="B4663" t="s">
        <v>194</v>
      </c>
      <c r="C4663" t="s">
        <v>2535</v>
      </c>
      <c r="D4663" t="s">
        <v>23</v>
      </c>
      <c r="E4663">
        <v>29</v>
      </c>
      <c r="F4663" t="s">
        <v>417</v>
      </c>
      <c r="G4663" t="s">
        <v>170</v>
      </c>
      <c r="H4663" t="s">
        <v>9048</v>
      </c>
      <c r="I4663" s="1" t="d">
        <v>2008-01-20</v>
      </c>
      <c r="J4663" t="s">
        <v>5594</v>
      </c>
      <c r="K4663" s="17" t="s">
        <v>118</v>
      </c>
      <c r="L4663">
        <v>3</v>
      </c>
    </row>
    <row r="4664" spans="1:12" x14ac:dyDescent="0.25">
      <c r="A4664" t="s">
        <v>9049</v>
      </c>
      <c r="B4664" t="s">
        <v>9050</v>
      </c>
      <c r="C4664" t="s">
        <v>624</v>
      </c>
      <c r="D4664" t="s">
        <v>46</v>
      </c>
      <c r="E4664">
        <v>51</v>
      </c>
      <c r="F4664" t="s">
        <v>230</v>
      </c>
      <c r="G4664" t="s">
        <v>217</v>
      </c>
      <c r="H4664" t="s">
        <v>9051</v>
      </c>
      <c r="I4664" s="1" t="d">
        <v>2021-08-11</v>
      </c>
      <c r="J4664" t="s">
        <v>4150</v>
      </c>
      <c r="K4664" s="17" t="s">
        <v>370</v>
      </c>
      <c r="L4664">
        <v>4</v>
      </c>
    </row>
    <row r="4665" spans="1:12" x14ac:dyDescent="0.25">
      <c r="A4665" t="s">
        <v>9052</v>
      </c>
      <c r="B4665" t="s">
        <v>1213</v>
      </c>
      <c r="C4665" t="s">
        <v>237</v>
      </c>
      <c r="D4665" t="s">
        <v>46</v>
      </c>
      <c r="E4665">
        <v>52</v>
      </c>
      <c r="F4665" t="s">
        <v>859</v>
      </c>
      <c r="G4665" t="s">
        <v>1133</v>
      </c>
      <c r="H4665" t="s">
        <v>9053</v>
      </c>
      <c r="I4665" s="1" t="d">
        <v>2016-04-10</v>
      </c>
      <c r="J4665" t="s">
        <v>3821</v>
      </c>
      <c r="K4665" s="17" t="s">
        <v>58</v>
      </c>
      <c r="L4665">
        <v>2</v>
      </c>
    </row>
    <row r="4666" spans="1:12" x14ac:dyDescent="0.25">
      <c r="A4666" t="s">
        <v>9054</v>
      </c>
      <c r="B4666" t="s">
        <v>1441</v>
      </c>
      <c r="C4666" t="s">
        <v>1194</v>
      </c>
      <c r="D4666" t="s">
        <v>23</v>
      </c>
      <c r="E4666">
        <v>46</v>
      </c>
      <c r="F4666" t="s">
        <v>1295</v>
      </c>
      <c r="G4666" t="s">
        <v>996</v>
      </c>
      <c r="H4666">
        <v>106950</v>
      </c>
      <c r="I4666" s="1" t="d">
        <v>2015-10-17</v>
      </c>
      <c r="J4666" t="s">
        <v>5645</v>
      </c>
      <c r="K4666" s="17" t="s">
        <v>71</v>
      </c>
      <c r="L4666">
        <v>3</v>
      </c>
    </row>
    <row r="4667" spans="1:12" x14ac:dyDescent="0.25">
      <c r="A4667" t="s">
        <v>9055</v>
      </c>
      <c r="B4667" t="s">
        <v>1647</v>
      </c>
      <c r="C4667" t="s">
        <v>1052</v>
      </c>
      <c r="D4667" t="s">
        <v>23</v>
      </c>
      <c r="E4667">
        <v>29</v>
      </c>
      <c r="F4667" t="s">
        <v>253</v>
      </c>
      <c r="G4667" t="s">
        <v>82</v>
      </c>
      <c r="H4667" s="2">
        <v>57506</v>
      </c>
      <c r="I4667" s="1" t="d">
        <v>2021-12-25</v>
      </c>
      <c r="J4667" t="s">
        <v>3208</v>
      </c>
      <c r="K4667" s="17" t="s">
        <v>207</v>
      </c>
      <c r="L4667">
        <v>2</v>
      </c>
    </row>
    <row r="4668" spans="1:12" x14ac:dyDescent="0.25">
      <c r="A4668" t="s">
        <v>9056</v>
      </c>
      <c r="B4668" t="s">
        <v>1350</v>
      </c>
      <c r="C4668" t="s">
        <v>751</v>
      </c>
      <c r="D4668" t="s">
        <v>23</v>
      </c>
      <c r="E4668">
        <v>34</v>
      </c>
      <c r="F4668" t="s">
        <v>411</v>
      </c>
      <c r="G4668" t="s">
        <v>912</v>
      </c>
      <c r="H4668">
        <v>46397</v>
      </c>
      <c r="I4668" s="1" t="d">
        <v>2017-08-25</v>
      </c>
      <c r="J4668" t="s">
        <v>3595</v>
      </c>
      <c r="K4668" s="17" t="s">
        <v>42</v>
      </c>
      <c r="L4668">
        <v>3</v>
      </c>
    </row>
    <row r="4669" spans="1:12" x14ac:dyDescent="0.25">
      <c r="A4669" t="s">
        <v>9057</v>
      </c>
      <c r="B4669" t="s">
        <v>482</v>
      </c>
      <c r="C4669" t="s">
        <v>295</v>
      </c>
      <c r="D4669" t="s">
        <v>23</v>
      </c>
      <c r="E4669">
        <v>50</v>
      </c>
      <c r="F4669" t="s">
        <v>576</v>
      </c>
      <c r="G4669" t="s">
        <v>39</v>
      </c>
      <c r="H4669" t="s">
        <v>9058</v>
      </c>
      <c r="I4669" s="1" t="d">
        <v>2013-06-29</v>
      </c>
      <c r="J4669" t="s">
        <v>4551</v>
      </c>
      <c r="K4669" s="17" t="s">
        <v>149</v>
      </c>
      <c r="L4669">
        <v>4</v>
      </c>
    </row>
    <row r="4670" spans="1:12" x14ac:dyDescent="0.25">
      <c r="A4670" t="s">
        <v>6283</v>
      </c>
      <c r="B4670" t="s">
        <v>394</v>
      </c>
      <c r="C4670" t="s">
        <v>1494</v>
      </c>
      <c r="D4670" t="s">
        <v>9527</v>
      </c>
      <c r="E4670">
        <v>59</v>
      </c>
      <c r="F4670" t="s">
        <v>478</v>
      </c>
      <c r="G4670" t="s">
        <v>69</v>
      </c>
      <c r="H4670" t="s">
        <v>6284</v>
      </c>
      <c r="I4670" s="1" t="d">
        <v>2010-11-24</v>
      </c>
      <c r="J4670" t="s">
        <v>1554</v>
      </c>
      <c r="K4670" s="17" t="s">
        <v>42</v>
      </c>
      <c r="L4670">
        <v>4</v>
      </c>
    </row>
    <row r="4671" spans="1:12" x14ac:dyDescent="0.25">
      <c r="A4671" t="s">
        <v>9059</v>
      </c>
      <c r="B4671" t="s">
        <v>594</v>
      </c>
      <c r="C4671" t="s">
        <v>252</v>
      </c>
      <c r="D4671" t="s">
        <v>23</v>
      </c>
      <c r="E4671">
        <v>56</v>
      </c>
      <c r="F4671" t="s">
        <v>104</v>
      </c>
      <c r="G4671" t="s">
        <v>170</v>
      </c>
      <c r="I4671" s="1" t="d">
        <v>2006-11-25</v>
      </c>
      <c r="J4671" t="s">
        <v>4608</v>
      </c>
      <c r="K4671" s="17" t="s">
        <v>34</v>
      </c>
      <c r="L4671">
        <v>4</v>
      </c>
    </row>
    <row r="4672" spans="1:12" x14ac:dyDescent="0.25">
      <c r="A4672" t="s">
        <v>9060</v>
      </c>
      <c r="B4672" t="s">
        <v>92</v>
      </c>
      <c r="C4672" t="s">
        <v>751</v>
      </c>
      <c r="D4672" t="s">
        <v>23</v>
      </c>
      <c r="E4672">
        <v>41</v>
      </c>
      <c r="F4672" t="s">
        <v>356</v>
      </c>
      <c r="G4672" t="s">
        <v>82</v>
      </c>
      <c r="H4672">
        <v>84907</v>
      </c>
      <c r="I4672" s="1" t="d">
        <v>2010-05-16</v>
      </c>
      <c r="J4672" t="s">
        <v>4922</v>
      </c>
      <c r="K4672" s="17" t="s">
        <v>149</v>
      </c>
      <c r="L4672">
        <v>3</v>
      </c>
    </row>
    <row r="4673" spans="1:12" x14ac:dyDescent="0.25">
      <c r="A4673" t="s">
        <v>9061</v>
      </c>
      <c r="B4673" t="s">
        <v>5538</v>
      </c>
      <c r="C4673" t="s">
        <v>699</v>
      </c>
      <c r="D4673" t="s">
        <v>9527</v>
      </c>
      <c r="E4673">
        <v>51</v>
      </c>
      <c r="F4673" t="s">
        <v>356</v>
      </c>
      <c r="G4673" t="s">
        <v>1215</v>
      </c>
      <c r="I4673" s="1" t="d">
        <v>2007-02-26</v>
      </c>
      <c r="J4673" t="s">
        <v>9062</v>
      </c>
      <c r="K4673" s="17" t="s">
        <v>184</v>
      </c>
      <c r="L4673">
        <v>3</v>
      </c>
    </row>
    <row r="4674" spans="1:12" x14ac:dyDescent="0.25">
      <c r="A4674" t="s">
        <v>9063</v>
      </c>
      <c r="B4674" t="s">
        <v>426</v>
      </c>
      <c r="C4674" t="s">
        <v>74</v>
      </c>
      <c r="D4674" t="s">
        <v>9527</v>
      </c>
      <c r="E4674">
        <v>34</v>
      </c>
      <c r="F4674" t="s">
        <v>31</v>
      </c>
      <c r="G4674" t="s">
        <v>283</v>
      </c>
      <c r="H4674" s="2">
        <v>80126</v>
      </c>
      <c r="I4674" s="1" t="d">
        <v>2008-01-01</v>
      </c>
      <c r="J4674" t="s">
        <v>4311</v>
      </c>
      <c r="K4674" s="17" t="s">
        <v>100</v>
      </c>
      <c r="L4674">
        <v>5</v>
      </c>
    </row>
    <row r="4675" spans="1:12" x14ac:dyDescent="0.25">
      <c r="A4675" t="s">
        <v>9064</v>
      </c>
      <c r="B4675" t="s">
        <v>66</v>
      </c>
      <c r="C4675" t="s">
        <v>805</v>
      </c>
      <c r="D4675" t="s">
        <v>23</v>
      </c>
      <c r="E4675">
        <v>34</v>
      </c>
      <c r="F4675" t="s">
        <v>356</v>
      </c>
      <c r="G4675" t="s">
        <v>88</v>
      </c>
      <c r="H4675">
        <v>107261</v>
      </c>
      <c r="I4675" s="1" t="d">
        <v>2022-03-11</v>
      </c>
      <c r="J4675" t="s">
        <v>9065</v>
      </c>
      <c r="K4675" s="17" t="s">
        <v>100</v>
      </c>
      <c r="L4675">
        <v>3</v>
      </c>
    </row>
    <row r="4676" spans="1:12" x14ac:dyDescent="0.25">
      <c r="A4676" t="s">
        <v>9066</v>
      </c>
      <c r="B4676" t="s">
        <v>221</v>
      </c>
      <c r="C4676" t="s">
        <v>318</v>
      </c>
      <c r="D4676" t="s">
        <v>9527</v>
      </c>
      <c r="E4676">
        <v>38</v>
      </c>
      <c r="F4676" t="s">
        <v>146</v>
      </c>
      <c r="G4676" t="s">
        <v>170</v>
      </c>
      <c r="H4676">
        <v>93065</v>
      </c>
      <c r="I4676" s="1" t="d">
        <v>2018-04-14</v>
      </c>
      <c r="J4676" t="s">
        <v>1504</v>
      </c>
      <c r="K4676" s="17" t="s">
        <v>207</v>
      </c>
      <c r="L4676">
        <v>5</v>
      </c>
    </row>
    <row r="4677" spans="1:12" x14ac:dyDescent="0.25">
      <c r="A4677" t="s">
        <v>9067</v>
      </c>
      <c r="B4677" t="s">
        <v>833</v>
      </c>
      <c r="C4677" t="s">
        <v>3202</v>
      </c>
      <c r="D4677" t="s">
        <v>46</v>
      </c>
      <c r="E4677">
        <v>46</v>
      </c>
      <c r="F4677" t="s">
        <v>645</v>
      </c>
      <c r="G4677" t="s">
        <v>48</v>
      </c>
      <c r="I4677" s="1" t="d">
        <v>2015-09-13</v>
      </c>
      <c r="J4677" t="s">
        <v>298</v>
      </c>
      <c r="K4677" s="17" t="s">
        <v>184</v>
      </c>
      <c r="L4677">
        <v>3</v>
      </c>
    </row>
    <row r="4678" spans="1:12" x14ac:dyDescent="0.25">
      <c r="A4678" t="s">
        <v>9068</v>
      </c>
      <c r="B4678" t="s">
        <v>652</v>
      </c>
      <c r="C4678" t="s">
        <v>4958</v>
      </c>
      <c r="D4678" t="s">
        <v>23</v>
      </c>
      <c r="E4678">
        <v>52</v>
      </c>
      <c r="F4678" t="s">
        <v>576</v>
      </c>
      <c r="G4678" t="s">
        <v>141</v>
      </c>
      <c r="I4678" s="1" t="d">
        <v>2005-05-02</v>
      </c>
      <c r="J4678" t="s">
        <v>955</v>
      </c>
      <c r="K4678" s="17" t="s">
        <v>27</v>
      </c>
      <c r="L4678">
        <v>4</v>
      </c>
    </row>
    <row r="4679" spans="1:12" x14ac:dyDescent="0.25">
      <c r="A4679" t="s">
        <v>9069</v>
      </c>
      <c r="B4679" t="s">
        <v>1842</v>
      </c>
      <c r="C4679" t="s">
        <v>121</v>
      </c>
      <c r="D4679" t="s">
        <v>9527</v>
      </c>
      <c r="E4679">
        <v>38</v>
      </c>
      <c r="F4679" t="s">
        <v>2707</v>
      </c>
      <c r="G4679" t="s">
        <v>1285</v>
      </c>
      <c r="H4679" t="s">
        <v>9070</v>
      </c>
      <c r="I4679" s="1" t="d">
        <v>2024-03-15</v>
      </c>
      <c r="J4679" t="s">
        <v>602</v>
      </c>
      <c r="K4679" s="17" t="s">
        <v>184</v>
      </c>
      <c r="L4679">
        <v>3</v>
      </c>
    </row>
    <row r="4680" spans="1:12" x14ac:dyDescent="0.25">
      <c r="A4680" t="s">
        <v>6099</v>
      </c>
      <c r="B4680" t="s">
        <v>563</v>
      </c>
      <c r="C4680" t="s">
        <v>324</v>
      </c>
      <c r="D4680" t="s">
        <v>9527</v>
      </c>
      <c r="E4680">
        <v>21</v>
      </c>
      <c r="F4680" t="s">
        <v>24</v>
      </c>
      <c r="G4680" t="s">
        <v>614</v>
      </c>
      <c r="J4680" t="s">
        <v>2110</v>
      </c>
      <c r="K4680" s="17" t="s">
        <v>19</v>
      </c>
      <c r="L4680">
        <v>4</v>
      </c>
    </row>
    <row r="4681" spans="1:12" x14ac:dyDescent="0.25">
      <c r="A4681" t="s">
        <v>9071</v>
      </c>
      <c r="B4681" t="s">
        <v>846</v>
      </c>
      <c r="C4681" t="s">
        <v>405</v>
      </c>
      <c r="D4681" t="s">
        <v>23</v>
      </c>
      <c r="E4681">
        <v>37</v>
      </c>
      <c r="F4681" t="s">
        <v>186</v>
      </c>
      <c r="G4681" t="s">
        <v>217</v>
      </c>
      <c r="H4681" t="s">
        <v>9072</v>
      </c>
      <c r="I4681" s="1" t="d">
        <v>2006-12-02</v>
      </c>
      <c r="J4681" t="s">
        <v>7929</v>
      </c>
      <c r="K4681" s="17" t="s">
        <v>370</v>
      </c>
      <c r="L4681">
        <v>5</v>
      </c>
    </row>
    <row r="4682" spans="1:12" x14ac:dyDescent="0.25">
      <c r="A4682" t="s">
        <v>9073</v>
      </c>
      <c r="B4682" t="s">
        <v>4072</v>
      </c>
      <c r="C4682" t="s">
        <v>516</v>
      </c>
      <c r="D4682" t="s">
        <v>46</v>
      </c>
      <c r="E4682">
        <v>21</v>
      </c>
      <c r="F4682" t="s">
        <v>373</v>
      </c>
      <c r="G4682" t="s">
        <v>147</v>
      </c>
      <c r="I4682" s="1" t="d">
        <v>2008-12-26</v>
      </c>
      <c r="J4682" t="s">
        <v>6250</v>
      </c>
      <c r="K4682" s="17" t="s">
        <v>90</v>
      </c>
      <c r="L4682">
        <v>5</v>
      </c>
    </row>
    <row r="4683" spans="1:12" x14ac:dyDescent="0.25">
      <c r="A4683" t="s">
        <v>9074</v>
      </c>
      <c r="B4683" t="s">
        <v>1213</v>
      </c>
      <c r="C4683" t="s">
        <v>684</v>
      </c>
      <c r="D4683" t="s">
        <v>23</v>
      </c>
      <c r="E4683">
        <v>51</v>
      </c>
      <c r="F4683" t="s">
        <v>649</v>
      </c>
      <c r="G4683" t="s">
        <v>170</v>
      </c>
      <c r="H4683" t="s">
        <v>9075</v>
      </c>
      <c r="I4683" s="1" t="d">
        <v>2023-01-25</v>
      </c>
      <c r="J4683" t="s">
        <v>3607</v>
      </c>
      <c r="K4683" s="17" t="s">
        <v>149</v>
      </c>
      <c r="L4683">
        <v>4</v>
      </c>
    </row>
    <row r="4684" spans="1:12" x14ac:dyDescent="0.25">
      <c r="A4684" t="s">
        <v>9076</v>
      </c>
      <c r="B4684" t="s">
        <v>571</v>
      </c>
      <c r="C4684" t="s">
        <v>37</v>
      </c>
      <c r="D4684" t="s">
        <v>23</v>
      </c>
      <c r="E4684">
        <v>51</v>
      </c>
      <c r="F4684" t="s">
        <v>411</v>
      </c>
      <c r="G4684" t="s">
        <v>16</v>
      </c>
      <c r="H4684" s="2">
        <v>72274</v>
      </c>
      <c r="I4684" s="1" t="d">
        <v>2024-01-09</v>
      </c>
      <c r="J4684" t="s">
        <v>802</v>
      </c>
      <c r="K4684" s="17" t="s">
        <v>184</v>
      </c>
      <c r="L4684">
        <v>3</v>
      </c>
    </row>
    <row r="4685" spans="1:12" x14ac:dyDescent="0.25">
      <c r="A4685" t="s">
        <v>9077</v>
      </c>
      <c r="B4685" t="s">
        <v>174</v>
      </c>
      <c r="C4685" t="s">
        <v>710</v>
      </c>
      <c r="D4685" t="s">
        <v>9527</v>
      </c>
      <c r="E4685">
        <v>50</v>
      </c>
      <c r="F4685" t="s">
        <v>559</v>
      </c>
      <c r="G4685" t="s">
        <v>302</v>
      </c>
      <c r="H4685">
        <v>159752</v>
      </c>
      <c r="I4685" s="1" t="d">
        <v>2005-09-27</v>
      </c>
      <c r="J4685" t="s">
        <v>7946</v>
      </c>
      <c r="K4685" s="17" t="s">
        <v>207</v>
      </c>
      <c r="L4685">
        <v>4</v>
      </c>
    </row>
    <row r="4686" spans="1:12" x14ac:dyDescent="0.25">
      <c r="A4686" t="s">
        <v>9078</v>
      </c>
      <c r="B4686" t="s">
        <v>9079</v>
      </c>
      <c r="C4686" t="s">
        <v>961</v>
      </c>
      <c r="D4686" t="s">
        <v>23</v>
      </c>
      <c r="E4686">
        <v>33</v>
      </c>
      <c r="G4686" t="s">
        <v>2888</v>
      </c>
      <c r="H4686" t="s">
        <v>9080</v>
      </c>
      <c r="I4686" s="1" t="d">
        <v>2005-06-11</v>
      </c>
      <c r="J4686" t="s">
        <v>402</v>
      </c>
      <c r="K4686" s="17" t="s">
        <v>184</v>
      </c>
      <c r="L4686">
        <v>3</v>
      </c>
    </row>
    <row r="4687" spans="1:12" x14ac:dyDescent="0.25">
      <c r="A4687" t="s">
        <v>9081</v>
      </c>
      <c r="B4687" t="s">
        <v>1096</v>
      </c>
      <c r="C4687" t="s">
        <v>37</v>
      </c>
      <c r="D4687" t="s">
        <v>46</v>
      </c>
      <c r="E4687">
        <v>38</v>
      </c>
      <c r="F4687" t="s">
        <v>422</v>
      </c>
      <c r="G4687" t="s">
        <v>3243</v>
      </c>
      <c r="I4687" s="1" t="d">
        <v>2013-04-25</v>
      </c>
      <c r="J4687" t="s">
        <v>5256</v>
      </c>
      <c r="K4687" s="17" t="s">
        <v>90</v>
      </c>
      <c r="L4687">
        <v>3</v>
      </c>
    </row>
    <row r="4688" spans="1:12" x14ac:dyDescent="0.25">
      <c r="A4688" t="s">
        <v>9082</v>
      </c>
      <c r="B4688" t="s">
        <v>426</v>
      </c>
      <c r="C4688" t="s">
        <v>1494</v>
      </c>
      <c r="D4688" t="s">
        <v>9527</v>
      </c>
      <c r="E4688">
        <v>46</v>
      </c>
      <c r="F4688" t="s">
        <v>859</v>
      </c>
      <c r="G4688" t="s">
        <v>205</v>
      </c>
      <c r="H4688" s="2">
        <v>56226</v>
      </c>
      <c r="I4688" s="1" t="d">
        <v>2005-09-14</v>
      </c>
      <c r="J4688" t="s">
        <v>3033</v>
      </c>
      <c r="K4688" s="17" t="s">
        <v>184</v>
      </c>
      <c r="L4688">
        <v>5</v>
      </c>
    </row>
    <row r="4689" spans="1:12" x14ac:dyDescent="0.25">
      <c r="A4689" t="s">
        <v>9083</v>
      </c>
      <c r="B4689" t="s">
        <v>60</v>
      </c>
      <c r="C4689" t="s">
        <v>1326</v>
      </c>
      <c r="D4689" t="s">
        <v>23</v>
      </c>
      <c r="E4689">
        <v>27</v>
      </c>
      <c r="F4689" t="s">
        <v>1908</v>
      </c>
      <c r="G4689" t="s">
        <v>205</v>
      </c>
      <c r="H4689" s="2">
        <v>119795</v>
      </c>
      <c r="I4689" s="1" t="d">
        <v>2023-02-11</v>
      </c>
      <c r="J4689" t="s">
        <v>4141</v>
      </c>
      <c r="K4689" s="17" t="s">
        <v>50</v>
      </c>
      <c r="L4689">
        <v>2</v>
      </c>
    </row>
    <row r="4690" spans="1:12" x14ac:dyDescent="0.25">
      <c r="A4690" t="s">
        <v>9084</v>
      </c>
      <c r="B4690" t="s">
        <v>3127</v>
      </c>
      <c r="C4690" t="s">
        <v>121</v>
      </c>
      <c r="D4690" t="s">
        <v>9527</v>
      </c>
      <c r="E4690">
        <v>32</v>
      </c>
      <c r="F4690" t="s">
        <v>47</v>
      </c>
      <c r="G4690" t="s">
        <v>337</v>
      </c>
      <c r="I4690" s="1" t="d">
        <v>2017-10-30</v>
      </c>
      <c r="J4690" t="s">
        <v>1751</v>
      </c>
      <c r="K4690" s="17" t="s">
        <v>90</v>
      </c>
      <c r="L4690">
        <v>3</v>
      </c>
    </row>
    <row r="4691" spans="1:12" x14ac:dyDescent="0.25">
      <c r="A4691" t="s">
        <v>9085</v>
      </c>
      <c r="B4691" t="s">
        <v>571</v>
      </c>
      <c r="C4691" t="s">
        <v>7377</v>
      </c>
      <c r="D4691" t="s">
        <v>46</v>
      </c>
      <c r="E4691">
        <v>36</v>
      </c>
      <c r="F4691" t="s">
        <v>153</v>
      </c>
      <c r="G4691" t="s">
        <v>1121</v>
      </c>
      <c r="H4691">
        <v>189494</v>
      </c>
      <c r="I4691" s="1" t="d">
        <v>2011-12-16</v>
      </c>
      <c r="J4691" t="s">
        <v>6337</v>
      </c>
      <c r="K4691" s="17" t="s">
        <v>149</v>
      </c>
      <c r="L4691">
        <v>4</v>
      </c>
    </row>
    <row r="4692" spans="1:12" x14ac:dyDescent="0.25">
      <c r="A4692" t="s">
        <v>9086</v>
      </c>
      <c r="B4692" t="s">
        <v>993</v>
      </c>
      <c r="C4692" t="s">
        <v>474</v>
      </c>
      <c r="D4692" t="s">
        <v>9527</v>
      </c>
      <c r="E4692">
        <v>21</v>
      </c>
      <c r="F4692" t="s">
        <v>68</v>
      </c>
      <c r="G4692" t="s">
        <v>82</v>
      </c>
      <c r="H4692">
        <v>85924</v>
      </c>
      <c r="I4692" s="1" t="d">
        <v>2019-03-25</v>
      </c>
      <c r="J4692" t="s">
        <v>3374</v>
      </c>
      <c r="K4692" s="17" t="s">
        <v>90</v>
      </c>
      <c r="L4692">
        <v>4</v>
      </c>
    </row>
    <row r="4693" spans="1:12" x14ac:dyDescent="0.25">
      <c r="A4693" t="s">
        <v>9087</v>
      </c>
      <c r="B4693" t="s">
        <v>130</v>
      </c>
      <c r="C4693" t="s">
        <v>9088</v>
      </c>
      <c r="D4693" t="s">
        <v>23</v>
      </c>
      <c r="E4693">
        <v>39</v>
      </c>
      <c r="G4693" t="s">
        <v>996</v>
      </c>
      <c r="H4693">
        <v>183400</v>
      </c>
      <c r="I4693" s="1" t="d">
        <v>2022-06-22</v>
      </c>
      <c r="J4693" t="s">
        <v>2439</v>
      </c>
      <c r="K4693" s="17" t="s">
        <v>34</v>
      </c>
      <c r="L4693">
        <v>4</v>
      </c>
    </row>
    <row r="4694" spans="1:12" x14ac:dyDescent="0.25">
      <c r="A4694" t="s">
        <v>9089</v>
      </c>
      <c r="B4694" t="s">
        <v>874</v>
      </c>
      <c r="C4694" t="s">
        <v>61</v>
      </c>
      <c r="D4694" t="s">
        <v>46</v>
      </c>
      <c r="E4694">
        <v>35</v>
      </c>
      <c r="F4694" t="s">
        <v>114</v>
      </c>
      <c r="G4694" t="s">
        <v>48</v>
      </c>
      <c r="H4694" t="s">
        <v>9090</v>
      </c>
      <c r="I4694" s="1" t="d">
        <v>2017-01-13</v>
      </c>
      <c r="J4694" t="s">
        <v>9091</v>
      </c>
      <c r="K4694" s="17" t="s">
        <v>19</v>
      </c>
      <c r="L4694">
        <v>3</v>
      </c>
    </row>
    <row r="4695" spans="1:12" x14ac:dyDescent="0.25">
      <c r="A4695" t="s">
        <v>9092</v>
      </c>
      <c r="B4695" t="s">
        <v>949</v>
      </c>
      <c r="C4695" t="s">
        <v>175</v>
      </c>
      <c r="D4695" t="s">
        <v>23</v>
      </c>
      <c r="E4695">
        <v>47</v>
      </c>
      <c r="F4695" t="s">
        <v>153</v>
      </c>
      <c r="G4695" t="s">
        <v>82</v>
      </c>
      <c r="H4695">
        <v>71398</v>
      </c>
      <c r="I4695" s="1" t="d">
        <v>2012-05-01</v>
      </c>
      <c r="J4695" t="s">
        <v>396</v>
      </c>
      <c r="K4695" s="17" t="s">
        <v>58</v>
      </c>
      <c r="L4695">
        <v>3</v>
      </c>
    </row>
    <row r="4696" spans="1:12" x14ac:dyDescent="0.25">
      <c r="A4696" t="s">
        <v>9093</v>
      </c>
      <c r="B4696" t="s">
        <v>267</v>
      </c>
      <c r="C4696" t="s">
        <v>225</v>
      </c>
      <c r="D4696" t="s">
        <v>23</v>
      </c>
      <c r="E4696">
        <v>56</v>
      </c>
      <c r="F4696" t="s">
        <v>373</v>
      </c>
      <c r="G4696" t="s">
        <v>351</v>
      </c>
      <c r="H4696" s="2">
        <v>84822</v>
      </c>
      <c r="I4696" s="1" t="d">
        <v>2019-03-29</v>
      </c>
      <c r="J4696" t="s">
        <v>2136</v>
      </c>
      <c r="K4696" s="17" t="s">
        <v>19</v>
      </c>
      <c r="L4696">
        <v>5</v>
      </c>
    </row>
    <row r="4697" spans="1:12" x14ac:dyDescent="0.25">
      <c r="A4697" t="s">
        <v>9094</v>
      </c>
      <c r="B4697" t="s">
        <v>120</v>
      </c>
      <c r="C4697" t="s">
        <v>729</v>
      </c>
      <c r="D4697" t="s">
        <v>23</v>
      </c>
      <c r="E4697">
        <v>56</v>
      </c>
      <c r="F4697" t="s">
        <v>3794</v>
      </c>
      <c r="G4697" t="s">
        <v>170</v>
      </c>
      <c r="H4697">
        <v>64123</v>
      </c>
      <c r="I4697" s="1" t="d">
        <v>2023-11-16</v>
      </c>
      <c r="J4697" t="s">
        <v>2173</v>
      </c>
      <c r="K4697" s="17" t="s">
        <v>370</v>
      </c>
      <c r="L4697">
        <v>2</v>
      </c>
    </row>
    <row r="4698" spans="1:12" x14ac:dyDescent="0.25">
      <c r="A4698" t="s">
        <v>5454</v>
      </c>
      <c r="B4698" t="s">
        <v>3743</v>
      </c>
      <c r="C4698" t="s">
        <v>696</v>
      </c>
      <c r="D4698" t="s">
        <v>9527</v>
      </c>
      <c r="E4698">
        <v>43</v>
      </c>
      <c r="F4698" t="s">
        <v>169</v>
      </c>
      <c r="G4698" t="s">
        <v>115</v>
      </c>
      <c r="H4698" s="2">
        <v>60646</v>
      </c>
      <c r="I4698" s="1" t="d">
        <v>2007-01-22</v>
      </c>
      <c r="J4698" t="s">
        <v>5455</v>
      </c>
      <c r="K4698" s="17" t="s">
        <v>184</v>
      </c>
      <c r="L4698">
        <v>5</v>
      </c>
    </row>
    <row r="4699" spans="1:12" x14ac:dyDescent="0.25">
      <c r="A4699" t="s">
        <v>9095</v>
      </c>
      <c r="B4699" t="s">
        <v>1715</v>
      </c>
      <c r="C4699" t="s">
        <v>215</v>
      </c>
      <c r="D4699" t="s">
        <v>9527</v>
      </c>
      <c r="E4699">
        <v>21</v>
      </c>
      <c r="F4699" t="s">
        <v>406</v>
      </c>
      <c r="G4699" t="s">
        <v>191</v>
      </c>
      <c r="I4699" s="1" t="d">
        <v>2012-10-01</v>
      </c>
      <c r="J4699" t="s">
        <v>1684</v>
      </c>
      <c r="K4699" s="17" t="s">
        <v>42</v>
      </c>
      <c r="L4699">
        <v>3</v>
      </c>
    </row>
    <row r="4700" spans="1:12" x14ac:dyDescent="0.25">
      <c r="A4700" t="s">
        <v>9096</v>
      </c>
      <c r="B4700" t="s">
        <v>520</v>
      </c>
      <c r="C4700" t="s">
        <v>512</v>
      </c>
      <c r="D4700" t="s">
        <v>9527</v>
      </c>
      <c r="E4700">
        <v>40</v>
      </c>
      <c r="F4700" t="s">
        <v>645</v>
      </c>
      <c r="G4700" t="s">
        <v>357</v>
      </c>
      <c r="I4700" s="1" t="d">
        <v>2020-05-27</v>
      </c>
      <c r="J4700" t="s">
        <v>5643</v>
      </c>
      <c r="K4700" s="17" t="s">
        <v>58</v>
      </c>
      <c r="L4700">
        <v>3</v>
      </c>
    </row>
    <row r="4701" spans="1:12" x14ac:dyDescent="0.25">
      <c r="A4701" t="s">
        <v>9097</v>
      </c>
      <c r="B4701" t="s">
        <v>151</v>
      </c>
      <c r="C4701" t="s">
        <v>22</v>
      </c>
      <c r="D4701" t="s">
        <v>9527</v>
      </c>
      <c r="E4701">
        <v>33</v>
      </c>
      <c r="G4701" t="s">
        <v>967</v>
      </c>
      <c r="H4701" s="2">
        <v>75638</v>
      </c>
      <c r="I4701" s="1" t="d">
        <v>2005-03-17</v>
      </c>
      <c r="J4701" t="s">
        <v>3052</v>
      </c>
      <c r="K4701" s="17" t="s">
        <v>34</v>
      </c>
      <c r="L4701">
        <v>3</v>
      </c>
    </row>
    <row r="4702" spans="1:12" x14ac:dyDescent="0.25">
      <c r="A4702" t="s">
        <v>9098</v>
      </c>
      <c r="B4702" t="s">
        <v>833</v>
      </c>
      <c r="C4702" t="s">
        <v>9099</v>
      </c>
      <c r="D4702" t="s">
        <v>9527</v>
      </c>
      <c r="E4702">
        <v>45</v>
      </c>
      <c r="F4702" t="s">
        <v>649</v>
      </c>
      <c r="G4702" t="s">
        <v>278</v>
      </c>
      <c r="H4702" t="s">
        <v>9100</v>
      </c>
      <c r="I4702" s="1" t="d">
        <v>2020-01-23</v>
      </c>
      <c r="J4702" t="s">
        <v>4802</v>
      </c>
      <c r="K4702" s="17" t="s">
        <v>71</v>
      </c>
      <c r="L4702">
        <v>5</v>
      </c>
    </row>
    <row r="4703" spans="1:12" x14ac:dyDescent="0.25">
      <c r="A4703" t="s">
        <v>9101</v>
      </c>
      <c r="B4703" t="s">
        <v>2252</v>
      </c>
      <c r="C4703" t="s">
        <v>9102</v>
      </c>
      <c r="D4703" t="s">
        <v>46</v>
      </c>
      <c r="E4703">
        <v>45</v>
      </c>
      <c r="F4703" t="s">
        <v>253</v>
      </c>
      <c r="G4703" t="s">
        <v>458</v>
      </c>
      <c r="H4703" s="2">
        <v>58867</v>
      </c>
      <c r="I4703" s="1" t="d">
        <v>2009-03-28</v>
      </c>
      <c r="J4703" t="s">
        <v>4676</v>
      </c>
      <c r="K4703" s="17" t="s">
        <v>100</v>
      </c>
      <c r="L4703">
        <v>1</v>
      </c>
    </row>
    <row r="4704" spans="1:12" x14ac:dyDescent="0.25">
      <c r="A4704" t="s">
        <v>9103</v>
      </c>
      <c r="B4704" t="s">
        <v>993</v>
      </c>
      <c r="C4704" t="s">
        <v>7377</v>
      </c>
      <c r="D4704" t="s">
        <v>23</v>
      </c>
      <c r="E4704">
        <v>38</v>
      </c>
      <c r="F4704" t="s">
        <v>196</v>
      </c>
      <c r="G4704" t="s">
        <v>170</v>
      </c>
      <c r="H4704" t="s">
        <v>9104</v>
      </c>
      <c r="I4704" s="1" t="d">
        <v>2024-08-03</v>
      </c>
      <c r="J4704" t="s">
        <v>4556</v>
      </c>
      <c r="K4704" s="17" t="s">
        <v>34</v>
      </c>
      <c r="L4704">
        <v>4</v>
      </c>
    </row>
    <row r="4705" spans="1:12" x14ac:dyDescent="0.25">
      <c r="A4705" t="s">
        <v>9105</v>
      </c>
      <c r="B4705" t="s">
        <v>13</v>
      </c>
      <c r="C4705" t="s">
        <v>1881</v>
      </c>
      <c r="D4705" t="s">
        <v>46</v>
      </c>
      <c r="E4705">
        <v>33</v>
      </c>
      <c r="F4705" t="s">
        <v>399</v>
      </c>
      <c r="G4705" t="s">
        <v>69</v>
      </c>
      <c r="H4705">
        <v>57187</v>
      </c>
      <c r="I4705" s="1" t="d">
        <v>2021-01-27</v>
      </c>
      <c r="J4705" t="s">
        <v>2527</v>
      </c>
      <c r="K4705" s="17" t="s">
        <v>50</v>
      </c>
      <c r="L4705">
        <v>3</v>
      </c>
    </row>
    <row r="4706" spans="1:12" x14ac:dyDescent="0.25">
      <c r="A4706" t="s">
        <v>9106</v>
      </c>
      <c r="B4706" t="s">
        <v>1738</v>
      </c>
      <c r="C4706" t="s">
        <v>405</v>
      </c>
      <c r="D4706" t="s">
        <v>23</v>
      </c>
      <c r="E4706">
        <v>44</v>
      </c>
      <c r="F4706" t="s">
        <v>68</v>
      </c>
      <c r="G4706" t="s">
        <v>16</v>
      </c>
      <c r="H4706" s="2">
        <v>116200</v>
      </c>
      <c r="I4706" s="1" t="d">
        <v>2020-08-03</v>
      </c>
      <c r="J4706" t="s">
        <v>979</v>
      </c>
      <c r="K4706" s="17" t="s">
        <v>370</v>
      </c>
      <c r="L4706">
        <v>4</v>
      </c>
    </row>
    <row r="4707" spans="1:12" x14ac:dyDescent="0.25">
      <c r="A4707" t="s">
        <v>9107</v>
      </c>
      <c r="B4707" t="s">
        <v>120</v>
      </c>
      <c r="C4707" t="s">
        <v>961</v>
      </c>
      <c r="D4707" t="s">
        <v>46</v>
      </c>
      <c r="E4707">
        <v>56</v>
      </c>
      <c r="F4707" t="s">
        <v>68</v>
      </c>
      <c r="G4707" t="s">
        <v>217</v>
      </c>
      <c r="H4707">
        <v>121844</v>
      </c>
      <c r="I4707" s="1" t="d">
        <v>2021-11-08</v>
      </c>
      <c r="J4707" t="s">
        <v>3915</v>
      </c>
      <c r="K4707" s="17" t="s">
        <v>42</v>
      </c>
      <c r="L4707">
        <v>4</v>
      </c>
    </row>
    <row r="4708" spans="1:12" x14ac:dyDescent="0.25">
      <c r="A4708" t="s">
        <v>6497</v>
      </c>
      <c r="B4708" t="s">
        <v>664</v>
      </c>
      <c r="C4708" t="s">
        <v>8628</v>
      </c>
      <c r="D4708" t="s">
        <v>23</v>
      </c>
      <c r="E4708">
        <v>37</v>
      </c>
      <c r="F4708" t="s">
        <v>918</v>
      </c>
      <c r="G4708" t="s">
        <v>1556</v>
      </c>
      <c r="I4708" s="1" t="d">
        <v>2019-12-18</v>
      </c>
      <c r="J4708" t="s">
        <v>2229</v>
      </c>
      <c r="K4708" s="17" t="s">
        <v>370</v>
      </c>
      <c r="L4708">
        <v>3</v>
      </c>
    </row>
    <row r="4709" spans="1:12" x14ac:dyDescent="0.25">
      <c r="A4709" t="s">
        <v>9108</v>
      </c>
      <c r="B4709" t="s">
        <v>13</v>
      </c>
      <c r="C4709" t="s">
        <v>158</v>
      </c>
      <c r="D4709" t="s">
        <v>9527</v>
      </c>
      <c r="E4709">
        <v>38</v>
      </c>
      <c r="F4709" t="s">
        <v>196</v>
      </c>
      <c r="G4709" t="s">
        <v>63</v>
      </c>
      <c r="H4709" t="s">
        <v>9109</v>
      </c>
      <c r="I4709" s="1" t="d">
        <v>2020-08-01</v>
      </c>
      <c r="J4709" t="s">
        <v>18</v>
      </c>
      <c r="K4709" s="17" t="s">
        <v>19</v>
      </c>
      <c r="L4709">
        <v>3</v>
      </c>
    </row>
    <row r="4710" spans="1:12" x14ac:dyDescent="0.25">
      <c r="A4710" t="s">
        <v>9110</v>
      </c>
      <c r="B4710" t="s">
        <v>315</v>
      </c>
      <c r="C4710" t="s">
        <v>2926</v>
      </c>
      <c r="D4710" t="s">
        <v>23</v>
      </c>
      <c r="E4710">
        <v>40</v>
      </c>
      <c r="F4710" t="s">
        <v>666</v>
      </c>
      <c r="G4710" t="s">
        <v>48</v>
      </c>
      <c r="H4710" t="s">
        <v>9111</v>
      </c>
      <c r="I4710" s="1" t="d">
        <v>2014-07-13</v>
      </c>
      <c r="J4710" t="s">
        <v>7225</v>
      </c>
      <c r="K4710" s="17" t="s">
        <v>27</v>
      </c>
      <c r="L4710">
        <v>4</v>
      </c>
    </row>
    <row r="4711" spans="1:12" x14ac:dyDescent="0.25">
      <c r="A4711" t="s">
        <v>9112</v>
      </c>
      <c r="B4711" t="s">
        <v>439</v>
      </c>
      <c r="C4711" t="s">
        <v>9113</v>
      </c>
      <c r="D4711" t="s">
        <v>9527</v>
      </c>
      <c r="E4711">
        <v>47</v>
      </c>
      <c r="G4711" t="s">
        <v>170</v>
      </c>
      <c r="I4711" s="1" t="d">
        <v>2017-10-06</v>
      </c>
      <c r="J4711" t="s">
        <v>442</v>
      </c>
      <c r="K4711" s="17" t="s">
        <v>27</v>
      </c>
      <c r="L4711">
        <v>4</v>
      </c>
    </row>
    <row r="4712" spans="1:12" x14ac:dyDescent="0.25">
      <c r="A4712" t="s">
        <v>9114</v>
      </c>
      <c r="B4712" t="s">
        <v>841</v>
      </c>
      <c r="C4712" t="s">
        <v>204</v>
      </c>
      <c r="D4712" t="s">
        <v>46</v>
      </c>
      <c r="E4712">
        <v>32</v>
      </c>
      <c r="G4712" t="s">
        <v>39</v>
      </c>
      <c r="H4712" s="2">
        <v>48693</v>
      </c>
      <c r="I4712" s="1" t="d">
        <v>2011-06-30</v>
      </c>
      <c r="J4712" t="s">
        <v>7225</v>
      </c>
      <c r="K4712" s="17" t="s">
        <v>370</v>
      </c>
      <c r="L4712">
        <v>2</v>
      </c>
    </row>
    <row r="4713" spans="1:12" x14ac:dyDescent="0.25">
      <c r="A4713" t="s">
        <v>9115</v>
      </c>
      <c r="B4713" t="s">
        <v>248</v>
      </c>
      <c r="C4713" t="s">
        <v>758</v>
      </c>
      <c r="D4713" t="s">
        <v>46</v>
      </c>
      <c r="E4713">
        <v>42</v>
      </c>
      <c r="F4713" t="s">
        <v>75</v>
      </c>
      <c r="G4713" t="s">
        <v>526</v>
      </c>
      <c r="H4713" t="s">
        <v>9116</v>
      </c>
      <c r="I4713" s="1" t="d">
        <v>2011-03-11</v>
      </c>
      <c r="J4713" t="s">
        <v>9117</v>
      </c>
      <c r="K4713" s="17" t="s">
        <v>370</v>
      </c>
      <c r="L4713">
        <v>3</v>
      </c>
    </row>
    <row r="4714" spans="1:12" x14ac:dyDescent="0.25">
      <c r="A4714" t="s">
        <v>9118</v>
      </c>
      <c r="B4714" t="s">
        <v>931</v>
      </c>
      <c r="C4714" t="s">
        <v>5307</v>
      </c>
      <c r="D4714" t="s">
        <v>9527</v>
      </c>
      <c r="E4714">
        <v>31</v>
      </c>
      <c r="F4714" t="s">
        <v>356</v>
      </c>
      <c r="G4714" t="s">
        <v>82</v>
      </c>
      <c r="I4714" s="1" t="d">
        <v>2021-10-19</v>
      </c>
      <c r="J4714" t="s">
        <v>2881</v>
      </c>
      <c r="K4714" s="17" t="s">
        <v>100</v>
      </c>
      <c r="L4714">
        <v>5</v>
      </c>
    </row>
    <row r="4715" spans="1:12" x14ac:dyDescent="0.25">
      <c r="A4715" t="s">
        <v>5104</v>
      </c>
      <c r="B4715" t="s">
        <v>4573</v>
      </c>
      <c r="C4715" t="s">
        <v>5105</v>
      </c>
      <c r="D4715" t="s">
        <v>23</v>
      </c>
      <c r="E4715">
        <v>31</v>
      </c>
      <c r="F4715" t="s">
        <v>978</v>
      </c>
      <c r="G4715" t="s">
        <v>1828</v>
      </c>
      <c r="H4715" t="s">
        <v>5106</v>
      </c>
      <c r="I4715" s="1" t="d">
        <v>2019-04-19</v>
      </c>
      <c r="J4715" t="s">
        <v>5107</v>
      </c>
      <c r="K4715" s="17" t="s">
        <v>90</v>
      </c>
      <c r="L4715">
        <v>4</v>
      </c>
    </row>
    <row r="4716" spans="1:12" x14ac:dyDescent="0.25">
      <c r="A4716" t="s">
        <v>9119</v>
      </c>
      <c r="B4716" t="s">
        <v>630</v>
      </c>
      <c r="C4716" t="s">
        <v>1442</v>
      </c>
      <c r="D4716" t="s">
        <v>46</v>
      </c>
      <c r="E4716">
        <v>46</v>
      </c>
      <c r="G4716" t="s">
        <v>48</v>
      </c>
      <c r="H4716" t="s">
        <v>9120</v>
      </c>
      <c r="I4716" s="1" t="d">
        <v>2012-05-02</v>
      </c>
      <c r="J4716" t="s">
        <v>1497</v>
      </c>
      <c r="K4716" s="17" t="s">
        <v>58</v>
      </c>
      <c r="L4716">
        <v>3</v>
      </c>
    </row>
    <row r="4717" spans="1:12" x14ac:dyDescent="0.25">
      <c r="A4717" t="s">
        <v>9121</v>
      </c>
      <c r="B4717" t="s">
        <v>1784</v>
      </c>
      <c r="C4717" t="s">
        <v>4920</v>
      </c>
      <c r="D4717" t="s">
        <v>46</v>
      </c>
      <c r="E4717">
        <v>38</v>
      </c>
      <c r="F4717" t="s">
        <v>2065</v>
      </c>
      <c r="G4717" t="s">
        <v>115</v>
      </c>
      <c r="H4717" t="s">
        <v>9122</v>
      </c>
      <c r="J4717" t="s">
        <v>3613</v>
      </c>
      <c r="K4717" s="17" t="s">
        <v>370</v>
      </c>
      <c r="L4717">
        <v>5</v>
      </c>
    </row>
    <row r="4718" spans="1:12" x14ac:dyDescent="0.25">
      <c r="A4718" t="s">
        <v>9123</v>
      </c>
      <c r="B4718" t="s">
        <v>6733</v>
      </c>
      <c r="C4718" t="s">
        <v>107</v>
      </c>
      <c r="D4718" t="s">
        <v>9527</v>
      </c>
      <c r="E4718">
        <v>51</v>
      </c>
      <c r="F4718" t="s">
        <v>264</v>
      </c>
      <c r="G4718" t="s">
        <v>526</v>
      </c>
      <c r="I4718" s="1" t="d">
        <v>2020-02-16</v>
      </c>
      <c r="J4718" t="s">
        <v>3033</v>
      </c>
      <c r="K4718" s="17" t="s">
        <v>118</v>
      </c>
      <c r="L4718">
        <v>3</v>
      </c>
    </row>
    <row r="4719" spans="1:12" x14ac:dyDescent="0.25">
      <c r="A4719" t="s">
        <v>9124</v>
      </c>
      <c r="B4719" t="s">
        <v>404</v>
      </c>
      <c r="C4719" t="s">
        <v>631</v>
      </c>
      <c r="D4719" t="s">
        <v>23</v>
      </c>
      <c r="E4719">
        <v>32</v>
      </c>
      <c r="F4719" t="s">
        <v>253</v>
      </c>
      <c r="G4719" t="s">
        <v>191</v>
      </c>
      <c r="I4719" s="1" t="d">
        <v>2005-05-29</v>
      </c>
      <c r="J4719" t="s">
        <v>1372</v>
      </c>
      <c r="K4719" s="17" t="s">
        <v>370</v>
      </c>
      <c r="L4719">
        <v>3</v>
      </c>
    </row>
    <row r="4720" spans="1:12" x14ac:dyDescent="0.25">
      <c r="A4720" t="s">
        <v>4525</v>
      </c>
      <c r="B4720" t="s">
        <v>174</v>
      </c>
      <c r="C4720" t="s">
        <v>1943</v>
      </c>
      <c r="D4720" t="s">
        <v>9527</v>
      </c>
      <c r="E4720">
        <v>40</v>
      </c>
      <c r="F4720" t="s">
        <v>153</v>
      </c>
      <c r="G4720" t="s">
        <v>177</v>
      </c>
      <c r="I4720" s="1" t="d">
        <v>2014-02-01</v>
      </c>
      <c r="J4720" t="s">
        <v>1946</v>
      </c>
      <c r="K4720" s="17" t="s">
        <v>184</v>
      </c>
      <c r="L4720">
        <v>2</v>
      </c>
    </row>
    <row r="4721" spans="1:12" x14ac:dyDescent="0.25">
      <c r="A4721" t="s">
        <v>9125</v>
      </c>
      <c r="B4721" t="s">
        <v>167</v>
      </c>
      <c r="C4721" t="s">
        <v>2768</v>
      </c>
      <c r="D4721" t="s">
        <v>9527</v>
      </c>
      <c r="E4721">
        <v>45</v>
      </c>
      <c r="F4721" t="s">
        <v>373</v>
      </c>
      <c r="G4721" t="s">
        <v>63</v>
      </c>
      <c r="H4721" t="s">
        <v>9126</v>
      </c>
      <c r="J4721" t="s">
        <v>2671</v>
      </c>
      <c r="K4721" s="17" t="s">
        <v>50</v>
      </c>
      <c r="L4721">
        <v>3</v>
      </c>
    </row>
    <row r="4722" spans="1:12" x14ac:dyDescent="0.25">
      <c r="A4722" t="s">
        <v>9127</v>
      </c>
      <c r="B4722" t="s">
        <v>1476</v>
      </c>
      <c r="C4722" t="s">
        <v>665</v>
      </c>
      <c r="D4722" t="s">
        <v>46</v>
      </c>
      <c r="E4722">
        <v>46</v>
      </c>
      <c r="F4722" t="s">
        <v>365</v>
      </c>
      <c r="G4722" t="s">
        <v>115</v>
      </c>
      <c r="H4722" t="s">
        <v>9128</v>
      </c>
      <c r="I4722" s="1" t="d">
        <v>2011-03-13</v>
      </c>
      <c r="J4722" t="s">
        <v>7145</v>
      </c>
      <c r="K4722" s="17" t="s">
        <v>118</v>
      </c>
      <c r="L4722">
        <v>5</v>
      </c>
    </row>
    <row r="4723" spans="1:12" x14ac:dyDescent="0.25">
      <c r="A4723" t="s">
        <v>7932</v>
      </c>
      <c r="B4723" t="s">
        <v>826</v>
      </c>
      <c r="C4723" t="s">
        <v>1734</v>
      </c>
      <c r="D4723" t="s">
        <v>23</v>
      </c>
      <c r="E4723">
        <v>33</v>
      </c>
      <c r="F4723" t="s">
        <v>238</v>
      </c>
      <c r="G4723" t="s">
        <v>638</v>
      </c>
      <c r="H4723" t="s">
        <v>962</v>
      </c>
      <c r="I4723" s="1" t="d">
        <v>2015-06-21</v>
      </c>
      <c r="J4723" t="s">
        <v>7799</v>
      </c>
      <c r="K4723" s="17" t="s">
        <v>50</v>
      </c>
      <c r="L4723">
        <v>4</v>
      </c>
    </row>
    <row r="4724" spans="1:12" x14ac:dyDescent="0.25">
      <c r="A4724" t="s">
        <v>9129</v>
      </c>
      <c r="B4724" t="s">
        <v>130</v>
      </c>
      <c r="C4724" t="s">
        <v>488</v>
      </c>
      <c r="D4724" t="s">
        <v>23</v>
      </c>
      <c r="E4724">
        <v>23</v>
      </c>
      <c r="F4724" t="s">
        <v>576</v>
      </c>
      <c r="G4724" t="s">
        <v>1164</v>
      </c>
      <c r="H4724">
        <v>122969</v>
      </c>
      <c r="I4724" s="1" t="d">
        <v>2018-02-02</v>
      </c>
      <c r="J4724" t="s">
        <v>2533</v>
      </c>
      <c r="K4724" s="17" t="s">
        <v>58</v>
      </c>
      <c r="L4724">
        <v>3</v>
      </c>
    </row>
    <row r="4725" spans="1:12" x14ac:dyDescent="0.25">
      <c r="A4725" t="s">
        <v>9130</v>
      </c>
      <c r="B4725" t="s">
        <v>702</v>
      </c>
      <c r="C4725" t="s">
        <v>898</v>
      </c>
      <c r="D4725" t="s">
        <v>46</v>
      </c>
      <c r="E4725">
        <v>36</v>
      </c>
      <c r="F4725" t="s">
        <v>666</v>
      </c>
      <c r="G4725" t="s">
        <v>16</v>
      </c>
      <c r="H4725" s="2">
        <v>82167</v>
      </c>
      <c r="I4725" s="1" t="d">
        <v>2017-06-21</v>
      </c>
      <c r="J4725" t="s">
        <v>1999</v>
      </c>
      <c r="K4725" s="17" t="s">
        <v>50</v>
      </c>
      <c r="L4725">
        <v>3</v>
      </c>
    </row>
    <row r="4726" spans="1:12" x14ac:dyDescent="0.25">
      <c r="A4726" t="s">
        <v>9131</v>
      </c>
      <c r="B4726" t="s">
        <v>1172</v>
      </c>
      <c r="C4726" t="s">
        <v>453</v>
      </c>
      <c r="D4726" t="s">
        <v>23</v>
      </c>
      <c r="E4726">
        <v>37</v>
      </c>
      <c r="F4726" t="s">
        <v>319</v>
      </c>
      <c r="G4726" t="s">
        <v>205</v>
      </c>
      <c r="H4726" t="s">
        <v>9132</v>
      </c>
      <c r="I4726" s="1" t="d">
        <v>2011-01-14</v>
      </c>
      <c r="J4726" t="s">
        <v>4295</v>
      </c>
      <c r="K4726" s="17" t="s">
        <v>149</v>
      </c>
      <c r="L4726">
        <v>4</v>
      </c>
    </row>
    <row r="4727" spans="1:12" x14ac:dyDescent="0.25">
      <c r="A4727" t="s">
        <v>9133</v>
      </c>
      <c r="B4727" t="s">
        <v>1342</v>
      </c>
      <c r="C4727" t="s">
        <v>103</v>
      </c>
      <c r="D4727" t="s">
        <v>23</v>
      </c>
      <c r="E4727">
        <v>37</v>
      </c>
      <c r="F4727" t="s">
        <v>196</v>
      </c>
      <c r="G4727" t="s">
        <v>39</v>
      </c>
      <c r="H4727" t="s">
        <v>9134</v>
      </c>
      <c r="I4727" s="1" t="d">
        <v>2013-10-29</v>
      </c>
      <c r="J4727" t="s">
        <v>2099</v>
      </c>
      <c r="K4727" s="17" t="s">
        <v>27</v>
      </c>
      <c r="L4727">
        <v>5</v>
      </c>
    </row>
    <row r="4728" spans="1:12" x14ac:dyDescent="0.25">
      <c r="A4728" t="s">
        <v>9135</v>
      </c>
      <c r="B4728" t="s">
        <v>1784</v>
      </c>
      <c r="C4728" t="s">
        <v>318</v>
      </c>
      <c r="D4728" t="s">
        <v>46</v>
      </c>
      <c r="E4728">
        <v>27</v>
      </c>
      <c r="F4728" t="s">
        <v>1385</v>
      </c>
      <c r="G4728" t="s">
        <v>82</v>
      </c>
      <c r="H4728" t="s">
        <v>9136</v>
      </c>
      <c r="I4728" s="1" t="d">
        <v>2016-11-13</v>
      </c>
      <c r="J4728" t="s">
        <v>3572</v>
      </c>
      <c r="K4728" s="17" t="s">
        <v>50</v>
      </c>
      <c r="L4728">
        <v>5</v>
      </c>
    </row>
    <row r="4729" spans="1:12" x14ac:dyDescent="0.25">
      <c r="A4729" t="s">
        <v>9137</v>
      </c>
      <c r="B4729" t="s">
        <v>2697</v>
      </c>
      <c r="C4729" t="s">
        <v>252</v>
      </c>
      <c r="D4729" t="s">
        <v>23</v>
      </c>
      <c r="E4729">
        <v>28</v>
      </c>
      <c r="G4729" t="s">
        <v>48</v>
      </c>
      <c r="H4729" t="s">
        <v>9138</v>
      </c>
      <c r="I4729" s="1" t="d">
        <v>2008-04-27</v>
      </c>
      <c r="J4729" t="s">
        <v>501</v>
      </c>
      <c r="K4729" s="17" t="s">
        <v>27</v>
      </c>
      <c r="L4729">
        <v>4</v>
      </c>
    </row>
    <row r="4730" spans="1:12" x14ac:dyDescent="0.25">
      <c r="A4730" t="s">
        <v>9139</v>
      </c>
      <c r="B4730" t="s">
        <v>9140</v>
      </c>
      <c r="C4730" t="s">
        <v>631</v>
      </c>
      <c r="D4730" t="s">
        <v>9527</v>
      </c>
      <c r="E4730">
        <v>21</v>
      </c>
      <c r="F4730" t="s">
        <v>2065</v>
      </c>
      <c r="G4730" t="s">
        <v>177</v>
      </c>
      <c r="H4730" t="s">
        <v>9141</v>
      </c>
      <c r="I4730" s="1" t="d">
        <v>2011-05-20</v>
      </c>
      <c r="J4730" t="s">
        <v>1915</v>
      </c>
      <c r="K4730" s="17" t="s">
        <v>50</v>
      </c>
      <c r="L4730">
        <v>1</v>
      </c>
    </row>
    <row r="4731" spans="1:12" x14ac:dyDescent="0.25">
      <c r="A4731" t="s">
        <v>9142</v>
      </c>
      <c r="B4731" t="s">
        <v>2197</v>
      </c>
      <c r="C4731" t="s">
        <v>152</v>
      </c>
      <c r="D4731" t="s">
        <v>9527</v>
      </c>
      <c r="E4731">
        <v>29</v>
      </c>
      <c r="F4731" t="s">
        <v>859</v>
      </c>
      <c r="G4731" t="s">
        <v>115</v>
      </c>
      <c r="H4731">
        <v>67521</v>
      </c>
      <c r="J4731" t="s">
        <v>6665</v>
      </c>
      <c r="K4731" s="17" t="s">
        <v>149</v>
      </c>
      <c r="L4731">
        <v>3</v>
      </c>
    </row>
    <row r="4732" spans="1:12" x14ac:dyDescent="0.25">
      <c r="A4732" t="s">
        <v>9143</v>
      </c>
      <c r="B4732" t="s">
        <v>1403</v>
      </c>
      <c r="C4732" t="s">
        <v>2064</v>
      </c>
      <c r="D4732" t="s">
        <v>46</v>
      </c>
      <c r="E4732">
        <v>26</v>
      </c>
      <c r="F4732" t="s">
        <v>666</v>
      </c>
      <c r="G4732" t="s">
        <v>39</v>
      </c>
      <c r="I4732" s="1" t="d">
        <v>2005-12-18</v>
      </c>
      <c r="J4732" t="s">
        <v>839</v>
      </c>
      <c r="K4732" s="17" t="s">
        <v>370</v>
      </c>
      <c r="L4732">
        <v>5</v>
      </c>
    </row>
    <row r="4733" spans="1:12" x14ac:dyDescent="0.25">
      <c r="A4733" t="s">
        <v>8363</v>
      </c>
      <c r="B4733" t="s">
        <v>746</v>
      </c>
      <c r="C4733" t="s">
        <v>660</v>
      </c>
      <c r="D4733" t="s">
        <v>23</v>
      </c>
      <c r="E4733">
        <v>40</v>
      </c>
      <c r="F4733" t="s">
        <v>576</v>
      </c>
      <c r="G4733" t="s">
        <v>8364</v>
      </c>
      <c r="H4733" s="2">
        <v>144662</v>
      </c>
      <c r="I4733" s="1" t="d">
        <v>2007-03-30</v>
      </c>
      <c r="J4733" t="s">
        <v>8365</v>
      </c>
      <c r="K4733" s="17" t="s">
        <v>27</v>
      </c>
      <c r="L4733">
        <v>4</v>
      </c>
    </row>
    <row r="4734" spans="1:12" x14ac:dyDescent="0.25">
      <c r="A4734" t="s">
        <v>9144</v>
      </c>
      <c r="B4734" t="s">
        <v>3764</v>
      </c>
      <c r="C4734" t="s">
        <v>210</v>
      </c>
      <c r="D4734" t="s">
        <v>46</v>
      </c>
      <c r="E4734">
        <v>33</v>
      </c>
      <c r="F4734" t="s">
        <v>2771</v>
      </c>
      <c r="G4734" t="s">
        <v>82</v>
      </c>
      <c r="I4734" s="1" t="d">
        <v>2011-06-23</v>
      </c>
      <c r="J4734" t="s">
        <v>2219</v>
      </c>
      <c r="K4734" s="17" t="s">
        <v>34</v>
      </c>
      <c r="L4734">
        <v>4</v>
      </c>
    </row>
    <row r="4735" spans="1:12" x14ac:dyDescent="0.25">
      <c r="A4735" t="s">
        <v>9145</v>
      </c>
      <c r="B4735" t="s">
        <v>410</v>
      </c>
      <c r="C4735" t="s">
        <v>244</v>
      </c>
      <c r="D4735" t="s">
        <v>9527</v>
      </c>
      <c r="E4735">
        <v>47</v>
      </c>
      <c r="G4735" t="s">
        <v>82</v>
      </c>
      <c r="H4735" t="s">
        <v>9146</v>
      </c>
      <c r="I4735" s="1" t="d">
        <v>2023-08-23</v>
      </c>
      <c r="J4735" t="s">
        <v>8104</v>
      </c>
      <c r="K4735" s="17" t="s">
        <v>34</v>
      </c>
      <c r="L4735">
        <v>4</v>
      </c>
    </row>
    <row r="4736" spans="1:12" x14ac:dyDescent="0.25">
      <c r="A4736" t="s">
        <v>9147</v>
      </c>
      <c r="B4736" t="s">
        <v>520</v>
      </c>
      <c r="C4736" t="s">
        <v>462</v>
      </c>
      <c r="D4736" t="s">
        <v>23</v>
      </c>
      <c r="E4736">
        <v>35</v>
      </c>
      <c r="F4736" t="s">
        <v>15</v>
      </c>
      <c r="G4736" t="s">
        <v>842</v>
      </c>
      <c r="I4736" s="1" t="d">
        <v>2022-12-10</v>
      </c>
      <c r="J4736" t="s">
        <v>3496</v>
      </c>
      <c r="K4736" s="17" t="s">
        <v>71</v>
      </c>
      <c r="L4736">
        <v>3</v>
      </c>
    </row>
    <row r="4737" spans="1:12" x14ac:dyDescent="0.25">
      <c r="A4737" t="s">
        <v>9148</v>
      </c>
      <c r="B4737" t="s">
        <v>804</v>
      </c>
      <c r="C4737" t="s">
        <v>140</v>
      </c>
      <c r="D4737" t="s">
        <v>9527</v>
      </c>
      <c r="E4737">
        <v>37</v>
      </c>
      <c r="F4737" t="s">
        <v>296</v>
      </c>
      <c r="G4737" t="s">
        <v>191</v>
      </c>
      <c r="H4737">
        <v>81086</v>
      </c>
      <c r="I4737" s="1" t="d">
        <v>2020-12-09</v>
      </c>
      <c r="J4737" t="s">
        <v>1289</v>
      </c>
      <c r="K4737" s="17" t="s">
        <v>207</v>
      </c>
      <c r="L4737">
        <v>3</v>
      </c>
    </row>
    <row r="4738" spans="1:12" x14ac:dyDescent="0.25">
      <c r="A4738" t="s">
        <v>9149</v>
      </c>
      <c r="B4738" t="s">
        <v>6239</v>
      </c>
      <c r="C4738" t="s">
        <v>1248</v>
      </c>
      <c r="D4738" t="s">
        <v>46</v>
      </c>
      <c r="E4738">
        <v>26</v>
      </c>
      <c r="G4738" t="s">
        <v>212</v>
      </c>
      <c r="H4738" t="s">
        <v>9150</v>
      </c>
      <c r="I4738" s="1" t="d">
        <v>2019-04-11</v>
      </c>
      <c r="J4738" t="s">
        <v>1087</v>
      </c>
      <c r="K4738" s="17" t="s">
        <v>27</v>
      </c>
      <c r="L4738">
        <v>3</v>
      </c>
    </row>
    <row r="4739" spans="1:12" x14ac:dyDescent="0.25">
      <c r="A4739" t="s">
        <v>9151</v>
      </c>
      <c r="B4739" t="s">
        <v>1512</v>
      </c>
      <c r="C4739" t="s">
        <v>747</v>
      </c>
      <c r="D4739" t="s">
        <v>46</v>
      </c>
      <c r="E4739">
        <v>33</v>
      </c>
      <c r="F4739" t="s">
        <v>253</v>
      </c>
      <c r="G4739" t="s">
        <v>170</v>
      </c>
      <c r="H4739" t="s">
        <v>9152</v>
      </c>
      <c r="I4739" s="1" t="d">
        <v>2011-08-16</v>
      </c>
      <c r="J4739" t="s">
        <v>3147</v>
      </c>
      <c r="K4739" s="17" t="s">
        <v>100</v>
      </c>
      <c r="L4739">
        <v>3</v>
      </c>
    </row>
    <row r="4740" spans="1:12" x14ac:dyDescent="0.25">
      <c r="A4740" t="s">
        <v>9153</v>
      </c>
      <c r="B4740" t="s">
        <v>340</v>
      </c>
      <c r="C4740" t="s">
        <v>318</v>
      </c>
      <c r="D4740" t="s">
        <v>46</v>
      </c>
      <c r="E4740">
        <v>38</v>
      </c>
      <c r="F4740" t="s">
        <v>196</v>
      </c>
      <c r="G4740" t="s">
        <v>16</v>
      </c>
      <c r="H4740" t="s">
        <v>9154</v>
      </c>
      <c r="I4740" s="1" t="d">
        <v>2020-05-31</v>
      </c>
      <c r="J4740" t="s">
        <v>1585</v>
      </c>
      <c r="K4740" s="17" t="s">
        <v>42</v>
      </c>
      <c r="L4740">
        <v>1</v>
      </c>
    </row>
    <row r="4741" spans="1:12" x14ac:dyDescent="0.25">
      <c r="A4741" t="s">
        <v>9155</v>
      </c>
      <c r="B4741" t="s">
        <v>3937</v>
      </c>
      <c r="C4741" t="s">
        <v>37</v>
      </c>
      <c r="D4741" t="s">
        <v>9527</v>
      </c>
      <c r="E4741">
        <v>41</v>
      </c>
      <c r="F4741" t="s">
        <v>68</v>
      </c>
      <c r="G4741" t="s">
        <v>191</v>
      </c>
      <c r="H4741" s="2">
        <v>85477</v>
      </c>
      <c r="I4741" s="1" t="d">
        <v>2021-02-01</v>
      </c>
      <c r="J4741" t="s">
        <v>4603</v>
      </c>
      <c r="K4741" s="17" t="s">
        <v>118</v>
      </c>
      <c r="L4741">
        <v>4</v>
      </c>
    </row>
    <row r="4742" spans="1:12" x14ac:dyDescent="0.25">
      <c r="A4742" t="s">
        <v>9156</v>
      </c>
      <c r="B4742" t="s">
        <v>1503</v>
      </c>
      <c r="C4742" t="s">
        <v>7408</v>
      </c>
      <c r="D4742" t="s">
        <v>46</v>
      </c>
      <c r="E4742">
        <v>42</v>
      </c>
      <c r="F4742" t="s">
        <v>216</v>
      </c>
      <c r="G4742" t="s">
        <v>1866</v>
      </c>
      <c r="H4742" t="s">
        <v>9157</v>
      </c>
      <c r="I4742" s="1" t="d">
        <v>2023-02-23</v>
      </c>
      <c r="J4742" t="s">
        <v>578</v>
      </c>
      <c r="K4742" s="17" t="s">
        <v>19</v>
      </c>
      <c r="L4742">
        <v>3</v>
      </c>
    </row>
    <row r="4743" spans="1:12" x14ac:dyDescent="0.25">
      <c r="A4743" t="s">
        <v>9158</v>
      </c>
      <c r="B4743" t="s">
        <v>695</v>
      </c>
      <c r="C4743" t="s">
        <v>181</v>
      </c>
      <c r="D4743" t="s">
        <v>46</v>
      </c>
      <c r="E4743">
        <v>58</v>
      </c>
      <c r="F4743" t="s">
        <v>522</v>
      </c>
      <c r="G4743" t="s">
        <v>170</v>
      </c>
      <c r="H4743" t="s">
        <v>9159</v>
      </c>
      <c r="I4743" s="1" t="d">
        <v>2016-04-16</v>
      </c>
      <c r="J4743" t="s">
        <v>8908</v>
      </c>
      <c r="K4743" s="17" t="s">
        <v>207</v>
      </c>
      <c r="L4743">
        <v>3</v>
      </c>
    </row>
    <row r="4744" spans="1:12" x14ac:dyDescent="0.25">
      <c r="A4744" t="s">
        <v>9160</v>
      </c>
      <c r="B4744" t="s">
        <v>221</v>
      </c>
      <c r="C4744" t="s">
        <v>2934</v>
      </c>
      <c r="D4744" t="s">
        <v>23</v>
      </c>
      <c r="E4744">
        <v>39</v>
      </c>
      <c r="F4744" t="s">
        <v>258</v>
      </c>
      <c r="G4744" t="s">
        <v>212</v>
      </c>
      <c r="H4744" t="s">
        <v>9161</v>
      </c>
      <c r="I4744" s="1" t="d">
        <v>2018-08-22</v>
      </c>
      <c r="J4744" t="s">
        <v>1429</v>
      </c>
      <c r="K4744" s="17" t="s">
        <v>100</v>
      </c>
      <c r="L4744">
        <v>3</v>
      </c>
    </row>
    <row r="4745" spans="1:12" x14ac:dyDescent="0.25">
      <c r="A4745" t="s">
        <v>2547</v>
      </c>
      <c r="B4745" t="s">
        <v>228</v>
      </c>
      <c r="C4745" t="s">
        <v>395</v>
      </c>
      <c r="D4745" t="s">
        <v>23</v>
      </c>
      <c r="E4745">
        <v>38</v>
      </c>
      <c r="F4745" t="s">
        <v>238</v>
      </c>
      <c r="G4745" t="s">
        <v>212</v>
      </c>
      <c r="H4745" t="s">
        <v>9162</v>
      </c>
      <c r="I4745" s="1" t="d">
        <v>2023-08-31</v>
      </c>
      <c r="J4745" t="s">
        <v>1547</v>
      </c>
      <c r="K4745" s="17" t="s">
        <v>149</v>
      </c>
      <c r="L4745">
        <v>4</v>
      </c>
    </row>
    <row r="4746" spans="1:12" x14ac:dyDescent="0.25">
      <c r="A4746" t="s">
        <v>9163</v>
      </c>
      <c r="B4746" t="s">
        <v>1350</v>
      </c>
      <c r="C4746" t="s">
        <v>7944</v>
      </c>
      <c r="D4746" t="s">
        <v>23</v>
      </c>
      <c r="E4746">
        <v>41</v>
      </c>
      <c r="F4746" t="s">
        <v>38</v>
      </c>
      <c r="G4746" t="s">
        <v>39</v>
      </c>
      <c r="H4746" t="s">
        <v>9164</v>
      </c>
      <c r="I4746" s="1" t="d">
        <v>2012-01-26</v>
      </c>
      <c r="J4746" t="s">
        <v>3595</v>
      </c>
      <c r="K4746" s="17" t="s">
        <v>149</v>
      </c>
      <c r="L4746">
        <v>5</v>
      </c>
    </row>
    <row r="4747" spans="1:12" x14ac:dyDescent="0.25">
      <c r="A4747" t="s">
        <v>7410</v>
      </c>
      <c r="B4747" t="s">
        <v>323</v>
      </c>
      <c r="C4747" t="s">
        <v>1266</v>
      </c>
      <c r="D4747" t="s">
        <v>23</v>
      </c>
      <c r="E4747">
        <v>46</v>
      </c>
      <c r="F4747" t="s">
        <v>196</v>
      </c>
      <c r="G4747" t="s">
        <v>231</v>
      </c>
      <c r="H4747" s="2">
        <v>39837</v>
      </c>
      <c r="I4747" s="1" t="d">
        <v>2016-05-23</v>
      </c>
      <c r="J4747" t="s">
        <v>7411</v>
      </c>
      <c r="K4747" s="17" t="s">
        <v>19</v>
      </c>
      <c r="L4747">
        <v>4</v>
      </c>
    </row>
    <row r="4748" spans="1:12" x14ac:dyDescent="0.25">
      <c r="A4748" t="s">
        <v>9165</v>
      </c>
      <c r="B4748" t="s">
        <v>13</v>
      </c>
      <c r="C4748" t="s">
        <v>555</v>
      </c>
      <c r="D4748" t="s">
        <v>23</v>
      </c>
      <c r="E4748">
        <v>27</v>
      </c>
      <c r="F4748" t="s">
        <v>62</v>
      </c>
      <c r="G4748" t="s">
        <v>25</v>
      </c>
      <c r="H4748" t="s">
        <v>9166</v>
      </c>
      <c r="I4748" s="1" t="d">
        <v>2023-01-31</v>
      </c>
      <c r="J4748" t="s">
        <v>4282</v>
      </c>
      <c r="K4748" s="17" t="s">
        <v>118</v>
      </c>
      <c r="L4748">
        <v>2</v>
      </c>
    </row>
    <row r="4749" spans="1:12" x14ac:dyDescent="0.25">
      <c r="A4749" t="s">
        <v>4377</v>
      </c>
      <c r="B4749" t="s">
        <v>1096</v>
      </c>
      <c r="C4749" t="s">
        <v>152</v>
      </c>
      <c r="D4749" t="s">
        <v>23</v>
      </c>
      <c r="E4749">
        <v>36</v>
      </c>
      <c r="F4749" t="s">
        <v>68</v>
      </c>
      <c r="G4749" t="s">
        <v>16</v>
      </c>
      <c r="H4749" s="2">
        <v>119970</v>
      </c>
      <c r="I4749" s="1" t="d">
        <v>2016-01-25</v>
      </c>
      <c r="J4749" t="s">
        <v>2506</v>
      </c>
      <c r="K4749" s="17" t="s">
        <v>90</v>
      </c>
      <c r="L4749">
        <v>3</v>
      </c>
    </row>
    <row r="4750" spans="1:12" x14ac:dyDescent="0.25">
      <c r="A4750" t="s">
        <v>9167</v>
      </c>
      <c r="B4750" t="s">
        <v>404</v>
      </c>
      <c r="C4750" t="s">
        <v>252</v>
      </c>
      <c r="D4750" t="s">
        <v>46</v>
      </c>
      <c r="E4750">
        <v>46</v>
      </c>
      <c r="G4750" t="s">
        <v>69</v>
      </c>
      <c r="H4750" t="s">
        <v>9168</v>
      </c>
      <c r="J4750" t="s">
        <v>6486</v>
      </c>
      <c r="K4750" s="17" t="s">
        <v>118</v>
      </c>
      <c r="L4750">
        <v>3</v>
      </c>
    </row>
    <row r="4751" spans="1:12" x14ac:dyDescent="0.25">
      <c r="A4751" t="s">
        <v>9169</v>
      </c>
      <c r="B4751" t="s">
        <v>954</v>
      </c>
      <c r="C4751" t="s">
        <v>483</v>
      </c>
      <c r="D4751" t="s">
        <v>46</v>
      </c>
      <c r="E4751">
        <v>29</v>
      </c>
      <c r="F4751" t="s">
        <v>918</v>
      </c>
      <c r="G4751" t="s">
        <v>212</v>
      </c>
      <c r="H4751" t="s">
        <v>9170</v>
      </c>
      <c r="I4751" s="1" t="d">
        <v>2020-08-15</v>
      </c>
      <c r="J4751" t="s">
        <v>5049</v>
      </c>
      <c r="K4751" s="17" t="s">
        <v>71</v>
      </c>
      <c r="L4751">
        <v>3</v>
      </c>
    </row>
    <row r="4752" spans="1:12" x14ac:dyDescent="0.25">
      <c r="A4752" t="s">
        <v>9171</v>
      </c>
      <c r="B4752" t="s">
        <v>993</v>
      </c>
      <c r="C4752" t="s">
        <v>135</v>
      </c>
      <c r="D4752" t="s">
        <v>9527</v>
      </c>
      <c r="E4752">
        <v>41</v>
      </c>
      <c r="F4752" t="s">
        <v>1295</v>
      </c>
      <c r="G4752" t="s">
        <v>212</v>
      </c>
      <c r="H4752">
        <v>61289</v>
      </c>
      <c r="I4752" s="1" t="d">
        <v>2019-11-23</v>
      </c>
      <c r="J4752" t="s">
        <v>2902</v>
      </c>
      <c r="K4752" s="17" t="s">
        <v>207</v>
      </c>
      <c r="L4752">
        <v>4</v>
      </c>
    </row>
    <row r="4753" spans="1:12" x14ac:dyDescent="0.25">
      <c r="A4753" t="s">
        <v>9172</v>
      </c>
      <c r="B4753" t="s">
        <v>157</v>
      </c>
      <c r="C4753" t="s">
        <v>766</v>
      </c>
      <c r="D4753" t="s">
        <v>23</v>
      </c>
      <c r="E4753">
        <v>44</v>
      </c>
      <c r="F4753" t="s">
        <v>984</v>
      </c>
      <c r="G4753" t="s">
        <v>39</v>
      </c>
      <c r="I4753" s="1" t="d">
        <v>2013-02-07</v>
      </c>
      <c r="J4753" t="s">
        <v>4783</v>
      </c>
      <c r="K4753" s="17" t="s">
        <v>100</v>
      </c>
      <c r="L4753">
        <v>3</v>
      </c>
    </row>
    <row r="4754" spans="1:12" x14ac:dyDescent="0.25">
      <c r="A4754" t="s">
        <v>4883</v>
      </c>
      <c r="B4754" t="s">
        <v>29</v>
      </c>
      <c r="C4754" t="s">
        <v>74</v>
      </c>
      <c r="D4754" t="s">
        <v>46</v>
      </c>
      <c r="E4754">
        <v>55</v>
      </c>
      <c r="F4754" t="s">
        <v>216</v>
      </c>
      <c r="G4754" t="s">
        <v>3197</v>
      </c>
      <c r="H4754" t="s">
        <v>9173</v>
      </c>
      <c r="I4754" s="1" t="d">
        <v>2021-01-29</v>
      </c>
      <c r="J4754" t="s">
        <v>2346</v>
      </c>
      <c r="K4754" s="17" t="s">
        <v>370</v>
      </c>
      <c r="L4754">
        <v>2</v>
      </c>
    </row>
    <row r="4755" spans="1:12" x14ac:dyDescent="0.25">
      <c r="A4755" t="s">
        <v>9174</v>
      </c>
      <c r="B4755" t="s">
        <v>881</v>
      </c>
      <c r="C4755" t="s">
        <v>1991</v>
      </c>
      <c r="D4755" t="s">
        <v>9527</v>
      </c>
      <c r="E4755">
        <v>43</v>
      </c>
      <c r="F4755" t="s">
        <v>589</v>
      </c>
      <c r="G4755" t="s">
        <v>182</v>
      </c>
      <c r="H4755" t="s">
        <v>9175</v>
      </c>
      <c r="I4755" s="1" t="d">
        <v>2013-04-24</v>
      </c>
      <c r="J4755" t="s">
        <v>6667</v>
      </c>
      <c r="K4755" s="17" t="s">
        <v>42</v>
      </c>
      <c r="L4755">
        <v>3</v>
      </c>
    </row>
    <row r="4756" spans="1:12" x14ac:dyDescent="0.25">
      <c r="A4756" t="s">
        <v>9176</v>
      </c>
      <c r="B4756" t="s">
        <v>2248</v>
      </c>
      <c r="C4756" t="s">
        <v>336</v>
      </c>
      <c r="D4756" t="s">
        <v>46</v>
      </c>
      <c r="E4756">
        <v>36</v>
      </c>
      <c r="F4756" t="s">
        <v>258</v>
      </c>
      <c r="G4756" t="s">
        <v>39</v>
      </c>
      <c r="H4756">
        <v>45810</v>
      </c>
      <c r="I4756" s="1" t="d">
        <v>2008-10-07</v>
      </c>
      <c r="J4756" t="s">
        <v>2340</v>
      </c>
      <c r="K4756" s="17" t="s">
        <v>19</v>
      </c>
      <c r="L4756">
        <v>4</v>
      </c>
    </row>
    <row r="4757" spans="1:12" x14ac:dyDescent="0.25">
      <c r="A4757" t="s">
        <v>9177</v>
      </c>
      <c r="B4757" t="s">
        <v>1241</v>
      </c>
      <c r="C4757" t="s">
        <v>237</v>
      </c>
      <c r="D4757" t="s">
        <v>46</v>
      </c>
      <c r="E4757">
        <v>43</v>
      </c>
      <c r="F4757" t="s">
        <v>216</v>
      </c>
      <c r="G4757" t="s">
        <v>283</v>
      </c>
      <c r="H4757" t="s">
        <v>9178</v>
      </c>
      <c r="I4757" s="1" t="d">
        <v>2012-02-17</v>
      </c>
      <c r="J4757" t="s">
        <v>5645</v>
      </c>
      <c r="K4757" s="17" t="s">
        <v>90</v>
      </c>
      <c r="L4757">
        <v>4</v>
      </c>
    </row>
    <row r="4758" spans="1:12" x14ac:dyDescent="0.25">
      <c r="A4758" t="s">
        <v>1667</v>
      </c>
      <c r="B4758" t="s">
        <v>421</v>
      </c>
      <c r="C4758" t="s">
        <v>1668</v>
      </c>
      <c r="D4758" t="s">
        <v>23</v>
      </c>
      <c r="E4758">
        <v>51</v>
      </c>
      <c r="F4758" t="s">
        <v>62</v>
      </c>
      <c r="G4758" t="s">
        <v>283</v>
      </c>
      <c r="H4758">
        <v>161135</v>
      </c>
      <c r="I4758" s="1" t="d">
        <v>2005-02-06</v>
      </c>
      <c r="J4758" t="s">
        <v>1669</v>
      </c>
      <c r="K4758" s="17" t="s">
        <v>118</v>
      </c>
      <c r="L4758">
        <v>3</v>
      </c>
    </row>
    <row r="4759" spans="1:12" x14ac:dyDescent="0.25">
      <c r="A4759" t="s">
        <v>9179</v>
      </c>
      <c r="B4759" t="s">
        <v>1441</v>
      </c>
      <c r="C4759" t="s">
        <v>332</v>
      </c>
      <c r="D4759" t="s">
        <v>46</v>
      </c>
      <c r="E4759">
        <v>31</v>
      </c>
      <c r="F4759" t="s">
        <v>126</v>
      </c>
      <c r="G4759" t="s">
        <v>912</v>
      </c>
      <c r="H4759" t="s">
        <v>9180</v>
      </c>
      <c r="I4759" s="1" t="d">
        <v>2023-04-08</v>
      </c>
      <c r="J4759" t="s">
        <v>2570</v>
      </c>
      <c r="K4759" s="17" t="s">
        <v>19</v>
      </c>
      <c r="L4759">
        <v>2</v>
      </c>
    </row>
    <row r="4760" spans="1:12" x14ac:dyDescent="0.25">
      <c r="A4760" t="s">
        <v>9181</v>
      </c>
      <c r="B4760" t="s">
        <v>221</v>
      </c>
      <c r="C4760" t="s">
        <v>210</v>
      </c>
      <c r="D4760" t="s">
        <v>23</v>
      </c>
      <c r="E4760">
        <v>38</v>
      </c>
      <c r="G4760" t="s">
        <v>1206</v>
      </c>
      <c r="H4760" t="s">
        <v>9182</v>
      </c>
      <c r="J4760" t="s">
        <v>4635</v>
      </c>
      <c r="K4760" s="17" t="s">
        <v>370</v>
      </c>
      <c r="L4760">
        <v>3</v>
      </c>
    </row>
    <row r="4761" spans="1:12" x14ac:dyDescent="0.25">
      <c r="A4761" t="s">
        <v>9183</v>
      </c>
      <c r="B4761" t="s">
        <v>448</v>
      </c>
      <c r="C4761" t="s">
        <v>189</v>
      </c>
      <c r="D4761" t="s">
        <v>46</v>
      </c>
      <c r="E4761">
        <v>40</v>
      </c>
      <c r="F4761" t="s">
        <v>2029</v>
      </c>
      <c r="G4761" t="s">
        <v>69</v>
      </c>
      <c r="H4761">
        <v>69554</v>
      </c>
      <c r="I4761" s="1" t="d">
        <v>2005-10-23</v>
      </c>
      <c r="J4761" t="s">
        <v>2377</v>
      </c>
      <c r="K4761" s="17" t="s">
        <v>19</v>
      </c>
      <c r="L4761">
        <v>5</v>
      </c>
    </row>
    <row r="4762" spans="1:12" x14ac:dyDescent="0.25">
      <c r="A4762" t="s">
        <v>9184</v>
      </c>
      <c r="B4762" t="s">
        <v>728</v>
      </c>
      <c r="C4762" t="s">
        <v>14</v>
      </c>
      <c r="D4762" t="s">
        <v>23</v>
      </c>
      <c r="E4762">
        <v>29</v>
      </c>
      <c r="F4762" t="s">
        <v>108</v>
      </c>
      <c r="G4762" t="s">
        <v>115</v>
      </c>
      <c r="H4762" t="s">
        <v>9185</v>
      </c>
      <c r="I4762" s="1" t="d">
        <v>2021-08-03</v>
      </c>
      <c r="J4762" t="s">
        <v>597</v>
      </c>
      <c r="K4762" s="17" t="s">
        <v>71</v>
      </c>
      <c r="L4762">
        <v>5</v>
      </c>
    </row>
    <row r="4763" spans="1:12" x14ac:dyDescent="0.25">
      <c r="A4763" t="s">
        <v>9186</v>
      </c>
      <c r="B4763" t="s">
        <v>571</v>
      </c>
      <c r="C4763" t="s">
        <v>291</v>
      </c>
      <c r="D4763" t="s">
        <v>23</v>
      </c>
      <c r="E4763">
        <v>38</v>
      </c>
      <c r="F4763" t="s">
        <v>258</v>
      </c>
      <c r="G4763" t="s">
        <v>1277</v>
      </c>
      <c r="H4763" s="2">
        <v>48791</v>
      </c>
      <c r="I4763" s="1" t="d">
        <v>2017-03-15</v>
      </c>
      <c r="J4763" t="s">
        <v>3871</v>
      </c>
      <c r="K4763" s="17" t="s">
        <v>207</v>
      </c>
      <c r="L4763">
        <v>3</v>
      </c>
    </row>
    <row r="4764" spans="1:12" x14ac:dyDescent="0.25">
      <c r="A4764" t="s">
        <v>9187</v>
      </c>
      <c r="B4764" t="s">
        <v>846</v>
      </c>
      <c r="C4764" t="s">
        <v>660</v>
      </c>
      <c r="D4764" t="s">
        <v>23</v>
      </c>
      <c r="E4764">
        <v>48</v>
      </c>
      <c r="F4764" t="s">
        <v>104</v>
      </c>
      <c r="G4764" t="s">
        <v>283</v>
      </c>
      <c r="H4764" t="s">
        <v>9188</v>
      </c>
      <c r="I4764" s="1" t="d">
        <v>2007-01-08</v>
      </c>
      <c r="J4764" t="s">
        <v>1188</v>
      </c>
      <c r="K4764" s="17" t="s">
        <v>27</v>
      </c>
      <c r="L4764">
        <v>5</v>
      </c>
    </row>
    <row r="4765" spans="1:12" x14ac:dyDescent="0.25">
      <c r="A4765" t="s">
        <v>9189</v>
      </c>
      <c r="B4765" t="s">
        <v>2681</v>
      </c>
      <c r="C4765" t="s">
        <v>1326</v>
      </c>
      <c r="D4765" t="s">
        <v>46</v>
      </c>
      <c r="E4765">
        <v>39</v>
      </c>
      <c r="F4765" t="s">
        <v>269</v>
      </c>
      <c r="G4765" t="s">
        <v>212</v>
      </c>
      <c r="H4765" t="s">
        <v>9190</v>
      </c>
      <c r="I4765" s="1" t="d">
        <v>2009-12-21</v>
      </c>
      <c r="J4765" t="s">
        <v>7996</v>
      </c>
      <c r="K4765" s="17" t="s">
        <v>207</v>
      </c>
      <c r="L4765">
        <v>4</v>
      </c>
    </row>
    <row r="4766" spans="1:12" x14ac:dyDescent="0.25">
      <c r="A4766" t="s">
        <v>9191</v>
      </c>
      <c r="B4766" t="s">
        <v>1503</v>
      </c>
      <c r="C4766" t="s">
        <v>135</v>
      </c>
      <c r="D4766" t="s">
        <v>46</v>
      </c>
      <c r="E4766">
        <v>43</v>
      </c>
      <c r="G4766" t="s">
        <v>288</v>
      </c>
      <c r="H4766" t="s">
        <v>9192</v>
      </c>
      <c r="I4766" s="1" t="d">
        <v>2024-05-02</v>
      </c>
      <c r="J4766" t="s">
        <v>578</v>
      </c>
      <c r="K4766" s="17" t="s">
        <v>90</v>
      </c>
      <c r="L4766">
        <v>1</v>
      </c>
    </row>
    <row r="4767" spans="1:12" x14ac:dyDescent="0.25">
      <c r="A4767" t="s">
        <v>9193</v>
      </c>
      <c r="B4767" t="s">
        <v>695</v>
      </c>
      <c r="C4767" t="s">
        <v>457</v>
      </c>
      <c r="D4767" t="s">
        <v>46</v>
      </c>
      <c r="E4767">
        <v>21</v>
      </c>
      <c r="F4767" t="s">
        <v>269</v>
      </c>
      <c r="G4767" t="s">
        <v>88</v>
      </c>
      <c r="H4767" t="s">
        <v>9194</v>
      </c>
      <c r="I4767" s="1" t="d">
        <v>2007-07-07</v>
      </c>
      <c r="J4767" t="s">
        <v>460</v>
      </c>
      <c r="K4767" s="17" t="s">
        <v>207</v>
      </c>
      <c r="L4767">
        <v>2</v>
      </c>
    </row>
    <row r="4768" spans="1:12" x14ac:dyDescent="0.25">
      <c r="A4768" t="s">
        <v>9195</v>
      </c>
      <c r="B4768" t="s">
        <v>167</v>
      </c>
      <c r="C4768" t="s">
        <v>1030</v>
      </c>
      <c r="D4768" t="s">
        <v>46</v>
      </c>
      <c r="E4768">
        <v>29</v>
      </c>
      <c r="F4768" t="s">
        <v>31</v>
      </c>
      <c r="G4768" t="s">
        <v>170</v>
      </c>
      <c r="H4768" s="2">
        <v>38866</v>
      </c>
      <c r="I4768" s="1" t="d">
        <v>2015-06-26</v>
      </c>
      <c r="J4768" t="s">
        <v>9196</v>
      </c>
      <c r="K4768" s="17" t="s">
        <v>118</v>
      </c>
      <c r="L4768">
        <v>5</v>
      </c>
    </row>
    <row r="4769" spans="1:12" x14ac:dyDescent="0.25">
      <c r="A4769" t="s">
        <v>9197</v>
      </c>
      <c r="B4769" t="s">
        <v>1706</v>
      </c>
      <c r="C4769" t="s">
        <v>1538</v>
      </c>
      <c r="D4769" t="s">
        <v>46</v>
      </c>
      <c r="E4769">
        <v>38</v>
      </c>
      <c r="F4769" t="s">
        <v>417</v>
      </c>
      <c r="G4769" t="s">
        <v>878</v>
      </c>
      <c r="H4769" s="2">
        <v>78473</v>
      </c>
      <c r="I4769" s="1" t="d">
        <v>2007-04-05</v>
      </c>
      <c r="J4769" t="s">
        <v>3099</v>
      </c>
      <c r="K4769" s="17" t="s">
        <v>34</v>
      </c>
      <c r="L4769">
        <v>3</v>
      </c>
    </row>
    <row r="4770" spans="1:12" x14ac:dyDescent="0.25">
      <c r="A4770" t="s">
        <v>9198</v>
      </c>
      <c r="B4770" t="s">
        <v>404</v>
      </c>
      <c r="C4770" t="s">
        <v>4655</v>
      </c>
      <c r="D4770" t="s">
        <v>23</v>
      </c>
      <c r="E4770">
        <v>37</v>
      </c>
      <c r="F4770" t="s">
        <v>196</v>
      </c>
      <c r="G4770" t="s">
        <v>63</v>
      </c>
      <c r="H4770">
        <v>96135</v>
      </c>
      <c r="I4770" s="1" t="d">
        <v>2007-08-24</v>
      </c>
      <c r="J4770" t="s">
        <v>824</v>
      </c>
      <c r="K4770" s="17" t="s">
        <v>370</v>
      </c>
      <c r="L4770">
        <v>5</v>
      </c>
    </row>
    <row r="4771" spans="1:12" x14ac:dyDescent="0.25">
      <c r="A4771" t="s">
        <v>9199</v>
      </c>
      <c r="B4771" t="s">
        <v>228</v>
      </c>
      <c r="C4771" t="s">
        <v>158</v>
      </c>
      <c r="D4771" t="s">
        <v>46</v>
      </c>
      <c r="E4771">
        <v>21</v>
      </c>
      <c r="F4771" t="s">
        <v>114</v>
      </c>
      <c r="G4771" t="s">
        <v>115</v>
      </c>
      <c r="H4771" s="2">
        <v>106187</v>
      </c>
      <c r="I4771" s="1" t="d">
        <v>2012-01-10</v>
      </c>
      <c r="J4771" t="s">
        <v>5026</v>
      </c>
      <c r="K4771" s="17" t="s">
        <v>100</v>
      </c>
      <c r="L4771">
        <v>4</v>
      </c>
    </row>
    <row r="4772" spans="1:12" x14ac:dyDescent="0.25">
      <c r="A4772" t="s">
        <v>9200</v>
      </c>
      <c r="B4772" t="s">
        <v>120</v>
      </c>
      <c r="C4772" t="s">
        <v>1377</v>
      </c>
      <c r="D4772" t="s">
        <v>9527</v>
      </c>
      <c r="E4772">
        <v>28</v>
      </c>
      <c r="F4772" t="s">
        <v>269</v>
      </c>
      <c r="G4772" t="s">
        <v>458</v>
      </c>
      <c r="H4772">
        <v>54437</v>
      </c>
      <c r="I4772" s="1" t="d">
        <v>2010-02-11</v>
      </c>
      <c r="J4772" t="s">
        <v>6465</v>
      </c>
      <c r="K4772" s="17" t="s">
        <v>58</v>
      </c>
      <c r="L4772">
        <v>5</v>
      </c>
    </row>
    <row r="4773" spans="1:12" x14ac:dyDescent="0.25">
      <c r="A4773" t="s">
        <v>9201</v>
      </c>
      <c r="B4773" t="s">
        <v>789</v>
      </c>
      <c r="C4773" t="s">
        <v>521</v>
      </c>
      <c r="D4773" t="s">
        <v>23</v>
      </c>
      <c r="E4773">
        <v>22</v>
      </c>
      <c r="F4773" t="s">
        <v>126</v>
      </c>
      <c r="G4773" t="s">
        <v>109</v>
      </c>
      <c r="H4773">
        <v>89179</v>
      </c>
      <c r="I4773" s="1" t="d">
        <v>2013-10-24</v>
      </c>
      <c r="J4773" t="s">
        <v>6725</v>
      </c>
      <c r="K4773" s="17" t="s">
        <v>42</v>
      </c>
      <c r="L4773">
        <v>3</v>
      </c>
    </row>
    <row r="4774" spans="1:12" x14ac:dyDescent="0.25">
      <c r="A4774" t="s">
        <v>3938</v>
      </c>
      <c r="B4774" t="s">
        <v>3939</v>
      </c>
      <c r="C4774" t="s">
        <v>2912</v>
      </c>
      <c r="D4774" t="s">
        <v>23</v>
      </c>
      <c r="E4774">
        <v>29</v>
      </c>
      <c r="F4774" t="s">
        <v>253</v>
      </c>
      <c r="G4774" t="s">
        <v>217</v>
      </c>
      <c r="H4774" t="s">
        <v>3940</v>
      </c>
      <c r="I4774" s="1" t="d">
        <v>2015-10-11</v>
      </c>
      <c r="J4774" t="s">
        <v>3941</v>
      </c>
      <c r="K4774" s="17" t="s">
        <v>90</v>
      </c>
      <c r="L4774">
        <v>3</v>
      </c>
    </row>
    <row r="4775" spans="1:12" x14ac:dyDescent="0.25">
      <c r="A4775" t="s">
        <v>9202</v>
      </c>
      <c r="B4775" t="s">
        <v>21</v>
      </c>
      <c r="C4775" t="s">
        <v>381</v>
      </c>
      <c r="D4775" t="s">
        <v>9527</v>
      </c>
      <c r="E4775">
        <v>56</v>
      </c>
      <c r="F4775" t="s">
        <v>75</v>
      </c>
      <c r="G4775" t="s">
        <v>170</v>
      </c>
      <c r="H4775" t="s">
        <v>9203</v>
      </c>
      <c r="I4775" s="1" t="d">
        <v>2021-09-14</v>
      </c>
      <c r="J4775" t="s">
        <v>26</v>
      </c>
      <c r="K4775" s="17" t="s">
        <v>42</v>
      </c>
      <c r="L4775">
        <v>3</v>
      </c>
    </row>
    <row r="4776" spans="1:12" x14ac:dyDescent="0.25">
      <c r="A4776" t="s">
        <v>9204</v>
      </c>
      <c r="B4776" t="s">
        <v>120</v>
      </c>
      <c r="C4776" t="s">
        <v>729</v>
      </c>
      <c r="D4776" t="s">
        <v>46</v>
      </c>
      <c r="E4776">
        <v>37</v>
      </c>
      <c r="F4776" t="s">
        <v>411</v>
      </c>
      <c r="G4776" t="s">
        <v>48</v>
      </c>
      <c r="H4776" t="s">
        <v>9205</v>
      </c>
      <c r="I4776" s="1" t="d">
        <v>2014-03-12</v>
      </c>
      <c r="J4776" t="s">
        <v>2173</v>
      </c>
      <c r="K4776" s="17" t="s">
        <v>42</v>
      </c>
      <c r="L4776">
        <v>4</v>
      </c>
    </row>
    <row r="4777" spans="1:12" x14ac:dyDescent="0.25">
      <c r="A4777" t="s">
        <v>9206</v>
      </c>
      <c r="B4777" t="s">
        <v>1784</v>
      </c>
      <c r="C4777" t="s">
        <v>1400</v>
      </c>
      <c r="D4777" t="s">
        <v>46</v>
      </c>
      <c r="E4777">
        <v>36</v>
      </c>
      <c r="F4777" t="s">
        <v>68</v>
      </c>
      <c r="G4777" t="s">
        <v>177</v>
      </c>
      <c r="H4777">
        <v>999999</v>
      </c>
      <c r="J4777" t="s">
        <v>3352</v>
      </c>
      <c r="K4777" s="17" t="s">
        <v>71</v>
      </c>
      <c r="L4777">
        <v>3</v>
      </c>
    </row>
    <row r="4778" spans="1:12" x14ac:dyDescent="0.25">
      <c r="A4778" t="s">
        <v>9207</v>
      </c>
      <c r="B4778" t="s">
        <v>174</v>
      </c>
      <c r="C4778" t="s">
        <v>1320</v>
      </c>
      <c r="D4778" t="s">
        <v>9527</v>
      </c>
      <c r="E4778">
        <v>46</v>
      </c>
      <c r="F4778" t="s">
        <v>522</v>
      </c>
      <c r="G4778" t="s">
        <v>191</v>
      </c>
      <c r="H4778">
        <v>78735</v>
      </c>
      <c r="I4778" s="1" t="d">
        <v>2020-12-17</v>
      </c>
      <c r="J4778" t="s">
        <v>2314</v>
      </c>
      <c r="K4778" s="17" t="s">
        <v>184</v>
      </c>
      <c r="L4778">
        <v>3</v>
      </c>
    </row>
    <row r="4779" spans="1:12" x14ac:dyDescent="0.25">
      <c r="A4779" t="s">
        <v>9208</v>
      </c>
      <c r="B4779" t="s">
        <v>251</v>
      </c>
      <c r="C4779" t="s">
        <v>1622</v>
      </c>
      <c r="D4779" t="s">
        <v>23</v>
      </c>
      <c r="E4779">
        <v>46</v>
      </c>
      <c r="F4779" t="s">
        <v>122</v>
      </c>
      <c r="G4779" t="s">
        <v>48</v>
      </c>
      <c r="I4779" s="1" t="d">
        <v>2014-05-04</v>
      </c>
      <c r="J4779" t="s">
        <v>2503</v>
      </c>
      <c r="K4779" s="17" t="s">
        <v>370</v>
      </c>
      <c r="L4779">
        <v>3</v>
      </c>
    </row>
    <row r="4780" spans="1:12" x14ac:dyDescent="0.25">
      <c r="A4780" t="s">
        <v>4964</v>
      </c>
      <c r="B4780" t="s">
        <v>167</v>
      </c>
      <c r="C4780" t="s">
        <v>145</v>
      </c>
      <c r="D4780" t="s">
        <v>46</v>
      </c>
      <c r="E4780">
        <v>48</v>
      </c>
      <c r="F4780" t="s">
        <v>169</v>
      </c>
      <c r="G4780" t="s">
        <v>842</v>
      </c>
      <c r="I4780" s="1" t="d">
        <v>2020-11-27</v>
      </c>
      <c r="J4780" t="s">
        <v>1533</v>
      </c>
      <c r="K4780" s="17" t="s">
        <v>42</v>
      </c>
      <c r="L4780">
        <v>5</v>
      </c>
    </row>
    <row r="4781" spans="1:12" x14ac:dyDescent="0.25">
      <c r="A4781" t="s">
        <v>375</v>
      </c>
      <c r="B4781" t="s">
        <v>376</v>
      </c>
      <c r="C4781" t="s">
        <v>377</v>
      </c>
      <c r="D4781" t="s">
        <v>9527</v>
      </c>
      <c r="E4781">
        <v>57</v>
      </c>
      <c r="F4781" t="s">
        <v>350</v>
      </c>
      <c r="G4781" t="s">
        <v>378</v>
      </c>
      <c r="I4781" s="1" t="d">
        <v>2012-10-07</v>
      </c>
      <c r="J4781" t="s">
        <v>379</v>
      </c>
      <c r="K4781" s="17" t="s">
        <v>50</v>
      </c>
      <c r="L4781">
        <v>3</v>
      </c>
    </row>
    <row r="4782" spans="1:12" x14ac:dyDescent="0.25">
      <c r="A4782" t="s">
        <v>9209</v>
      </c>
      <c r="B4782" t="s">
        <v>120</v>
      </c>
      <c r="C4782" t="s">
        <v>336</v>
      </c>
      <c r="D4782" t="s">
        <v>23</v>
      </c>
      <c r="E4782">
        <v>36</v>
      </c>
      <c r="F4782" t="s">
        <v>216</v>
      </c>
      <c r="G4782" t="s">
        <v>25</v>
      </c>
      <c r="H4782" t="s">
        <v>9210</v>
      </c>
      <c r="I4782" s="1" t="d">
        <v>2008-08-11</v>
      </c>
      <c r="J4782" t="s">
        <v>338</v>
      </c>
      <c r="K4782" s="17" t="s">
        <v>149</v>
      </c>
      <c r="L4782">
        <v>5</v>
      </c>
    </row>
    <row r="4783" spans="1:12" x14ac:dyDescent="0.25">
      <c r="A4783" t="s">
        <v>9211</v>
      </c>
      <c r="B4783" t="s">
        <v>563</v>
      </c>
      <c r="C4783" t="s">
        <v>386</v>
      </c>
      <c r="D4783" t="s">
        <v>23</v>
      </c>
      <c r="E4783">
        <v>22</v>
      </c>
      <c r="F4783" t="s">
        <v>1307</v>
      </c>
      <c r="G4783" t="s">
        <v>170</v>
      </c>
      <c r="H4783" t="s">
        <v>9212</v>
      </c>
      <c r="I4783" s="1" t="d">
        <v>2013-08-11</v>
      </c>
      <c r="J4783" t="s">
        <v>1128</v>
      </c>
      <c r="K4783" s="17" t="s">
        <v>100</v>
      </c>
      <c r="L4783">
        <v>4</v>
      </c>
    </row>
    <row r="4784" spans="1:12" x14ac:dyDescent="0.25">
      <c r="A4784" t="s">
        <v>9213</v>
      </c>
      <c r="B4784" t="s">
        <v>36</v>
      </c>
      <c r="C4784" t="s">
        <v>665</v>
      </c>
      <c r="D4784" t="s">
        <v>46</v>
      </c>
      <c r="E4784">
        <v>40</v>
      </c>
      <c r="F4784" t="s">
        <v>3860</v>
      </c>
      <c r="G4784" t="s">
        <v>278</v>
      </c>
      <c r="H4784" t="s">
        <v>9214</v>
      </c>
      <c r="I4784" s="1" t="d">
        <v>2020-07-14</v>
      </c>
      <c r="J4784" t="s">
        <v>7185</v>
      </c>
      <c r="K4784" s="17" t="s">
        <v>90</v>
      </c>
      <c r="L4784">
        <v>5</v>
      </c>
    </row>
    <row r="4785" spans="1:12" x14ac:dyDescent="0.25">
      <c r="A4785" t="s">
        <v>9215</v>
      </c>
      <c r="B4785" t="s">
        <v>139</v>
      </c>
      <c r="C4785" t="s">
        <v>624</v>
      </c>
      <c r="D4785" t="s">
        <v>23</v>
      </c>
      <c r="E4785">
        <v>26</v>
      </c>
      <c r="G4785" t="s">
        <v>278</v>
      </c>
      <c r="H4785">
        <v>87085</v>
      </c>
      <c r="I4785" s="1" t="d">
        <v>2019-08-13</v>
      </c>
      <c r="J4785" t="s">
        <v>6589</v>
      </c>
      <c r="K4785" s="17" t="s">
        <v>71</v>
      </c>
      <c r="L4785">
        <v>4</v>
      </c>
    </row>
    <row r="4786" spans="1:12" x14ac:dyDescent="0.25">
      <c r="A4786" t="s">
        <v>9216</v>
      </c>
      <c r="B4786" t="s">
        <v>4062</v>
      </c>
      <c r="C4786" t="s">
        <v>1039</v>
      </c>
      <c r="D4786" t="s">
        <v>46</v>
      </c>
      <c r="E4786">
        <v>25</v>
      </c>
      <c r="F4786" t="s">
        <v>169</v>
      </c>
      <c r="G4786" t="s">
        <v>351</v>
      </c>
      <c r="H4786" t="s">
        <v>9217</v>
      </c>
      <c r="I4786" s="1" t="d">
        <v>2006-04-22</v>
      </c>
      <c r="J4786" t="s">
        <v>1870</v>
      </c>
      <c r="K4786" s="17" t="s">
        <v>50</v>
      </c>
      <c r="L4786">
        <v>3</v>
      </c>
    </row>
    <row r="4787" spans="1:12" x14ac:dyDescent="0.25">
      <c r="A4787" t="s">
        <v>9218</v>
      </c>
      <c r="B4787" t="s">
        <v>566</v>
      </c>
      <c r="C4787" t="s">
        <v>291</v>
      </c>
      <c r="D4787" t="s">
        <v>46</v>
      </c>
      <c r="E4787">
        <v>33</v>
      </c>
      <c r="F4787" t="s">
        <v>1983</v>
      </c>
      <c r="G4787" t="s">
        <v>95</v>
      </c>
      <c r="I4787" s="1" t="d">
        <v>2007-03-26</v>
      </c>
      <c r="J4787" t="s">
        <v>5064</v>
      </c>
      <c r="K4787" s="17" t="s">
        <v>207</v>
      </c>
      <c r="L4787">
        <v>3</v>
      </c>
    </row>
    <row r="4788" spans="1:12" x14ac:dyDescent="0.25">
      <c r="A4788" t="s">
        <v>9219</v>
      </c>
      <c r="B4788" t="s">
        <v>1124</v>
      </c>
      <c r="C4788" t="s">
        <v>291</v>
      </c>
      <c r="D4788" t="s">
        <v>9527</v>
      </c>
      <c r="E4788">
        <v>38</v>
      </c>
      <c r="F4788" t="s">
        <v>216</v>
      </c>
      <c r="G4788" t="s">
        <v>82</v>
      </c>
      <c r="I4788" s="1" t="d">
        <v>2006-07-31</v>
      </c>
      <c r="J4788" t="s">
        <v>3431</v>
      </c>
      <c r="K4788" s="17" t="s">
        <v>34</v>
      </c>
      <c r="L4788">
        <v>4</v>
      </c>
    </row>
    <row r="4789" spans="1:12" x14ac:dyDescent="0.25">
      <c r="A4789" t="s">
        <v>9220</v>
      </c>
      <c r="B4789" t="s">
        <v>1374</v>
      </c>
      <c r="C4789" t="s">
        <v>14</v>
      </c>
      <c r="D4789" t="s">
        <v>23</v>
      </c>
      <c r="E4789">
        <v>48</v>
      </c>
      <c r="F4789" t="s">
        <v>307</v>
      </c>
      <c r="G4789" t="s">
        <v>177</v>
      </c>
      <c r="H4789">
        <v>52129</v>
      </c>
      <c r="I4789" s="1" t="d">
        <v>2018-01-12</v>
      </c>
      <c r="J4789" t="s">
        <v>3842</v>
      </c>
      <c r="K4789" s="17" t="s">
        <v>207</v>
      </c>
      <c r="L4789">
        <v>3</v>
      </c>
    </row>
    <row r="4790" spans="1:12" x14ac:dyDescent="0.25">
      <c r="A4790" t="s">
        <v>2816</v>
      </c>
      <c r="B4790" t="s">
        <v>993</v>
      </c>
      <c r="C4790" t="s">
        <v>932</v>
      </c>
      <c r="D4790" t="s">
        <v>23</v>
      </c>
      <c r="E4790">
        <v>24</v>
      </c>
      <c r="G4790" t="s">
        <v>182</v>
      </c>
      <c r="H4790" s="2">
        <v>91709</v>
      </c>
      <c r="I4790" s="1" t="d">
        <v>2020-09-13</v>
      </c>
      <c r="J4790" t="s">
        <v>362</v>
      </c>
      <c r="K4790" s="17" t="s">
        <v>370</v>
      </c>
      <c r="L4790">
        <v>5</v>
      </c>
    </row>
    <row r="4791" spans="1:12" x14ac:dyDescent="0.25">
      <c r="A4791" t="s">
        <v>4935</v>
      </c>
      <c r="B4791" t="s">
        <v>804</v>
      </c>
      <c r="C4791" t="s">
        <v>858</v>
      </c>
      <c r="D4791" t="s">
        <v>9527</v>
      </c>
      <c r="E4791">
        <v>30</v>
      </c>
      <c r="F4791" t="s">
        <v>399</v>
      </c>
      <c r="G4791" t="s">
        <v>3253</v>
      </c>
      <c r="H4791">
        <v>93254</v>
      </c>
      <c r="I4791" s="1" t="d">
        <v>2017-12-26</v>
      </c>
      <c r="J4791" t="s">
        <v>4936</v>
      </c>
      <c r="K4791" s="17" t="s">
        <v>207</v>
      </c>
      <c r="L4791">
        <v>4</v>
      </c>
    </row>
    <row r="4792" spans="1:12" x14ac:dyDescent="0.25">
      <c r="A4792" t="s">
        <v>9221</v>
      </c>
      <c r="B4792" t="s">
        <v>1374</v>
      </c>
      <c r="C4792" t="s">
        <v>474</v>
      </c>
      <c r="D4792" t="s">
        <v>9527</v>
      </c>
      <c r="E4792">
        <v>21</v>
      </c>
      <c r="F4792" t="s">
        <v>104</v>
      </c>
      <c r="G4792" t="s">
        <v>82</v>
      </c>
      <c r="H4792" t="s">
        <v>9222</v>
      </c>
      <c r="I4792" s="1" t="d">
        <v>2009-09-23</v>
      </c>
      <c r="J4792" t="s">
        <v>5764</v>
      </c>
      <c r="K4792" s="17" t="s">
        <v>118</v>
      </c>
      <c r="L4792">
        <v>4</v>
      </c>
    </row>
    <row r="4793" spans="1:12" x14ac:dyDescent="0.25">
      <c r="A4793" t="s">
        <v>9223</v>
      </c>
      <c r="B4793" t="s">
        <v>670</v>
      </c>
      <c r="C4793" t="s">
        <v>1356</v>
      </c>
      <c r="D4793" t="s">
        <v>23</v>
      </c>
      <c r="E4793">
        <v>27</v>
      </c>
      <c r="F4793" t="s">
        <v>146</v>
      </c>
      <c r="G4793" t="s">
        <v>32</v>
      </c>
      <c r="I4793" s="1" t="d">
        <v>2013-05-13</v>
      </c>
      <c r="J4793" t="s">
        <v>9224</v>
      </c>
      <c r="K4793" s="17" t="s">
        <v>90</v>
      </c>
      <c r="L4793">
        <v>3</v>
      </c>
    </row>
    <row r="4794" spans="1:12" x14ac:dyDescent="0.25">
      <c r="A4794" t="s">
        <v>9225</v>
      </c>
      <c r="B4794" t="s">
        <v>44</v>
      </c>
      <c r="C4794" t="s">
        <v>324</v>
      </c>
      <c r="D4794" t="s">
        <v>46</v>
      </c>
      <c r="E4794">
        <v>37</v>
      </c>
      <c r="G4794" t="s">
        <v>159</v>
      </c>
      <c r="H4794" t="s">
        <v>9226</v>
      </c>
      <c r="I4794" s="1" t="d">
        <v>2017-06-05</v>
      </c>
      <c r="J4794" t="s">
        <v>4194</v>
      </c>
      <c r="K4794" s="17" t="s">
        <v>90</v>
      </c>
      <c r="L4794">
        <v>3</v>
      </c>
    </row>
    <row r="4795" spans="1:12" x14ac:dyDescent="0.25">
      <c r="A4795" t="s">
        <v>9227</v>
      </c>
      <c r="B4795" t="s">
        <v>769</v>
      </c>
      <c r="C4795" t="s">
        <v>1668</v>
      </c>
      <c r="D4795" t="s">
        <v>23</v>
      </c>
      <c r="E4795">
        <v>30</v>
      </c>
      <c r="F4795" t="s">
        <v>68</v>
      </c>
      <c r="G4795" t="s">
        <v>16</v>
      </c>
      <c r="I4795" s="1" t="d">
        <v>2010-01-16</v>
      </c>
      <c r="J4795" t="s">
        <v>6293</v>
      </c>
      <c r="K4795" s="17" t="s">
        <v>58</v>
      </c>
      <c r="L4795">
        <v>4</v>
      </c>
    </row>
    <row r="4796" spans="1:12" x14ac:dyDescent="0.25">
      <c r="A4796" t="s">
        <v>7965</v>
      </c>
      <c r="B4796" t="s">
        <v>4201</v>
      </c>
      <c r="C4796" t="s">
        <v>204</v>
      </c>
      <c r="D4796" t="s">
        <v>23</v>
      </c>
      <c r="E4796">
        <v>46</v>
      </c>
      <c r="F4796" t="s">
        <v>666</v>
      </c>
      <c r="G4796" t="s">
        <v>3277</v>
      </c>
      <c r="H4796" t="s">
        <v>7966</v>
      </c>
      <c r="I4796" s="1" t="d">
        <v>2022-09-29</v>
      </c>
      <c r="J4796" t="s">
        <v>5461</v>
      </c>
      <c r="K4796" s="17" t="s">
        <v>149</v>
      </c>
      <c r="L4796">
        <v>4</v>
      </c>
    </row>
    <row r="4797" spans="1:12" x14ac:dyDescent="0.25">
      <c r="A4797" t="s">
        <v>4625</v>
      </c>
      <c r="B4797" t="s">
        <v>79</v>
      </c>
      <c r="C4797" t="s">
        <v>1622</v>
      </c>
      <c r="D4797" t="s">
        <v>9527</v>
      </c>
      <c r="E4797">
        <v>39</v>
      </c>
      <c r="F4797" t="s">
        <v>15</v>
      </c>
      <c r="G4797" t="s">
        <v>177</v>
      </c>
      <c r="H4797" t="s">
        <v>9228</v>
      </c>
      <c r="I4797" s="1" t="d">
        <v>2024-10-01</v>
      </c>
      <c r="J4797" t="s">
        <v>4627</v>
      </c>
      <c r="K4797" s="17" t="s">
        <v>19</v>
      </c>
      <c r="L4797">
        <v>4</v>
      </c>
    </row>
    <row r="4798" spans="1:12" x14ac:dyDescent="0.25">
      <c r="A4798" t="s">
        <v>9229</v>
      </c>
      <c r="B4798" t="s">
        <v>180</v>
      </c>
      <c r="C4798" t="s">
        <v>158</v>
      </c>
      <c r="D4798" t="s">
        <v>9527</v>
      </c>
      <c r="E4798">
        <v>28</v>
      </c>
      <c r="F4798" t="s">
        <v>399</v>
      </c>
      <c r="G4798" t="s">
        <v>191</v>
      </c>
      <c r="H4798" s="2">
        <v>52764</v>
      </c>
      <c r="I4798" s="1" t="d">
        <v>2015-06-19</v>
      </c>
      <c r="J4798" t="s">
        <v>2881</v>
      </c>
      <c r="K4798" s="17" t="s">
        <v>27</v>
      </c>
      <c r="L4798">
        <v>5</v>
      </c>
    </row>
    <row r="4799" spans="1:12" x14ac:dyDescent="0.25">
      <c r="A4799" t="s">
        <v>9230</v>
      </c>
      <c r="B4799" t="s">
        <v>1301</v>
      </c>
      <c r="C4799" t="s">
        <v>175</v>
      </c>
      <c r="D4799" t="s">
        <v>9527</v>
      </c>
      <c r="E4799">
        <v>37</v>
      </c>
      <c r="F4799" t="s">
        <v>2065</v>
      </c>
      <c r="G4799" t="s">
        <v>55</v>
      </c>
      <c r="H4799" t="s">
        <v>9231</v>
      </c>
      <c r="I4799" s="1" t="d">
        <v>2007-11-21</v>
      </c>
      <c r="J4799" t="s">
        <v>581</v>
      </c>
      <c r="K4799" s="17" t="s">
        <v>19</v>
      </c>
      <c r="L4799">
        <v>5</v>
      </c>
    </row>
    <row r="4800" spans="1:12" x14ac:dyDescent="0.25">
      <c r="A4800" t="s">
        <v>9232</v>
      </c>
      <c r="B4800" t="s">
        <v>571</v>
      </c>
      <c r="C4800" t="s">
        <v>37</v>
      </c>
      <c r="D4800" t="s">
        <v>9527</v>
      </c>
      <c r="E4800">
        <v>46</v>
      </c>
      <c r="F4800" t="s">
        <v>1908</v>
      </c>
      <c r="G4800" t="s">
        <v>39</v>
      </c>
      <c r="H4800" s="2">
        <v>83144</v>
      </c>
      <c r="I4800" s="1" t="d">
        <v>2020-07-16</v>
      </c>
      <c r="J4800" t="s">
        <v>802</v>
      </c>
      <c r="K4800" s="17" t="s">
        <v>50</v>
      </c>
      <c r="L4800">
        <v>3</v>
      </c>
    </row>
    <row r="4801" spans="1:12" x14ac:dyDescent="0.25">
      <c r="A4801" t="s">
        <v>9233</v>
      </c>
      <c r="B4801" t="s">
        <v>174</v>
      </c>
      <c r="C4801" t="s">
        <v>93</v>
      </c>
      <c r="D4801" t="s">
        <v>9527</v>
      </c>
      <c r="E4801">
        <v>21</v>
      </c>
      <c r="F4801" t="s">
        <v>399</v>
      </c>
      <c r="G4801" t="s">
        <v>39</v>
      </c>
      <c r="H4801" t="s">
        <v>9234</v>
      </c>
      <c r="I4801" s="1" t="d">
        <v>2017-06-06</v>
      </c>
      <c r="J4801" t="s">
        <v>3251</v>
      </c>
      <c r="K4801" s="17" t="s">
        <v>27</v>
      </c>
      <c r="L4801">
        <v>5</v>
      </c>
    </row>
    <row r="4802" spans="1:12" x14ac:dyDescent="0.25">
      <c r="A4802" t="s">
        <v>9235</v>
      </c>
      <c r="B4802" t="s">
        <v>652</v>
      </c>
      <c r="C4802" t="s">
        <v>1142</v>
      </c>
      <c r="D4802" t="s">
        <v>9527</v>
      </c>
      <c r="E4802">
        <v>40</v>
      </c>
      <c r="F4802" t="s">
        <v>211</v>
      </c>
      <c r="G4802" t="s">
        <v>9236</v>
      </c>
      <c r="H4802">
        <v>141220</v>
      </c>
      <c r="I4802" s="1" t="d">
        <v>2016-09-23</v>
      </c>
      <c r="J4802" t="s">
        <v>4063</v>
      </c>
      <c r="K4802" s="17" t="s">
        <v>42</v>
      </c>
      <c r="L4802">
        <v>3</v>
      </c>
    </row>
    <row r="4803" spans="1:12" x14ac:dyDescent="0.25">
      <c r="A4803" t="s">
        <v>9237</v>
      </c>
      <c r="B4803" t="s">
        <v>1124</v>
      </c>
      <c r="C4803" t="s">
        <v>1622</v>
      </c>
      <c r="D4803" t="s">
        <v>23</v>
      </c>
      <c r="E4803">
        <v>35</v>
      </c>
      <c r="F4803" t="s">
        <v>186</v>
      </c>
      <c r="G4803" t="s">
        <v>1329</v>
      </c>
      <c r="I4803" s="1" t="d">
        <v>2006-04-03</v>
      </c>
      <c r="J4803" t="s">
        <v>5778</v>
      </c>
      <c r="K4803" s="17" t="s">
        <v>34</v>
      </c>
      <c r="L4803">
        <v>3</v>
      </c>
    </row>
    <row r="4804" spans="1:12" x14ac:dyDescent="0.25">
      <c r="A4804" t="s">
        <v>9238</v>
      </c>
      <c r="B4804" t="s">
        <v>162</v>
      </c>
      <c r="C4804" t="s">
        <v>898</v>
      </c>
      <c r="D4804" t="s">
        <v>46</v>
      </c>
      <c r="E4804">
        <v>49</v>
      </c>
      <c r="G4804" t="s">
        <v>170</v>
      </c>
      <c r="H4804" t="s">
        <v>9239</v>
      </c>
      <c r="I4804" s="1" t="d">
        <v>2021-01-28</v>
      </c>
      <c r="J4804" t="s">
        <v>820</v>
      </c>
      <c r="K4804" s="17" t="s">
        <v>118</v>
      </c>
      <c r="L4804">
        <v>3</v>
      </c>
    </row>
    <row r="4805" spans="1:12" x14ac:dyDescent="0.25">
      <c r="A4805" t="s">
        <v>9240</v>
      </c>
      <c r="B4805" t="s">
        <v>444</v>
      </c>
      <c r="C4805" t="s">
        <v>2246</v>
      </c>
      <c r="D4805" t="s">
        <v>9527</v>
      </c>
      <c r="E4805">
        <v>43</v>
      </c>
      <c r="F4805" t="s">
        <v>522</v>
      </c>
      <c r="G4805" t="s">
        <v>191</v>
      </c>
      <c r="H4805" t="s">
        <v>9241</v>
      </c>
      <c r="I4805" s="1" t="d">
        <v>2016-04-21</v>
      </c>
      <c r="J4805" t="s">
        <v>1135</v>
      </c>
      <c r="K4805" s="17" t="s">
        <v>149</v>
      </c>
      <c r="L4805">
        <v>3</v>
      </c>
    </row>
    <row r="4806" spans="1:12" x14ac:dyDescent="0.25">
      <c r="A4806" t="s">
        <v>9242</v>
      </c>
      <c r="B4806" t="s">
        <v>251</v>
      </c>
      <c r="C4806" t="s">
        <v>36</v>
      </c>
      <c r="D4806" t="s">
        <v>46</v>
      </c>
      <c r="E4806">
        <v>46</v>
      </c>
      <c r="F4806" t="s">
        <v>238</v>
      </c>
      <c r="G4806" t="s">
        <v>357</v>
      </c>
      <c r="H4806" s="2">
        <v>74322</v>
      </c>
      <c r="I4806" s="1" t="d">
        <v>2017-10-30</v>
      </c>
      <c r="J4806" t="s">
        <v>8460</v>
      </c>
      <c r="K4806" s="17" t="s">
        <v>370</v>
      </c>
      <c r="L4806">
        <v>4</v>
      </c>
    </row>
    <row r="4807" spans="1:12" x14ac:dyDescent="0.25">
      <c r="A4807" t="s">
        <v>9243</v>
      </c>
      <c r="B4807" t="s">
        <v>144</v>
      </c>
      <c r="C4807" t="s">
        <v>168</v>
      </c>
      <c r="D4807" t="s">
        <v>46</v>
      </c>
      <c r="E4807">
        <v>38</v>
      </c>
      <c r="F4807" t="s">
        <v>258</v>
      </c>
      <c r="G4807" t="s">
        <v>48</v>
      </c>
      <c r="H4807" t="s">
        <v>9244</v>
      </c>
      <c r="I4807" s="1" t="d">
        <v>2013-06-16</v>
      </c>
      <c r="J4807" t="s">
        <v>1022</v>
      </c>
      <c r="K4807" s="17" t="s">
        <v>19</v>
      </c>
      <c r="L4807">
        <v>3</v>
      </c>
    </row>
    <row r="4808" spans="1:12" x14ac:dyDescent="0.25">
      <c r="A4808" t="s">
        <v>9245</v>
      </c>
      <c r="B4808" t="s">
        <v>130</v>
      </c>
      <c r="C4808" t="s">
        <v>483</v>
      </c>
      <c r="D4808" t="s">
        <v>23</v>
      </c>
      <c r="E4808">
        <v>46</v>
      </c>
      <c r="F4808" t="s">
        <v>1983</v>
      </c>
      <c r="G4808" t="s">
        <v>177</v>
      </c>
      <c r="H4808" t="s">
        <v>9246</v>
      </c>
      <c r="I4808" s="1" t="d">
        <v>2011-11-03</v>
      </c>
      <c r="J4808" t="s">
        <v>2273</v>
      </c>
      <c r="K4808" s="17" t="s">
        <v>100</v>
      </c>
      <c r="L4808">
        <v>3</v>
      </c>
    </row>
    <row r="4809" spans="1:12" x14ac:dyDescent="0.25">
      <c r="A4809" t="s">
        <v>9247</v>
      </c>
      <c r="B4809" t="s">
        <v>151</v>
      </c>
      <c r="C4809" t="s">
        <v>61</v>
      </c>
      <c r="D4809" t="s">
        <v>46</v>
      </c>
      <c r="E4809">
        <v>42</v>
      </c>
      <c r="F4809" t="s">
        <v>645</v>
      </c>
      <c r="G4809" t="s">
        <v>170</v>
      </c>
      <c r="H4809">
        <v>37732</v>
      </c>
      <c r="I4809" s="1" t="d">
        <v>2024-07-07</v>
      </c>
      <c r="J4809" t="s">
        <v>3115</v>
      </c>
      <c r="K4809" s="17" t="s">
        <v>50</v>
      </c>
      <c r="L4809">
        <v>3</v>
      </c>
    </row>
    <row r="4810" spans="1:12" x14ac:dyDescent="0.25">
      <c r="A4810" t="s">
        <v>9248</v>
      </c>
      <c r="B4810" t="s">
        <v>79</v>
      </c>
      <c r="C4810" t="s">
        <v>3982</v>
      </c>
      <c r="D4810" t="s">
        <v>46</v>
      </c>
      <c r="E4810">
        <v>36</v>
      </c>
      <c r="F4810" t="s">
        <v>522</v>
      </c>
      <c r="G4810" t="s">
        <v>82</v>
      </c>
      <c r="I4810" s="1" t="d">
        <v>2005-03-29</v>
      </c>
      <c r="J4810" t="s">
        <v>528</v>
      </c>
      <c r="K4810" s="17" t="s">
        <v>42</v>
      </c>
      <c r="L4810">
        <v>4</v>
      </c>
    </row>
    <row r="4811" spans="1:12" x14ac:dyDescent="0.25">
      <c r="A4811" t="s">
        <v>9249</v>
      </c>
      <c r="B4811" t="s">
        <v>530</v>
      </c>
      <c r="C4811" t="s">
        <v>1564</v>
      </c>
      <c r="D4811" t="s">
        <v>46</v>
      </c>
      <c r="E4811">
        <v>34</v>
      </c>
      <c r="G4811" t="s">
        <v>69</v>
      </c>
      <c r="H4811" s="2">
        <v>55398</v>
      </c>
      <c r="I4811" s="1" t="d">
        <v>2020-06-15</v>
      </c>
      <c r="J4811" t="s">
        <v>4067</v>
      </c>
      <c r="K4811" s="17" t="s">
        <v>90</v>
      </c>
      <c r="L4811">
        <v>3</v>
      </c>
    </row>
    <row r="4812" spans="1:12" x14ac:dyDescent="0.25">
      <c r="A4812" t="s">
        <v>9250</v>
      </c>
      <c r="B4812" t="s">
        <v>73</v>
      </c>
      <c r="C4812" t="s">
        <v>2079</v>
      </c>
      <c r="D4812" t="s">
        <v>23</v>
      </c>
      <c r="E4812">
        <v>22</v>
      </c>
      <c r="F4812" t="s">
        <v>54</v>
      </c>
      <c r="G4812" t="s">
        <v>141</v>
      </c>
      <c r="H4812" t="s">
        <v>9251</v>
      </c>
      <c r="I4812" s="1" t="d">
        <v>2021-07-13</v>
      </c>
      <c r="J4812" t="s">
        <v>756</v>
      </c>
      <c r="K4812" s="17" t="s">
        <v>34</v>
      </c>
      <c r="L4812">
        <v>3</v>
      </c>
    </row>
    <row r="4813" spans="1:12" x14ac:dyDescent="0.25">
      <c r="A4813" t="s">
        <v>9252</v>
      </c>
      <c r="B4813" t="s">
        <v>9253</v>
      </c>
      <c r="C4813" t="s">
        <v>3554</v>
      </c>
      <c r="D4813" t="s">
        <v>46</v>
      </c>
      <c r="E4813">
        <v>51</v>
      </c>
      <c r="F4813" t="s">
        <v>31</v>
      </c>
      <c r="G4813" t="s">
        <v>39</v>
      </c>
      <c r="H4813" t="s">
        <v>9254</v>
      </c>
      <c r="I4813" s="1" t="d">
        <v>2016-01-25</v>
      </c>
      <c r="J4813" t="s">
        <v>5320</v>
      </c>
      <c r="K4813" s="17" t="s">
        <v>207</v>
      </c>
      <c r="L4813">
        <v>1</v>
      </c>
    </row>
    <row r="4814" spans="1:12" x14ac:dyDescent="0.25">
      <c r="A4814" t="s">
        <v>9255</v>
      </c>
      <c r="B4814" t="s">
        <v>1997</v>
      </c>
      <c r="C4814" t="s">
        <v>1827</v>
      </c>
      <c r="D4814" t="s">
        <v>23</v>
      </c>
      <c r="E4814">
        <v>38</v>
      </c>
      <c r="F4814" t="s">
        <v>122</v>
      </c>
      <c r="G4814" t="s">
        <v>48</v>
      </c>
      <c r="H4814">
        <v>47481</v>
      </c>
      <c r="I4814" s="1" t="d">
        <v>2018-10-05</v>
      </c>
      <c r="J4814" t="s">
        <v>6008</v>
      </c>
      <c r="K4814" s="17" t="s">
        <v>118</v>
      </c>
      <c r="L4814">
        <v>2</v>
      </c>
    </row>
    <row r="4815" spans="1:12" x14ac:dyDescent="0.25">
      <c r="A4815" t="s">
        <v>9256</v>
      </c>
      <c r="B4815" t="s">
        <v>9257</v>
      </c>
      <c r="C4815" t="s">
        <v>349</v>
      </c>
      <c r="D4815" t="s">
        <v>23</v>
      </c>
      <c r="E4815">
        <v>43</v>
      </c>
      <c r="F4815" t="s">
        <v>94</v>
      </c>
      <c r="G4815" t="s">
        <v>115</v>
      </c>
      <c r="H4815" t="s">
        <v>9258</v>
      </c>
      <c r="I4815" s="1" t="d">
        <v>2009-04-26</v>
      </c>
      <c r="J4815" t="s">
        <v>2405</v>
      </c>
      <c r="K4815" s="17" t="s">
        <v>90</v>
      </c>
      <c r="L4815">
        <v>3</v>
      </c>
    </row>
    <row r="4816" spans="1:12" x14ac:dyDescent="0.25">
      <c r="A4816" t="s">
        <v>9259</v>
      </c>
      <c r="B4816" t="s">
        <v>670</v>
      </c>
      <c r="C4816" t="s">
        <v>158</v>
      </c>
      <c r="D4816" t="s">
        <v>9527</v>
      </c>
      <c r="E4816">
        <v>34</v>
      </c>
      <c r="F4816" t="s">
        <v>31</v>
      </c>
      <c r="G4816" t="s">
        <v>212</v>
      </c>
      <c r="H4816">
        <v>50732</v>
      </c>
      <c r="I4816" s="1" t="d">
        <v>2008-02-19</v>
      </c>
      <c r="J4816" t="s">
        <v>7187</v>
      </c>
      <c r="K4816" s="17" t="s">
        <v>50</v>
      </c>
      <c r="L4816">
        <v>3</v>
      </c>
    </row>
    <row r="4817" spans="1:12" x14ac:dyDescent="0.25">
      <c r="A4817" t="s">
        <v>9260</v>
      </c>
      <c r="B4817" t="s">
        <v>1368</v>
      </c>
      <c r="C4817" t="s">
        <v>140</v>
      </c>
      <c r="D4817" t="s">
        <v>46</v>
      </c>
      <c r="E4817">
        <v>40</v>
      </c>
      <c r="F4817" t="s">
        <v>216</v>
      </c>
      <c r="G4817" t="s">
        <v>39</v>
      </c>
      <c r="H4817" t="s">
        <v>9261</v>
      </c>
      <c r="I4817" s="1" t="d">
        <v>2022-08-26</v>
      </c>
      <c r="J4817" t="s">
        <v>1289</v>
      </c>
      <c r="K4817" s="17" t="s">
        <v>100</v>
      </c>
      <c r="L4817">
        <v>3</v>
      </c>
    </row>
    <row r="4818" spans="1:12" x14ac:dyDescent="0.25">
      <c r="A4818" t="s">
        <v>9262</v>
      </c>
      <c r="B4818" t="s">
        <v>773</v>
      </c>
      <c r="C4818" t="s">
        <v>1039</v>
      </c>
      <c r="D4818" t="s">
        <v>46</v>
      </c>
      <c r="E4818">
        <v>36</v>
      </c>
      <c r="F4818" t="s">
        <v>15</v>
      </c>
      <c r="G4818" t="s">
        <v>177</v>
      </c>
      <c r="H4818" s="2">
        <v>73744</v>
      </c>
      <c r="I4818" s="1" t="d">
        <v>2018-12-10</v>
      </c>
      <c r="J4818" t="s">
        <v>9263</v>
      </c>
      <c r="K4818" s="17" t="s">
        <v>19</v>
      </c>
      <c r="L4818">
        <v>3</v>
      </c>
    </row>
    <row r="4819" spans="1:12" x14ac:dyDescent="0.25">
      <c r="A4819" t="s">
        <v>9264</v>
      </c>
      <c r="B4819" t="s">
        <v>203</v>
      </c>
      <c r="C4819" t="s">
        <v>361</v>
      </c>
      <c r="D4819" t="s">
        <v>23</v>
      </c>
      <c r="E4819">
        <v>30</v>
      </c>
      <c r="F4819" t="s">
        <v>24</v>
      </c>
      <c r="G4819" t="s">
        <v>967</v>
      </c>
      <c r="H4819" s="2">
        <v>77830</v>
      </c>
      <c r="I4819" s="1" t="d">
        <v>2013-07-23</v>
      </c>
      <c r="J4819" t="s">
        <v>3667</v>
      </c>
      <c r="K4819" s="17" t="s">
        <v>149</v>
      </c>
      <c r="L4819">
        <v>5</v>
      </c>
    </row>
    <row r="4820" spans="1:12" x14ac:dyDescent="0.25">
      <c r="A4820" t="s">
        <v>9265</v>
      </c>
      <c r="B4820" t="s">
        <v>470</v>
      </c>
      <c r="C4820" t="s">
        <v>988</v>
      </c>
      <c r="D4820" t="s">
        <v>9527</v>
      </c>
      <c r="E4820">
        <v>33</v>
      </c>
      <c r="F4820" t="s">
        <v>373</v>
      </c>
      <c r="G4820" t="s">
        <v>191</v>
      </c>
      <c r="H4820" s="2">
        <v>88369</v>
      </c>
      <c r="I4820" s="1" t="d">
        <v>2009-05-08</v>
      </c>
      <c r="J4820" t="s">
        <v>3238</v>
      </c>
      <c r="K4820" s="17" t="s">
        <v>118</v>
      </c>
      <c r="L4820">
        <v>3</v>
      </c>
    </row>
    <row r="4821" spans="1:12" x14ac:dyDescent="0.25">
      <c r="A4821" t="s">
        <v>9266</v>
      </c>
      <c r="B4821" t="s">
        <v>2681</v>
      </c>
      <c r="C4821" t="s">
        <v>215</v>
      </c>
      <c r="D4821" t="s">
        <v>9527</v>
      </c>
      <c r="E4821">
        <v>21</v>
      </c>
      <c r="F4821" t="s">
        <v>31</v>
      </c>
      <c r="G4821" t="s">
        <v>357</v>
      </c>
      <c r="H4821" t="s">
        <v>9267</v>
      </c>
      <c r="I4821" s="1" t="d">
        <v>2023-09-11</v>
      </c>
      <c r="J4821" t="s">
        <v>165</v>
      </c>
      <c r="K4821" s="17" t="s">
        <v>184</v>
      </c>
      <c r="L4821">
        <v>3</v>
      </c>
    </row>
    <row r="4822" spans="1:12" x14ac:dyDescent="0.25">
      <c r="A4822" t="s">
        <v>9268</v>
      </c>
      <c r="B4822" t="s">
        <v>1824</v>
      </c>
      <c r="C4822" t="s">
        <v>457</v>
      </c>
      <c r="D4822" t="s">
        <v>46</v>
      </c>
      <c r="E4822">
        <v>59</v>
      </c>
      <c r="F4822" t="s">
        <v>411</v>
      </c>
      <c r="G4822" t="s">
        <v>141</v>
      </c>
      <c r="H4822" s="2">
        <v>64327</v>
      </c>
      <c r="I4822" s="1" t="d">
        <v>2017-08-13</v>
      </c>
      <c r="J4822" t="s">
        <v>3861</v>
      </c>
      <c r="K4822" s="17" t="s">
        <v>58</v>
      </c>
      <c r="L4822">
        <v>4</v>
      </c>
    </row>
    <row r="4823" spans="1:12" x14ac:dyDescent="0.25">
      <c r="A4823" t="s">
        <v>9269</v>
      </c>
      <c r="B4823" t="s">
        <v>2147</v>
      </c>
      <c r="C4823" t="s">
        <v>988</v>
      </c>
      <c r="D4823" t="s">
        <v>46</v>
      </c>
      <c r="E4823">
        <v>36</v>
      </c>
      <c r="F4823" t="s">
        <v>94</v>
      </c>
      <c r="G4823" t="s">
        <v>39</v>
      </c>
      <c r="H4823" t="s">
        <v>9270</v>
      </c>
      <c r="J4823" t="s">
        <v>3675</v>
      </c>
      <c r="K4823" s="17" t="s">
        <v>90</v>
      </c>
      <c r="L4823">
        <v>4</v>
      </c>
    </row>
    <row r="4824" spans="1:12" x14ac:dyDescent="0.25">
      <c r="A4824" t="s">
        <v>9271</v>
      </c>
      <c r="B4824" t="s">
        <v>112</v>
      </c>
      <c r="C4824" t="s">
        <v>1622</v>
      </c>
      <c r="D4824" t="s">
        <v>46</v>
      </c>
      <c r="E4824">
        <v>36</v>
      </c>
      <c r="F4824" t="s">
        <v>942</v>
      </c>
      <c r="G4824" t="s">
        <v>3541</v>
      </c>
      <c r="H4824">
        <v>204658</v>
      </c>
      <c r="I4824" s="1" t="d">
        <v>2024-10-06</v>
      </c>
      <c r="J4824" t="s">
        <v>2503</v>
      </c>
      <c r="K4824" s="17" t="s">
        <v>90</v>
      </c>
      <c r="L4824">
        <v>3</v>
      </c>
    </row>
    <row r="4825" spans="1:12" x14ac:dyDescent="0.25">
      <c r="A4825" t="s">
        <v>9272</v>
      </c>
      <c r="B4825" t="s">
        <v>120</v>
      </c>
      <c r="C4825" t="s">
        <v>584</v>
      </c>
      <c r="D4825" t="s">
        <v>9527</v>
      </c>
      <c r="E4825">
        <v>21</v>
      </c>
      <c r="F4825" t="s">
        <v>411</v>
      </c>
      <c r="G4825" t="s">
        <v>407</v>
      </c>
      <c r="H4825" t="s">
        <v>9273</v>
      </c>
      <c r="I4825" s="1" t="d">
        <v>2009-09-21</v>
      </c>
      <c r="J4825" t="s">
        <v>8448</v>
      </c>
      <c r="K4825" s="17" t="s">
        <v>58</v>
      </c>
      <c r="L4825">
        <v>5</v>
      </c>
    </row>
    <row r="4826" spans="1:12" x14ac:dyDescent="0.25">
      <c r="A4826" t="s">
        <v>9274</v>
      </c>
      <c r="B4826" t="s">
        <v>702</v>
      </c>
      <c r="C4826" t="s">
        <v>405</v>
      </c>
      <c r="D4826" t="s">
        <v>9527</v>
      </c>
      <c r="E4826">
        <v>39</v>
      </c>
      <c r="F4826" t="s">
        <v>356</v>
      </c>
      <c r="G4826" t="s">
        <v>48</v>
      </c>
      <c r="H4826" s="2">
        <v>95692</v>
      </c>
      <c r="I4826" s="1" t="d">
        <v>2011-10-23</v>
      </c>
      <c r="J4826" t="s">
        <v>518</v>
      </c>
      <c r="K4826" s="17" t="s">
        <v>27</v>
      </c>
      <c r="L4826">
        <v>5</v>
      </c>
    </row>
    <row r="4827" spans="1:12" x14ac:dyDescent="0.25">
      <c r="A4827" t="s">
        <v>9275</v>
      </c>
      <c r="B4827" t="s">
        <v>1382</v>
      </c>
      <c r="C4827" t="s">
        <v>739</v>
      </c>
      <c r="D4827" t="s">
        <v>46</v>
      </c>
      <c r="E4827">
        <v>46</v>
      </c>
      <c r="F4827" t="s">
        <v>365</v>
      </c>
      <c r="G4827" t="s">
        <v>205</v>
      </c>
      <c r="I4827" s="1" t="d">
        <v>2020-08-04</v>
      </c>
      <c r="J4827" t="s">
        <v>8960</v>
      </c>
      <c r="K4827" s="17" t="s">
        <v>118</v>
      </c>
      <c r="L4827">
        <v>3</v>
      </c>
    </row>
    <row r="4828" spans="1:12" x14ac:dyDescent="0.25">
      <c r="A4828" t="s">
        <v>9276</v>
      </c>
      <c r="B4828" t="s">
        <v>335</v>
      </c>
      <c r="C4828" t="s">
        <v>699</v>
      </c>
      <c r="D4828" t="s">
        <v>46</v>
      </c>
      <c r="E4828">
        <v>44</v>
      </c>
      <c r="F4828" t="s">
        <v>5223</v>
      </c>
      <c r="G4828" t="s">
        <v>3800</v>
      </c>
      <c r="I4828" s="1" t="d">
        <v>2023-08-28</v>
      </c>
      <c r="J4828" t="s">
        <v>4997</v>
      </c>
      <c r="K4828" s="17" t="s">
        <v>50</v>
      </c>
      <c r="L4828">
        <v>2</v>
      </c>
    </row>
    <row r="4829" spans="1:12" x14ac:dyDescent="0.25">
      <c r="A4829" t="s">
        <v>9277</v>
      </c>
      <c r="B4829" t="s">
        <v>86</v>
      </c>
      <c r="C4829" t="s">
        <v>503</v>
      </c>
      <c r="D4829" t="s">
        <v>23</v>
      </c>
      <c r="E4829">
        <v>21</v>
      </c>
      <c r="G4829" t="s">
        <v>16</v>
      </c>
      <c r="H4829" s="2">
        <v>148280</v>
      </c>
      <c r="I4829" s="1" t="d">
        <v>2011-01-14</v>
      </c>
      <c r="J4829" t="s">
        <v>2698</v>
      </c>
      <c r="K4829" s="17" t="s">
        <v>100</v>
      </c>
      <c r="L4829">
        <v>4</v>
      </c>
    </row>
    <row r="4830" spans="1:12" x14ac:dyDescent="0.25">
      <c r="A4830" t="s">
        <v>9278</v>
      </c>
      <c r="B4830" t="s">
        <v>1124</v>
      </c>
      <c r="C4830" t="s">
        <v>1576</v>
      </c>
      <c r="D4830" t="s">
        <v>23</v>
      </c>
      <c r="E4830">
        <v>39</v>
      </c>
      <c r="G4830" t="s">
        <v>504</v>
      </c>
      <c r="H4830">
        <v>39456</v>
      </c>
      <c r="I4830" s="1" t="d">
        <v>2007-01-19</v>
      </c>
      <c r="J4830" t="s">
        <v>1659</v>
      </c>
      <c r="K4830" s="17" t="s">
        <v>118</v>
      </c>
      <c r="L4830">
        <v>4</v>
      </c>
    </row>
    <row r="4831" spans="1:12" x14ac:dyDescent="0.25">
      <c r="A4831" t="s">
        <v>9279</v>
      </c>
      <c r="B4831" t="s">
        <v>86</v>
      </c>
      <c r="C4831" t="s">
        <v>898</v>
      </c>
      <c r="D4831" t="s">
        <v>9527</v>
      </c>
      <c r="E4831">
        <v>23</v>
      </c>
      <c r="F4831" t="s">
        <v>532</v>
      </c>
      <c r="G4831" t="s">
        <v>641</v>
      </c>
      <c r="H4831" t="s">
        <v>9280</v>
      </c>
      <c r="I4831" s="1" t="d">
        <v>2007-12-15</v>
      </c>
      <c r="J4831" t="s">
        <v>6631</v>
      </c>
      <c r="K4831" s="17" t="s">
        <v>27</v>
      </c>
      <c r="L4831">
        <v>4</v>
      </c>
    </row>
    <row r="4832" spans="1:12" x14ac:dyDescent="0.25">
      <c r="A4832" t="s">
        <v>9281</v>
      </c>
      <c r="B4832" t="s">
        <v>3476</v>
      </c>
      <c r="C4832" t="s">
        <v>2428</v>
      </c>
      <c r="D4832" t="s">
        <v>46</v>
      </c>
      <c r="E4832">
        <v>36</v>
      </c>
      <c r="F4832" t="s">
        <v>238</v>
      </c>
      <c r="G4832" t="s">
        <v>191</v>
      </c>
      <c r="H4832" s="2">
        <v>48756</v>
      </c>
      <c r="I4832" s="1" t="d">
        <v>2014-07-15</v>
      </c>
      <c r="J4832" t="s">
        <v>3477</v>
      </c>
      <c r="K4832" s="17" t="s">
        <v>184</v>
      </c>
      <c r="L4832">
        <v>4</v>
      </c>
    </row>
    <row r="4833" spans="1:12" x14ac:dyDescent="0.25">
      <c r="A4833" t="s">
        <v>9282</v>
      </c>
      <c r="B4833" t="s">
        <v>410</v>
      </c>
      <c r="C4833" t="s">
        <v>67</v>
      </c>
      <c r="D4833" t="s">
        <v>9527</v>
      </c>
      <c r="E4833">
        <v>45</v>
      </c>
      <c r="F4833" t="s">
        <v>94</v>
      </c>
      <c r="G4833" t="s">
        <v>170</v>
      </c>
      <c r="I4833" s="1" t="d">
        <v>2023-06-26</v>
      </c>
      <c r="J4833" t="s">
        <v>1362</v>
      </c>
      <c r="K4833" s="17" t="s">
        <v>58</v>
      </c>
      <c r="L4833">
        <v>4</v>
      </c>
    </row>
    <row r="4834" spans="1:12" x14ac:dyDescent="0.25">
      <c r="A4834" t="s">
        <v>9283</v>
      </c>
      <c r="B4834" t="s">
        <v>180</v>
      </c>
      <c r="C4834" t="s">
        <v>135</v>
      </c>
      <c r="D4834" t="s">
        <v>9527</v>
      </c>
      <c r="E4834">
        <v>28</v>
      </c>
      <c r="F4834" t="s">
        <v>589</v>
      </c>
      <c r="G4834" t="s">
        <v>217</v>
      </c>
      <c r="H4834" s="2">
        <v>77172</v>
      </c>
      <c r="I4834" s="1" t="d">
        <v>2009-01-12</v>
      </c>
      <c r="J4834" t="s">
        <v>4334</v>
      </c>
      <c r="K4834" s="17" t="s">
        <v>71</v>
      </c>
      <c r="L4834">
        <v>3</v>
      </c>
    </row>
    <row r="4835" spans="1:12" x14ac:dyDescent="0.25">
      <c r="A4835" t="s">
        <v>1500</v>
      </c>
      <c r="B4835" t="s">
        <v>162</v>
      </c>
      <c r="C4835" t="s">
        <v>210</v>
      </c>
      <c r="D4835" t="s">
        <v>23</v>
      </c>
      <c r="E4835">
        <v>38</v>
      </c>
      <c r="F4835" t="s">
        <v>350</v>
      </c>
      <c r="G4835" t="s">
        <v>328</v>
      </c>
      <c r="I4835" s="1" t="d">
        <v>2013-10-27</v>
      </c>
      <c r="J4835" t="s">
        <v>1501</v>
      </c>
      <c r="K4835" s="17" t="s">
        <v>27</v>
      </c>
      <c r="L4835">
        <v>3</v>
      </c>
    </row>
    <row r="4836" spans="1:12" x14ac:dyDescent="0.25">
      <c r="A4836" t="s">
        <v>9284</v>
      </c>
      <c r="B4836" t="s">
        <v>936</v>
      </c>
      <c r="C4836" t="s">
        <v>521</v>
      </c>
      <c r="D4836" t="s">
        <v>46</v>
      </c>
      <c r="E4836">
        <v>47</v>
      </c>
      <c r="G4836" t="s">
        <v>320</v>
      </c>
      <c r="H4836" t="s">
        <v>9285</v>
      </c>
      <c r="I4836" s="1" t="d">
        <v>2023-08-20</v>
      </c>
      <c r="J4836" t="s">
        <v>2021</v>
      </c>
      <c r="K4836" s="17" t="s">
        <v>90</v>
      </c>
      <c r="L4836">
        <v>3</v>
      </c>
    </row>
    <row r="4837" spans="1:12" x14ac:dyDescent="0.25">
      <c r="A4837" t="s">
        <v>9286</v>
      </c>
      <c r="B4837" t="s">
        <v>355</v>
      </c>
      <c r="C4837" t="s">
        <v>805</v>
      </c>
      <c r="D4837" t="s">
        <v>23</v>
      </c>
      <c r="E4837">
        <v>36</v>
      </c>
      <c r="F4837" t="s">
        <v>399</v>
      </c>
      <c r="G4837" t="s">
        <v>526</v>
      </c>
      <c r="H4837">
        <v>52616</v>
      </c>
      <c r="I4837" s="1" t="d">
        <v>2024-04-25</v>
      </c>
      <c r="J4837" t="s">
        <v>9287</v>
      </c>
      <c r="K4837" s="17" t="s">
        <v>118</v>
      </c>
      <c r="L4837">
        <v>2</v>
      </c>
    </row>
    <row r="4838" spans="1:12" x14ac:dyDescent="0.25">
      <c r="A4838" t="s">
        <v>9288</v>
      </c>
      <c r="B4838" t="s">
        <v>1512</v>
      </c>
      <c r="C4838" t="s">
        <v>2548</v>
      </c>
      <c r="D4838" t="s">
        <v>46</v>
      </c>
      <c r="E4838">
        <v>28</v>
      </c>
      <c r="F4838" t="s">
        <v>918</v>
      </c>
      <c r="G4838" t="s">
        <v>16</v>
      </c>
      <c r="H4838" t="s">
        <v>9289</v>
      </c>
      <c r="I4838" s="1" t="d">
        <v>2017-04-21</v>
      </c>
      <c r="J4838" t="s">
        <v>1397</v>
      </c>
      <c r="K4838" s="17" t="s">
        <v>71</v>
      </c>
      <c r="L4838">
        <v>3</v>
      </c>
    </row>
    <row r="4839" spans="1:12" x14ac:dyDescent="0.25">
      <c r="A4839" t="s">
        <v>7967</v>
      </c>
      <c r="B4839" t="s">
        <v>936</v>
      </c>
      <c r="C4839" t="s">
        <v>210</v>
      </c>
      <c r="D4839" t="s">
        <v>23</v>
      </c>
      <c r="E4839">
        <v>33</v>
      </c>
      <c r="F4839" t="s">
        <v>399</v>
      </c>
      <c r="G4839" t="s">
        <v>283</v>
      </c>
      <c r="H4839" t="s">
        <v>9290</v>
      </c>
      <c r="I4839" s="1" t="d">
        <v>2019-08-12</v>
      </c>
      <c r="J4839" t="s">
        <v>1126</v>
      </c>
      <c r="K4839" s="17" t="s">
        <v>184</v>
      </c>
      <c r="L4839">
        <v>3</v>
      </c>
    </row>
    <row r="4840" spans="1:12" x14ac:dyDescent="0.25">
      <c r="A4840" t="s">
        <v>9291</v>
      </c>
      <c r="B4840" t="s">
        <v>448</v>
      </c>
      <c r="C4840" t="s">
        <v>395</v>
      </c>
      <c r="D4840" t="s">
        <v>9527</v>
      </c>
      <c r="E4840">
        <v>26</v>
      </c>
      <c r="F4840" t="s">
        <v>522</v>
      </c>
      <c r="G4840" t="s">
        <v>82</v>
      </c>
      <c r="H4840" t="s">
        <v>9292</v>
      </c>
      <c r="I4840" s="1" t="d">
        <v>2023-12-12</v>
      </c>
      <c r="J4840" t="s">
        <v>1720</v>
      </c>
      <c r="K4840" s="17" t="s">
        <v>50</v>
      </c>
      <c r="L4840">
        <v>3</v>
      </c>
    </row>
    <row r="4841" spans="1:12" x14ac:dyDescent="0.25">
      <c r="A4841" t="s">
        <v>9293</v>
      </c>
      <c r="B4841" t="s">
        <v>6039</v>
      </c>
      <c r="C4841" t="s">
        <v>168</v>
      </c>
      <c r="D4841" t="s">
        <v>9527</v>
      </c>
      <c r="E4841">
        <v>34</v>
      </c>
      <c r="F4841" t="s">
        <v>31</v>
      </c>
      <c r="G4841" t="s">
        <v>39</v>
      </c>
      <c r="I4841" s="1" t="d">
        <v>2017-11-30</v>
      </c>
      <c r="J4841" t="s">
        <v>3404</v>
      </c>
      <c r="K4841" s="17" t="s">
        <v>58</v>
      </c>
      <c r="L4841">
        <v>3</v>
      </c>
    </row>
    <row r="4842" spans="1:12" x14ac:dyDescent="0.25">
      <c r="A4842" t="s">
        <v>9294</v>
      </c>
      <c r="B4842" t="s">
        <v>102</v>
      </c>
      <c r="C4842" t="s">
        <v>474</v>
      </c>
      <c r="D4842" t="s">
        <v>9527</v>
      </c>
      <c r="E4842">
        <v>45</v>
      </c>
      <c r="F4842" t="s">
        <v>522</v>
      </c>
      <c r="G4842" t="s">
        <v>177</v>
      </c>
      <c r="H4842">
        <v>83928</v>
      </c>
      <c r="I4842" s="1" t="d">
        <v>2009-11-09</v>
      </c>
      <c r="J4842" t="s">
        <v>6190</v>
      </c>
      <c r="K4842" s="17" t="s">
        <v>118</v>
      </c>
      <c r="L4842">
        <v>1</v>
      </c>
    </row>
    <row r="4843" spans="1:12" x14ac:dyDescent="0.25">
      <c r="A4843" t="s">
        <v>9295</v>
      </c>
      <c r="B4843" t="s">
        <v>841</v>
      </c>
      <c r="C4843" t="s">
        <v>1320</v>
      </c>
      <c r="D4843" t="s">
        <v>23</v>
      </c>
      <c r="E4843">
        <v>25</v>
      </c>
      <c r="G4843" t="s">
        <v>500</v>
      </c>
      <c r="I4843" s="1" t="d">
        <v>2020-06-25</v>
      </c>
      <c r="J4843" t="s">
        <v>844</v>
      </c>
      <c r="K4843" s="17" t="s">
        <v>27</v>
      </c>
      <c r="L4843">
        <v>4</v>
      </c>
    </row>
    <row r="4844" spans="1:12" x14ac:dyDescent="0.25">
      <c r="A4844" t="s">
        <v>9296</v>
      </c>
      <c r="B4844" t="s">
        <v>945</v>
      </c>
      <c r="C4844" t="s">
        <v>739</v>
      </c>
      <c r="D4844" t="s">
        <v>23</v>
      </c>
      <c r="E4844">
        <v>24</v>
      </c>
      <c r="F4844" t="s">
        <v>666</v>
      </c>
      <c r="G4844" t="s">
        <v>337</v>
      </c>
      <c r="H4844" t="s">
        <v>9297</v>
      </c>
      <c r="I4844" s="1" t="d">
        <v>2024-12-26</v>
      </c>
      <c r="J4844" t="s">
        <v>1489</v>
      </c>
      <c r="K4844" s="17" t="s">
        <v>207</v>
      </c>
      <c r="L4844">
        <v>3</v>
      </c>
    </row>
    <row r="4845" spans="1:12" x14ac:dyDescent="0.25">
      <c r="A4845" t="s">
        <v>9298</v>
      </c>
      <c r="B4845" t="s">
        <v>841</v>
      </c>
      <c r="C4845" t="s">
        <v>483</v>
      </c>
      <c r="D4845" t="s">
        <v>9527</v>
      </c>
      <c r="E4845">
        <v>50</v>
      </c>
      <c r="G4845" t="s">
        <v>159</v>
      </c>
      <c r="I4845" s="1" t="d">
        <v>2011-11-29</v>
      </c>
      <c r="J4845" t="s">
        <v>4289</v>
      </c>
      <c r="K4845" s="17" t="s">
        <v>58</v>
      </c>
      <c r="L4845">
        <v>5</v>
      </c>
    </row>
    <row r="4846" spans="1:12" x14ac:dyDescent="0.25">
      <c r="A4846" t="s">
        <v>9299</v>
      </c>
      <c r="B4846" t="s">
        <v>2272</v>
      </c>
      <c r="C4846" t="s">
        <v>1326</v>
      </c>
      <c r="D4846" t="s">
        <v>9527</v>
      </c>
      <c r="E4846">
        <v>27</v>
      </c>
      <c r="F4846" t="s">
        <v>350</v>
      </c>
      <c r="G4846" t="s">
        <v>177</v>
      </c>
      <c r="I4846" s="1" t="d">
        <v>2007-08-02</v>
      </c>
      <c r="J4846" t="s">
        <v>2439</v>
      </c>
      <c r="K4846" s="17" t="s">
        <v>184</v>
      </c>
      <c r="L4846">
        <v>4</v>
      </c>
    </row>
    <row r="4847" spans="1:12" x14ac:dyDescent="0.25">
      <c r="A4847" t="s">
        <v>9300</v>
      </c>
      <c r="B4847" t="s">
        <v>1382</v>
      </c>
      <c r="C4847" t="s">
        <v>869</v>
      </c>
      <c r="D4847" t="s">
        <v>46</v>
      </c>
      <c r="E4847">
        <v>51</v>
      </c>
      <c r="F4847" t="s">
        <v>258</v>
      </c>
      <c r="G4847" t="s">
        <v>641</v>
      </c>
      <c r="H4847" t="s">
        <v>9301</v>
      </c>
      <c r="I4847" s="1" t="d">
        <v>2019-01-15</v>
      </c>
      <c r="J4847" t="s">
        <v>872</v>
      </c>
      <c r="K4847" s="17" t="s">
        <v>71</v>
      </c>
      <c r="L4847">
        <v>2</v>
      </c>
    </row>
    <row r="4848" spans="1:12" x14ac:dyDescent="0.25">
      <c r="A4848" t="s">
        <v>9302</v>
      </c>
      <c r="B4848" t="s">
        <v>60</v>
      </c>
      <c r="C4848" t="s">
        <v>4833</v>
      </c>
      <c r="D4848" t="s">
        <v>46</v>
      </c>
      <c r="E4848">
        <v>33</v>
      </c>
      <c r="F4848" t="s">
        <v>122</v>
      </c>
      <c r="G4848" t="s">
        <v>147</v>
      </c>
      <c r="H4848" t="s">
        <v>9303</v>
      </c>
      <c r="I4848" s="1" t="d">
        <v>2016-04-16</v>
      </c>
      <c r="J4848" t="s">
        <v>2921</v>
      </c>
      <c r="K4848" s="17" t="s">
        <v>50</v>
      </c>
      <c r="L4848">
        <v>2</v>
      </c>
    </row>
    <row r="4849" spans="1:12" x14ac:dyDescent="0.25">
      <c r="A4849" t="s">
        <v>9304</v>
      </c>
      <c r="B4849" t="s">
        <v>2681</v>
      </c>
      <c r="C4849" t="s">
        <v>2023</v>
      </c>
      <c r="D4849" t="s">
        <v>46</v>
      </c>
      <c r="E4849">
        <v>40</v>
      </c>
      <c r="F4849" t="s">
        <v>559</v>
      </c>
      <c r="G4849" t="s">
        <v>458</v>
      </c>
      <c r="I4849" s="1" t="d">
        <v>2018-11-25</v>
      </c>
      <c r="J4849" t="s">
        <v>7996</v>
      </c>
      <c r="K4849" s="17" t="s">
        <v>90</v>
      </c>
      <c r="L4849">
        <v>4</v>
      </c>
    </row>
    <row r="4850" spans="1:12" x14ac:dyDescent="0.25">
      <c r="A4850" t="s">
        <v>7627</v>
      </c>
      <c r="B4850" t="s">
        <v>664</v>
      </c>
      <c r="C4850" t="s">
        <v>763</v>
      </c>
      <c r="D4850" t="s">
        <v>9527</v>
      </c>
      <c r="E4850">
        <v>56</v>
      </c>
      <c r="F4850" t="s">
        <v>2090</v>
      </c>
      <c r="G4850" t="s">
        <v>177</v>
      </c>
      <c r="H4850" s="2">
        <v>47212</v>
      </c>
      <c r="I4850" s="1" t="d">
        <v>2008-08-03</v>
      </c>
      <c r="J4850" t="s">
        <v>2527</v>
      </c>
      <c r="K4850" s="17" t="s">
        <v>118</v>
      </c>
      <c r="L4850">
        <v>4</v>
      </c>
    </row>
    <row r="4851" spans="1:12" x14ac:dyDescent="0.25">
      <c r="A4851" t="s">
        <v>2940</v>
      </c>
      <c r="B4851" t="s">
        <v>4048</v>
      </c>
      <c r="C4851" t="s">
        <v>1356</v>
      </c>
      <c r="D4851" t="s">
        <v>46</v>
      </c>
      <c r="E4851">
        <v>42</v>
      </c>
      <c r="F4851" t="s">
        <v>196</v>
      </c>
      <c r="G4851" t="s">
        <v>39</v>
      </c>
      <c r="H4851" t="s">
        <v>9305</v>
      </c>
      <c r="I4851" s="1" t="d">
        <v>2009-09-19</v>
      </c>
      <c r="J4851" t="s">
        <v>2941</v>
      </c>
      <c r="K4851" s="17" t="s">
        <v>184</v>
      </c>
      <c r="L4851">
        <v>3</v>
      </c>
    </row>
    <row r="4852" spans="1:12" x14ac:dyDescent="0.25">
      <c r="A4852" t="s">
        <v>9306</v>
      </c>
      <c r="B4852" t="s">
        <v>1096</v>
      </c>
      <c r="C4852" t="s">
        <v>858</v>
      </c>
      <c r="D4852" t="s">
        <v>23</v>
      </c>
      <c r="E4852">
        <v>67</v>
      </c>
      <c r="F4852" t="s">
        <v>169</v>
      </c>
      <c r="G4852" t="s">
        <v>423</v>
      </c>
      <c r="H4852" t="s">
        <v>9307</v>
      </c>
      <c r="I4852" s="1" t="d">
        <v>2013-05-26</v>
      </c>
      <c r="J4852" t="s">
        <v>4489</v>
      </c>
      <c r="K4852" s="17" t="s">
        <v>42</v>
      </c>
      <c r="L4852">
        <v>4</v>
      </c>
    </row>
    <row r="4853" spans="1:12" x14ac:dyDescent="0.25">
      <c r="A4853" t="s">
        <v>9308</v>
      </c>
      <c r="B4853" t="s">
        <v>1647</v>
      </c>
      <c r="C4853" t="s">
        <v>584</v>
      </c>
      <c r="D4853" t="s">
        <v>46</v>
      </c>
      <c r="E4853">
        <v>34</v>
      </c>
      <c r="F4853" t="s">
        <v>190</v>
      </c>
      <c r="G4853" t="s">
        <v>39</v>
      </c>
      <c r="H4853" t="s">
        <v>9309</v>
      </c>
      <c r="I4853" s="1" t="d">
        <v>2018-06-18</v>
      </c>
      <c r="J4853" t="s">
        <v>5324</v>
      </c>
      <c r="K4853" s="17" t="s">
        <v>58</v>
      </c>
      <c r="L4853">
        <v>4</v>
      </c>
    </row>
    <row r="4854" spans="1:12" x14ac:dyDescent="0.25">
      <c r="A4854" t="s">
        <v>3568</v>
      </c>
      <c r="B4854" t="s">
        <v>833</v>
      </c>
      <c r="C4854" t="s">
        <v>1337</v>
      </c>
      <c r="D4854" t="s">
        <v>9527</v>
      </c>
      <c r="E4854">
        <v>36</v>
      </c>
      <c r="F4854" t="s">
        <v>54</v>
      </c>
      <c r="G4854" t="s">
        <v>278</v>
      </c>
      <c r="H4854" t="s">
        <v>9310</v>
      </c>
      <c r="I4854" s="1" t="d">
        <v>2023-12-08</v>
      </c>
      <c r="J4854" t="s">
        <v>3570</v>
      </c>
      <c r="K4854" s="17" t="s">
        <v>184</v>
      </c>
      <c r="L4854">
        <v>5</v>
      </c>
    </row>
    <row r="4855" spans="1:12" x14ac:dyDescent="0.25">
      <c r="A4855" t="s">
        <v>7785</v>
      </c>
      <c r="B4855" t="s">
        <v>102</v>
      </c>
      <c r="C4855" t="s">
        <v>830</v>
      </c>
      <c r="D4855" t="s">
        <v>23</v>
      </c>
      <c r="E4855">
        <v>45</v>
      </c>
      <c r="F4855" t="s">
        <v>2771</v>
      </c>
      <c r="G4855" t="s">
        <v>16</v>
      </c>
      <c r="H4855" t="s">
        <v>7786</v>
      </c>
      <c r="I4855" s="1" t="d">
        <v>2010-12-13</v>
      </c>
      <c r="J4855" t="s">
        <v>6540</v>
      </c>
      <c r="K4855" s="17" t="s">
        <v>42</v>
      </c>
      <c r="L4855">
        <v>3</v>
      </c>
    </row>
    <row r="4856" spans="1:12" x14ac:dyDescent="0.25">
      <c r="A4856" t="s">
        <v>9311</v>
      </c>
      <c r="B4856" t="s">
        <v>2252</v>
      </c>
      <c r="C4856" t="s">
        <v>1146</v>
      </c>
      <c r="D4856" t="s">
        <v>9527</v>
      </c>
      <c r="E4856">
        <v>59</v>
      </c>
      <c r="F4856" t="s">
        <v>238</v>
      </c>
      <c r="G4856" t="s">
        <v>115</v>
      </c>
      <c r="H4856" t="s">
        <v>9312</v>
      </c>
      <c r="I4856" s="1" t="d">
        <v>2014-11-25</v>
      </c>
      <c r="J4856" t="s">
        <v>1149</v>
      </c>
      <c r="K4856" s="17" t="s">
        <v>184</v>
      </c>
      <c r="L4856">
        <v>3</v>
      </c>
    </row>
    <row r="4857" spans="1:12" x14ac:dyDescent="0.25">
      <c r="A4857" t="s">
        <v>9313</v>
      </c>
      <c r="B4857" t="s">
        <v>37</v>
      </c>
      <c r="C4857" t="s">
        <v>9314</v>
      </c>
      <c r="D4857" t="s">
        <v>9527</v>
      </c>
      <c r="E4857">
        <v>41</v>
      </c>
      <c r="F4857" t="s">
        <v>411</v>
      </c>
      <c r="G4857" t="s">
        <v>526</v>
      </c>
      <c r="H4857" s="2">
        <v>45035</v>
      </c>
      <c r="I4857" s="1" t="d">
        <v>2007-10-20</v>
      </c>
      <c r="J4857" t="s">
        <v>7984</v>
      </c>
      <c r="K4857" s="17" t="s">
        <v>71</v>
      </c>
      <c r="L4857">
        <v>4</v>
      </c>
    </row>
    <row r="4858" spans="1:12" x14ac:dyDescent="0.25">
      <c r="A4858" t="s">
        <v>9149</v>
      </c>
      <c r="B4858" t="s">
        <v>6239</v>
      </c>
      <c r="C4858" t="s">
        <v>1248</v>
      </c>
      <c r="D4858" t="s">
        <v>46</v>
      </c>
      <c r="E4858">
        <v>26</v>
      </c>
      <c r="G4858" t="s">
        <v>212</v>
      </c>
      <c r="H4858" t="s">
        <v>9150</v>
      </c>
      <c r="I4858" s="1" t="d">
        <v>2019-04-11</v>
      </c>
      <c r="J4858" t="s">
        <v>1087</v>
      </c>
      <c r="K4858" s="17" t="s">
        <v>27</v>
      </c>
      <c r="L4858">
        <v>3</v>
      </c>
    </row>
    <row r="4859" spans="1:12" x14ac:dyDescent="0.25">
      <c r="A4859" t="s">
        <v>9315</v>
      </c>
      <c r="B4859" t="s">
        <v>112</v>
      </c>
      <c r="C4859" t="s">
        <v>1384</v>
      </c>
      <c r="D4859" t="s">
        <v>46</v>
      </c>
      <c r="E4859">
        <v>43</v>
      </c>
      <c r="G4859" t="s">
        <v>191</v>
      </c>
      <c r="H4859" t="s">
        <v>9316</v>
      </c>
      <c r="I4859" s="1" t="d">
        <v>2007-10-22</v>
      </c>
      <c r="J4859" t="s">
        <v>5617</v>
      </c>
      <c r="K4859" s="17" t="s">
        <v>27</v>
      </c>
      <c r="L4859">
        <v>3</v>
      </c>
    </row>
    <row r="4860" spans="1:12" x14ac:dyDescent="0.25">
      <c r="A4860" t="s">
        <v>9317</v>
      </c>
      <c r="B4860" t="s">
        <v>709</v>
      </c>
      <c r="C4860" t="s">
        <v>195</v>
      </c>
      <c r="D4860" t="s">
        <v>23</v>
      </c>
      <c r="E4860">
        <v>33</v>
      </c>
      <c r="F4860" t="s">
        <v>296</v>
      </c>
      <c r="G4860" t="s">
        <v>55</v>
      </c>
      <c r="H4860" t="s">
        <v>9318</v>
      </c>
      <c r="I4860" s="1" t="d">
        <v>2014-03-03</v>
      </c>
      <c r="J4860" t="s">
        <v>8735</v>
      </c>
      <c r="K4860" s="17" t="s">
        <v>58</v>
      </c>
      <c r="L4860">
        <v>5</v>
      </c>
    </row>
    <row r="4861" spans="1:12" x14ac:dyDescent="0.25">
      <c r="A4861" t="s">
        <v>9319</v>
      </c>
      <c r="B4861" t="s">
        <v>833</v>
      </c>
      <c r="C4861" t="s">
        <v>2895</v>
      </c>
      <c r="D4861" t="s">
        <v>23</v>
      </c>
      <c r="E4861">
        <v>41</v>
      </c>
      <c r="F4861" t="s">
        <v>38</v>
      </c>
      <c r="G4861" t="s">
        <v>177</v>
      </c>
      <c r="H4861" t="s">
        <v>9320</v>
      </c>
      <c r="I4861" s="1" t="d">
        <v>2008-08-04</v>
      </c>
      <c r="J4861" t="s">
        <v>4802</v>
      </c>
      <c r="K4861" s="17" t="s">
        <v>19</v>
      </c>
      <c r="L4861">
        <v>2</v>
      </c>
    </row>
    <row r="4862" spans="1:12" x14ac:dyDescent="0.25">
      <c r="A4862" t="s">
        <v>9321</v>
      </c>
      <c r="B4862" t="s">
        <v>167</v>
      </c>
      <c r="C4862" t="s">
        <v>318</v>
      </c>
      <c r="D4862" t="s">
        <v>46</v>
      </c>
      <c r="E4862">
        <v>28</v>
      </c>
      <c r="F4862" t="s">
        <v>38</v>
      </c>
      <c r="G4862" t="s">
        <v>69</v>
      </c>
      <c r="H4862">
        <v>69249</v>
      </c>
      <c r="I4862" s="1" t="d">
        <v>2023-02-04</v>
      </c>
      <c r="J4862" t="s">
        <v>6795</v>
      </c>
      <c r="K4862" s="17" t="s">
        <v>71</v>
      </c>
      <c r="L4862">
        <v>3</v>
      </c>
    </row>
    <row r="4863" spans="1:12" x14ac:dyDescent="0.25">
      <c r="A4863" t="s">
        <v>9322</v>
      </c>
      <c r="B4863" t="s">
        <v>999</v>
      </c>
      <c r="C4863" t="s">
        <v>318</v>
      </c>
      <c r="D4863" t="s">
        <v>23</v>
      </c>
      <c r="E4863">
        <v>37</v>
      </c>
      <c r="F4863" t="s">
        <v>399</v>
      </c>
      <c r="G4863" t="s">
        <v>177</v>
      </c>
      <c r="H4863" t="s">
        <v>9323</v>
      </c>
      <c r="I4863" s="1" t="d">
        <v>2020-12-20</v>
      </c>
      <c r="J4863" t="s">
        <v>1255</v>
      </c>
      <c r="K4863" s="17" t="s">
        <v>34</v>
      </c>
      <c r="L4863">
        <v>4</v>
      </c>
    </row>
    <row r="4864" spans="1:12" x14ac:dyDescent="0.25">
      <c r="A4864" t="s">
        <v>9324</v>
      </c>
      <c r="B4864" t="s">
        <v>3051</v>
      </c>
      <c r="C4864" t="s">
        <v>2242</v>
      </c>
      <c r="D4864" t="s">
        <v>23</v>
      </c>
      <c r="E4864">
        <v>43</v>
      </c>
      <c r="F4864" t="s">
        <v>666</v>
      </c>
      <c r="G4864" t="s">
        <v>182</v>
      </c>
      <c r="H4864">
        <v>92887</v>
      </c>
      <c r="I4864" s="1" t="d">
        <v>2007-03-19</v>
      </c>
      <c r="J4864" t="s">
        <v>2210</v>
      </c>
      <c r="K4864" s="17" t="s">
        <v>27</v>
      </c>
      <c r="L4864">
        <v>3</v>
      </c>
    </row>
    <row r="4865" spans="1:12" x14ac:dyDescent="0.25">
      <c r="A4865" t="s">
        <v>9325</v>
      </c>
      <c r="B4865" t="s">
        <v>914</v>
      </c>
      <c r="C4865" t="s">
        <v>1734</v>
      </c>
      <c r="D4865" t="s">
        <v>9527</v>
      </c>
      <c r="E4865">
        <v>21</v>
      </c>
      <c r="F4865" t="s">
        <v>104</v>
      </c>
      <c r="G4865" t="s">
        <v>141</v>
      </c>
      <c r="H4865">
        <v>67924</v>
      </c>
      <c r="I4865" s="1" t="d">
        <v>2011-07-23</v>
      </c>
      <c r="J4865" t="s">
        <v>2845</v>
      </c>
      <c r="K4865" s="17" t="s">
        <v>34</v>
      </c>
      <c r="L4865">
        <v>4</v>
      </c>
    </row>
    <row r="4866" spans="1:12" x14ac:dyDescent="0.25">
      <c r="A4866" t="s">
        <v>9326</v>
      </c>
      <c r="B4866" t="s">
        <v>718</v>
      </c>
      <c r="C4866" t="s">
        <v>268</v>
      </c>
      <c r="D4866" t="s">
        <v>9527</v>
      </c>
      <c r="E4866">
        <v>21</v>
      </c>
      <c r="F4866" t="s">
        <v>2998</v>
      </c>
      <c r="G4866" t="s">
        <v>39</v>
      </c>
      <c r="H4866">
        <v>74278</v>
      </c>
      <c r="I4866" s="1" t="d">
        <v>2022-12-06</v>
      </c>
      <c r="J4866" t="s">
        <v>693</v>
      </c>
      <c r="K4866" s="17" t="s">
        <v>71</v>
      </c>
      <c r="L4866">
        <v>1</v>
      </c>
    </row>
    <row r="4867" spans="1:12" x14ac:dyDescent="0.25">
      <c r="A4867" t="s">
        <v>9327</v>
      </c>
      <c r="B4867" t="s">
        <v>563</v>
      </c>
      <c r="C4867" t="s">
        <v>135</v>
      </c>
      <c r="D4867" t="s">
        <v>23</v>
      </c>
      <c r="E4867">
        <v>34</v>
      </c>
      <c r="F4867" t="s">
        <v>186</v>
      </c>
      <c r="G4867" t="s">
        <v>82</v>
      </c>
      <c r="H4867">
        <v>72984</v>
      </c>
      <c r="I4867" s="1" t="d">
        <v>2008-10-26</v>
      </c>
      <c r="J4867" t="s">
        <v>564</v>
      </c>
      <c r="K4867" s="17" t="s">
        <v>19</v>
      </c>
      <c r="L4867">
        <v>3</v>
      </c>
    </row>
    <row r="4868" spans="1:12" x14ac:dyDescent="0.25">
      <c r="A4868" t="s">
        <v>9328</v>
      </c>
      <c r="B4868" t="s">
        <v>102</v>
      </c>
      <c r="C4868" t="s">
        <v>9329</v>
      </c>
      <c r="D4868" t="s">
        <v>23</v>
      </c>
      <c r="E4868">
        <v>32</v>
      </c>
      <c r="F4868" t="s">
        <v>126</v>
      </c>
      <c r="G4868" t="s">
        <v>147</v>
      </c>
      <c r="H4868" t="s">
        <v>9330</v>
      </c>
      <c r="I4868" s="1" t="d">
        <v>2006-10-30</v>
      </c>
      <c r="J4868" t="s">
        <v>4783</v>
      </c>
      <c r="K4868" s="17" t="s">
        <v>207</v>
      </c>
      <c r="L4868">
        <v>3</v>
      </c>
    </row>
    <row r="4869" spans="1:12" x14ac:dyDescent="0.25">
      <c r="A4869" t="s">
        <v>2509</v>
      </c>
      <c r="B4869" t="s">
        <v>1706</v>
      </c>
      <c r="C4869" t="s">
        <v>1377</v>
      </c>
      <c r="D4869" t="s">
        <v>46</v>
      </c>
      <c r="E4869">
        <v>32</v>
      </c>
      <c r="F4869" t="s">
        <v>3823</v>
      </c>
      <c r="G4869" t="s">
        <v>182</v>
      </c>
      <c r="H4869" s="2">
        <v>127476</v>
      </c>
      <c r="I4869" s="1" t="d">
        <v>2020-09-05</v>
      </c>
      <c r="J4869" t="s">
        <v>1673</v>
      </c>
      <c r="K4869" s="17" t="s">
        <v>50</v>
      </c>
      <c r="L4869">
        <v>4</v>
      </c>
    </row>
    <row r="4870" spans="1:12" x14ac:dyDescent="0.25">
      <c r="A4870" t="s">
        <v>977</v>
      </c>
      <c r="B4870" t="s">
        <v>808</v>
      </c>
      <c r="C4870" t="s">
        <v>286</v>
      </c>
      <c r="D4870" t="s">
        <v>46</v>
      </c>
      <c r="E4870">
        <v>32</v>
      </c>
      <c r="F4870" t="s">
        <v>978</v>
      </c>
      <c r="G4870" t="s">
        <v>32</v>
      </c>
      <c r="H4870" t="s">
        <v>9331</v>
      </c>
      <c r="I4870" s="1" t="d">
        <v>2022-09-03</v>
      </c>
      <c r="J4870" t="s">
        <v>979</v>
      </c>
      <c r="K4870" s="17" t="s">
        <v>71</v>
      </c>
      <c r="L4870">
        <v>3</v>
      </c>
    </row>
    <row r="4871" spans="1:12" x14ac:dyDescent="0.25">
      <c r="A4871" t="s">
        <v>9332</v>
      </c>
      <c r="B4871" t="s">
        <v>9333</v>
      </c>
      <c r="C4871" t="s">
        <v>4094</v>
      </c>
      <c r="D4871" t="s">
        <v>46</v>
      </c>
      <c r="E4871">
        <v>56</v>
      </c>
      <c r="F4871" t="s">
        <v>190</v>
      </c>
      <c r="G4871" t="s">
        <v>69</v>
      </c>
      <c r="I4871" s="1" t="d">
        <v>2007-04-26</v>
      </c>
      <c r="J4871" t="s">
        <v>3624</v>
      </c>
      <c r="K4871" s="17" t="s">
        <v>370</v>
      </c>
      <c r="L4871">
        <v>3</v>
      </c>
    </row>
    <row r="4872" spans="1:12" x14ac:dyDescent="0.25">
      <c r="A4872" t="s">
        <v>9334</v>
      </c>
      <c r="B4872" t="s">
        <v>786</v>
      </c>
      <c r="C4872" t="s">
        <v>552</v>
      </c>
      <c r="D4872" t="s">
        <v>9527</v>
      </c>
      <c r="E4872">
        <v>22</v>
      </c>
      <c r="G4872" t="s">
        <v>82</v>
      </c>
      <c r="H4872">
        <v>92303</v>
      </c>
      <c r="I4872" s="1" t="d">
        <v>2006-08-19</v>
      </c>
      <c r="J4872" t="s">
        <v>400</v>
      </c>
      <c r="K4872" s="17" t="s">
        <v>370</v>
      </c>
      <c r="L4872">
        <v>2</v>
      </c>
    </row>
    <row r="4873" spans="1:12" x14ac:dyDescent="0.25">
      <c r="A4873" t="s">
        <v>9335</v>
      </c>
      <c r="B4873" t="s">
        <v>410</v>
      </c>
      <c r="C4873" t="s">
        <v>416</v>
      </c>
      <c r="D4873" t="s">
        <v>9527</v>
      </c>
      <c r="E4873">
        <v>39</v>
      </c>
      <c r="F4873" t="s">
        <v>253</v>
      </c>
      <c r="G4873" t="s">
        <v>170</v>
      </c>
      <c r="H4873" t="s">
        <v>9336</v>
      </c>
      <c r="I4873" s="1" t="d">
        <v>2010-11-07</v>
      </c>
      <c r="J4873" t="s">
        <v>3274</v>
      </c>
      <c r="K4873" s="17" t="s">
        <v>19</v>
      </c>
      <c r="L4873">
        <v>4</v>
      </c>
    </row>
    <row r="4874" spans="1:12" x14ac:dyDescent="0.25">
      <c r="A4874" t="s">
        <v>9337</v>
      </c>
      <c r="B4874" t="s">
        <v>1213</v>
      </c>
      <c r="C4874" t="s">
        <v>474</v>
      </c>
      <c r="D4874" t="s">
        <v>23</v>
      </c>
      <c r="E4874">
        <v>21</v>
      </c>
      <c r="F4874" t="s">
        <v>146</v>
      </c>
      <c r="G4874" t="s">
        <v>357</v>
      </c>
      <c r="H4874" s="2">
        <v>-119737</v>
      </c>
      <c r="I4874" s="1" t="d">
        <v>2020-08-26</v>
      </c>
      <c r="J4874" t="s">
        <v>1864</v>
      </c>
      <c r="K4874" s="17" t="s">
        <v>370</v>
      </c>
      <c r="L4874">
        <v>4</v>
      </c>
    </row>
    <row r="4875" spans="1:12" x14ac:dyDescent="0.25">
      <c r="A4875" t="s">
        <v>9338</v>
      </c>
      <c r="B4875" t="s">
        <v>60</v>
      </c>
      <c r="C4875" t="s">
        <v>1442</v>
      </c>
      <c r="D4875" t="s">
        <v>46</v>
      </c>
      <c r="E4875">
        <v>35</v>
      </c>
      <c r="F4875" t="s">
        <v>269</v>
      </c>
      <c r="G4875" t="s">
        <v>182</v>
      </c>
      <c r="H4875">
        <v>66031</v>
      </c>
      <c r="I4875" s="1" t="d">
        <v>2015-01-27</v>
      </c>
      <c r="J4875" t="s">
        <v>5049</v>
      </c>
      <c r="K4875" s="17" t="s">
        <v>90</v>
      </c>
      <c r="L4875">
        <v>3</v>
      </c>
    </row>
    <row r="4876" spans="1:12" x14ac:dyDescent="0.25">
      <c r="A4876" t="s">
        <v>9339</v>
      </c>
      <c r="B4876" t="s">
        <v>520</v>
      </c>
      <c r="C4876" t="s">
        <v>2231</v>
      </c>
      <c r="D4876" t="s">
        <v>46</v>
      </c>
      <c r="E4876">
        <v>32</v>
      </c>
      <c r="F4876" t="s">
        <v>1116</v>
      </c>
      <c r="G4876" t="s">
        <v>182</v>
      </c>
      <c r="H4876" s="2">
        <v>107960</v>
      </c>
      <c r="I4876" s="1" t="d">
        <v>2020-06-12</v>
      </c>
      <c r="J4876" t="s">
        <v>4035</v>
      </c>
      <c r="K4876" s="17" t="s">
        <v>149</v>
      </c>
      <c r="L4876">
        <v>2</v>
      </c>
    </row>
    <row r="4877" spans="1:12" x14ac:dyDescent="0.25">
      <c r="A4877" t="s">
        <v>9340</v>
      </c>
      <c r="B4877" t="s">
        <v>86</v>
      </c>
      <c r="C4877" t="s">
        <v>453</v>
      </c>
      <c r="D4877" t="s">
        <v>9527</v>
      </c>
      <c r="E4877">
        <v>45</v>
      </c>
      <c r="F4877" t="s">
        <v>373</v>
      </c>
      <c r="G4877" t="s">
        <v>217</v>
      </c>
      <c r="H4877" t="s">
        <v>9341</v>
      </c>
      <c r="I4877" s="1" t="d">
        <v>2024-09-21</v>
      </c>
      <c r="J4877" t="s">
        <v>2698</v>
      </c>
      <c r="K4877" s="17" t="s">
        <v>71</v>
      </c>
      <c r="L4877">
        <v>5</v>
      </c>
    </row>
    <row r="4878" spans="1:12" x14ac:dyDescent="0.25">
      <c r="A4878" t="s">
        <v>2389</v>
      </c>
      <c r="B4878" t="s">
        <v>507</v>
      </c>
      <c r="C4878" t="s">
        <v>1668</v>
      </c>
      <c r="D4878" t="s">
        <v>46</v>
      </c>
      <c r="E4878">
        <v>42</v>
      </c>
      <c r="F4878" t="s">
        <v>859</v>
      </c>
      <c r="G4878" t="s">
        <v>48</v>
      </c>
      <c r="H4878" t="s">
        <v>9342</v>
      </c>
      <c r="I4878" s="1" t="d">
        <v>2009-12-25</v>
      </c>
      <c r="J4878" t="s">
        <v>513</v>
      </c>
      <c r="K4878" s="17" t="s">
        <v>71</v>
      </c>
      <c r="L4878">
        <v>3</v>
      </c>
    </row>
    <row r="4879" spans="1:12" x14ac:dyDescent="0.25">
      <c r="A4879" t="s">
        <v>9343</v>
      </c>
      <c r="B4879" t="s">
        <v>1221</v>
      </c>
      <c r="C4879" t="s">
        <v>988</v>
      </c>
      <c r="D4879" t="s">
        <v>46</v>
      </c>
      <c r="E4879">
        <v>26</v>
      </c>
      <c r="F4879" t="s">
        <v>75</v>
      </c>
      <c r="G4879" t="s">
        <v>177</v>
      </c>
      <c r="I4879" s="1" t="d">
        <v>2018-10-18</v>
      </c>
      <c r="J4879" t="s">
        <v>1778</v>
      </c>
      <c r="K4879" s="17" t="s">
        <v>370</v>
      </c>
      <c r="L4879">
        <v>4</v>
      </c>
    </row>
    <row r="4880" spans="1:12" x14ac:dyDescent="0.25">
      <c r="A4880" t="s">
        <v>9344</v>
      </c>
      <c r="B4880" t="s">
        <v>134</v>
      </c>
      <c r="C4880" t="s">
        <v>599</v>
      </c>
      <c r="D4880" t="s">
        <v>46</v>
      </c>
      <c r="E4880">
        <v>36</v>
      </c>
      <c r="F4880" t="s">
        <v>122</v>
      </c>
      <c r="G4880" t="s">
        <v>170</v>
      </c>
      <c r="H4880" s="2">
        <v>43924</v>
      </c>
      <c r="I4880" s="1" t="d">
        <v>2011-10-15</v>
      </c>
      <c r="J4880" t="s">
        <v>4139</v>
      </c>
      <c r="K4880" s="17" t="s">
        <v>207</v>
      </c>
      <c r="L4880">
        <v>4</v>
      </c>
    </row>
    <row r="4881" spans="1:12" x14ac:dyDescent="0.25">
      <c r="A4881" t="s">
        <v>9345</v>
      </c>
      <c r="B4881" t="s">
        <v>1096</v>
      </c>
      <c r="C4881" t="s">
        <v>152</v>
      </c>
      <c r="D4881" t="s">
        <v>23</v>
      </c>
      <c r="E4881">
        <v>48</v>
      </c>
      <c r="F4881" t="s">
        <v>978</v>
      </c>
      <c r="G4881" t="s">
        <v>177</v>
      </c>
      <c r="H4881" t="s">
        <v>9346</v>
      </c>
      <c r="I4881" s="1" t="d">
        <v>2015-02-03</v>
      </c>
      <c r="J4881" t="s">
        <v>2506</v>
      </c>
      <c r="K4881" s="17" t="s">
        <v>100</v>
      </c>
      <c r="L4881">
        <v>4</v>
      </c>
    </row>
    <row r="4882" spans="1:12" x14ac:dyDescent="0.25">
      <c r="A4882" t="s">
        <v>9347</v>
      </c>
      <c r="B4882" t="s">
        <v>5193</v>
      </c>
      <c r="C4882" t="s">
        <v>631</v>
      </c>
      <c r="D4882" t="s">
        <v>46</v>
      </c>
      <c r="E4882">
        <v>62</v>
      </c>
      <c r="F4882" t="s">
        <v>15</v>
      </c>
      <c r="G4882" t="s">
        <v>48</v>
      </c>
      <c r="J4882" t="s">
        <v>1372</v>
      </c>
      <c r="K4882" s="17" t="s">
        <v>184</v>
      </c>
      <c r="L4882">
        <v>4</v>
      </c>
    </row>
    <row r="4883" spans="1:12" x14ac:dyDescent="0.25">
      <c r="A4883" t="s">
        <v>9348</v>
      </c>
      <c r="B4883" t="s">
        <v>9349</v>
      </c>
      <c r="C4883" t="s">
        <v>2079</v>
      </c>
      <c r="D4883" t="s">
        <v>9527</v>
      </c>
      <c r="E4883">
        <v>21</v>
      </c>
      <c r="F4883" t="s">
        <v>2065</v>
      </c>
      <c r="G4883" t="s">
        <v>82</v>
      </c>
      <c r="H4883" t="s">
        <v>9350</v>
      </c>
      <c r="I4883" s="1" t="d">
        <v>2022-03-12</v>
      </c>
      <c r="J4883" t="s">
        <v>3071</v>
      </c>
      <c r="K4883" s="17" t="s">
        <v>42</v>
      </c>
      <c r="L4883">
        <v>1</v>
      </c>
    </row>
    <row r="4884" spans="1:12" x14ac:dyDescent="0.25">
      <c r="A4884" t="s">
        <v>9351</v>
      </c>
      <c r="B4884" t="s">
        <v>7009</v>
      </c>
      <c r="C4884" t="s">
        <v>521</v>
      </c>
      <c r="D4884" t="s">
        <v>23</v>
      </c>
      <c r="E4884">
        <v>42</v>
      </c>
      <c r="F4884" t="s">
        <v>47</v>
      </c>
      <c r="G4884" t="s">
        <v>55</v>
      </c>
      <c r="H4884">
        <v>55878</v>
      </c>
      <c r="I4884" s="1" t="d">
        <v>2008-12-21</v>
      </c>
      <c r="J4884" t="s">
        <v>7280</v>
      </c>
      <c r="K4884" s="17" t="s">
        <v>50</v>
      </c>
      <c r="L4884">
        <v>3</v>
      </c>
    </row>
    <row r="4885" spans="1:12" x14ac:dyDescent="0.25">
      <c r="A4885" t="s">
        <v>1567</v>
      </c>
      <c r="B4885" t="s">
        <v>3127</v>
      </c>
      <c r="C4885" t="s">
        <v>739</v>
      </c>
      <c r="D4885" t="s">
        <v>23</v>
      </c>
      <c r="E4885">
        <v>50</v>
      </c>
      <c r="F4885" t="s">
        <v>576</v>
      </c>
      <c r="G4885" t="s">
        <v>16</v>
      </c>
      <c r="H4885" t="s">
        <v>9352</v>
      </c>
      <c r="I4885" s="1" t="d">
        <v>2019-09-25</v>
      </c>
      <c r="J4885" t="s">
        <v>1569</v>
      </c>
      <c r="K4885" s="17" t="s">
        <v>50</v>
      </c>
      <c r="L4885">
        <v>2</v>
      </c>
    </row>
    <row r="4886" spans="1:12" x14ac:dyDescent="0.25">
      <c r="A4886" t="s">
        <v>9353</v>
      </c>
      <c r="B4886" t="s">
        <v>1784</v>
      </c>
      <c r="C4886" t="s">
        <v>1881</v>
      </c>
      <c r="D4886" t="s">
        <v>9527</v>
      </c>
      <c r="E4886">
        <v>30</v>
      </c>
      <c r="F4886" t="s">
        <v>5799</v>
      </c>
      <c r="G4886" t="s">
        <v>177</v>
      </c>
      <c r="H4886">
        <v>69646</v>
      </c>
      <c r="I4886" s="1" t="d">
        <v>2018-09-30</v>
      </c>
      <c r="J4886" t="s">
        <v>7735</v>
      </c>
      <c r="K4886" s="17" t="s">
        <v>58</v>
      </c>
      <c r="L4886">
        <v>1</v>
      </c>
    </row>
    <row r="4887" spans="1:12" x14ac:dyDescent="0.25">
      <c r="A4887" t="s">
        <v>9354</v>
      </c>
      <c r="B4887" t="s">
        <v>812</v>
      </c>
      <c r="C4887" t="s">
        <v>168</v>
      </c>
      <c r="D4887" t="s">
        <v>46</v>
      </c>
      <c r="E4887">
        <v>48</v>
      </c>
      <c r="G4887" t="s">
        <v>842</v>
      </c>
      <c r="H4887" s="2">
        <v>181443</v>
      </c>
      <c r="I4887" s="1" t="d">
        <v>2021-11-22</v>
      </c>
      <c r="J4887" t="s">
        <v>947</v>
      </c>
      <c r="K4887" s="17" t="s">
        <v>58</v>
      </c>
      <c r="L4887">
        <v>3</v>
      </c>
    </row>
    <row r="4888" spans="1:12" x14ac:dyDescent="0.25">
      <c r="A4888" t="s">
        <v>9355</v>
      </c>
      <c r="B4888" t="s">
        <v>3201</v>
      </c>
      <c r="C4888" t="s">
        <v>660</v>
      </c>
      <c r="D4888" t="s">
        <v>9527</v>
      </c>
      <c r="E4888">
        <v>46</v>
      </c>
      <c r="G4888" t="s">
        <v>115</v>
      </c>
      <c r="H4888" t="s">
        <v>9356</v>
      </c>
      <c r="J4888" t="s">
        <v>4594</v>
      </c>
      <c r="K4888" s="17" t="s">
        <v>118</v>
      </c>
      <c r="L4888">
        <v>4</v>
      </c>
    </row>
    <row r="4889" spans="1:12" x14ac:dyDescent="0.25">
      <c r="A4889" t="s">
        <v>9357</v>
      </c>
      <c r="B4889" t="s">
        <v>2248</v>
      </c>
      <c r="C4889" t="s">
        <v>631</v>
      </c>
      <c r="D4889" t="s">
        <v>9527</v>
      </c>
      <c r="E4889">
        <v>40</v>
      </c>
      <c r="F4889" t="s">
        <v>296</v>
      </c>
      <c r="G4889" t="s">
        <v>967</v>
      </c>
      <c r="H4889" s="2">
        <v>61727</v>
      </c>
      <c r="I4889" s="1" t="d">
        <v>2014-11-10</v>
      </c>
      <c r="J4889" t="s">
        <v>890</v>
      </c>
      <c r="K4889" s="17" t="s">
        <v>207</v>
      </c>
      <c r="L4889">
        <v>3</v>
      </c>
    </row>
    <row r="4890" spans="1:12" x14ac:dyDescent="0.25">
      <c r="A4890" t="s">
        <v>9358</v>
      </c>
      <c r="B4890" t="s">
        <v>323</v>
      </c>
      <c r="C4890" t="s">
        <v>988</v>
      </c>
      <c r="D4890" t="s">
        <v>9527</v>
      </c>
      <c r="E4890">
        <v>50</v>
      </c>
      <c r="F4890" t="s">
        <v>196</v>
      </c>
      <c r="G4890" t="s">
        <v>407</v>
      </c>
      <c r="H4890" t="s">
        <v>9359</v>
      </c>
      <c r="I4890" s="1" t="d">
        <v>2008-07-24</v>
      </c>
      <c r="J4890" t="s">
        <v>8396</v>
      </c>
      <c r="K4890" s="17" t="s">
        <v>370</v>
      </c>
      <c r="L4890">
        <v>3</v>
      </c>
    </row>
    <row r="4891" spans="1:12" x14ac:dyDescent="0.25">
      <c r="A4891" t="s">
        <v>9360</v>
      </c>
      <c r="B4891" t="s">
        <v>36</v>
      </c>
      <c r="C4891" t="s">
        <v>215</v>
      </c>
      <c r="D4891" t="s">
        <v>46</v>
      </c>
      <c r="E4891">
        <v>37</v>
      </c>
      <c r="F4891" t="s">
        <v>1116</v>
      </c>
      <c r="G4891" t="s">
        <v>55</v>
      </c>
      <c r="I4891" s="1" t="d">
        <v>2007-06-23</v>
      </c>
      <c r="J4891" t="s">
        <v>7706</v>
      </c>
      <c r="K4891" s="17" t="s">
        <v>149</v>
      </c>
      <c r="L4891">
        <v>5</v>
      </c>
    </row>
    <row r="4892" spans="1:12" x14ac:dyDescent="0.25">
      <c r="A4892" t="s">
        <v>9361</v>
      </c>
      <c r="B4892" t="s">
        <v>862</v>
      </c>
      <c r="C4892" t="s">
        <v>902</v>
      </c>
      <c r="D4892" t="s">
        <v>46</v>
      </c>
      <c r="E4892">
        <v>36</v>
      </c>
      <c r="F4892" t="s">
        <v>38</v>
      </c>
      <c r="G4892" t="s">
        <v>82</v>
      </c>
      <c r="H4892" t="s">
        <v>9362</v>
      </c>
      <c r="I4892" s="1" t="d">
        <v>2015-07-09</v>
      </c>
      <c r="J4892" t="s">
        <v>4813</v>
      </c>
      <c r="K4892" s="17" t="s">
        <v>27</v>
      </c>
      <c r="L4892">
        <v>5</v>
      </c>
    </row>
    <row r="4893" spans="1:12" x14ac:dyDescent="0.25">
      <c r="A4893" t="s">
        <v>9363</v>
      </c>
      <c r="B4893" t="s">
        <v>404</v>
      </c>
      <c r="C4893" t="s">
        <v>318</v>
      </c>
      <c r="D4893" t="s">
        <v>9527</v>
      </c>
      <c r="E4893">
        <v>31</v>
      </c>
      <c r="F4893" t="s">
        <v>1716</v>
      </c>
      <c r="G4893" t="s">
        <v>177</v>
      </c>
      <c r="H4893" t="s">
        <v>9364</v>
      </c>
      <c r="I4893" s="1" t="d">
        <v>2022-07-23</v>
      </c>
      <c r="J4893" t="s">
        <v>9365</v>
      </c>
      <c r="K4893" s="17" t="s">
        <v>90</v>
      </c>
      <c r="L4893">
        <v>5</v>
      </c>
    </row>
    <row r="4894" spans="1:12" x14ac:dyDescent="0.25">
      <c r="A4894" t="s">
        <v>9366</v>
      </c>
      <c r="B4894" t="s">
        <v>1689</v>
      </c>
      <c r="C4894" t="s">
        <v>540</v>
      </c>
      <c r="D4894" t="s">
        <v>9527</v>
      </c>
      <c r="E4894">
        <v>41</v>
      </c>
      <c r="F4894" t="s">
        <v>196</v>
      </c>
      <c r="G4894" t="s">
        <v>842</v>
      </c>
      <c r="H4894" t="s">
        <v>9367</v>
      </c>
      <c r="I4894" s="1" t="d">
        <v>2016-09-20</v>
      </c>
      <c r="J4894" t="s">
        <v>3658</v>
      </c>
      <c r="K4894" s="17" t="s">
        <v>118</v>
      </c>
      <c r="L4894">
        <v>3</v>
      </c>
    </row>
    <row r="4895" spans="1:12" x14ac:dyDescent="0.25">
      <c r="A4895" t="s">
        <v>9368</v>
      </c>
      <c r="B4895" t="s">
        <v>808</v>
      </c>
      <c r="C4895" t="s">
        <v>516</v>
      </c>
      <c r="D4895" t="s">
        <v>9527</v>
      </c>
      <c r="E4895">
        <v>46</v>
      </c>
      <c r="G4895" t="s">
        <v>115</v>
      </c>
      <c r="H4895">
        <v>75028</v>
      </c>
      <c r="I4895" s="1" t="d">
        <v>2015-11-25</v>
      </c>
      <c r="J4895" t="s">
        <v>979</v>
      </c>
      <c r="K4895" s="17" t="s">
        <v>118</v>
      </c>
      <c r="L4895">
        <v>1</v>
      </c>
    </row>
    <row r="4896" spans="1:12" x14ac:dyDescent="0.25">
      <c r="A4896" t="s">
        <v>9369</v>
      </c>
      <c r="B4896" t="s">
        <v>670</v>
      </c>
      <c r="C4896" t="s">
        <v>195</v>
      </c>
      <c r="D4896" t="s">
        <v>23</v>
      </c>
      <c r="E4896">
        <v>29</v>
      </c>
      <c r="F4896" t="s">
        <v>859</v>
      </c>
      <c r="G4896" t="s">
        <v>141</v>
      </c>
      <c r="H4896" t="s">
        <v>9370</v>
      </c>
      <c r="I4896" s="1" t="d">
        <v>2023-02-18</v>
      </c>
      <c r="J4896" t="s">
        <v>1439</v>
      </c>
      <c r="K4896" s="17" t="s">
        <v>370</v>
      </c>
      <c r="L4896">
        <v>4</v>
      </c>
    </row>
    <row r="4897" spans="1:12" x14ac:dyDescent="0.25">
      <c r="A4897" t="s">
        <v>9371</v>
      </c>
      <c r="B4897" t="s">
        <v>21</v>
      </c>
      <c r="C4897" t="s">
        <v>210</v>
      </c>
      <c r="D4897" t="s">
        <v>9527</v>
      </c>
      <c r="E4897">
        <v>31</v>
      </c>
      <c r="F4897" t="s">
        <v>2372</v>
      </c>
      <c r="G4897" t="s">
        <v>16</v>
      </c>
      <c r="H4897">
        <v>130096</v>
      </c>
      <c r="I4897" s="1" t="d">
        <v>2009-07-16</v>
      </c>
      <c r="J4897" t="s">
        <v>2715</v>
      </c>
      <c r="K4897" s="17" t="s">
        <v>50</v>
      </c>
      <c r="L4897">
        <v>4</v>
      </c>
    </row>
    <row r="4898" spans="1:12" x14ac:dyDescent="0.25">
      <c r="A4898" t="s">
        <v>9372</v>
      </c>
      <c r="B4898" t="s">
        <v>482</v>
      </c>
      <c r="C4898" t="s">
        <v>237</v>
      </c>
      <c r="D4898" t="s">
        <v>46</v>
      </c>
      <c r="E4898">
        <v>21</v>
      </c>
      <c r="F4898" t="s">
        <v>399</v>
      </c>
      <c r="G4898" t="s">
        <v>177</v>
      </c>
      <c r="H4898" t="s">
        <v>9373</v>
      </c>
      <c r="I4898" s="1" t="d">
        <v>2018-02-16</v>
      </c>
      <c r="J4898" t="s">
        <v>33</v>
      </c>
      <c r="K4898" s="17" t="s">
        <v>19</v>
      </c>
      <c r="L4898">
        <v>3</v>
      </c>
    </row>
    <row r="4899" spans="1:12" x14ac:dyDescent="0.25">
      <c r="A4899" t="s">
        <v>9374</v>
      </c>
      <c r="B4899" t="s">
        <v>180</v>
      </c>
      <c r="C4899" t="s">
        <v>763</v>
      </c>
      <c r="D4899" t="s">
        <v>9527</v>
      </c>
      <c r="E4899">
        <v>42</v>
      </c>
      <c r="F4899" t="s">
        <v>114</v>
      </c>
      <c r="G4899" t="s">
        <v>283</v>
      </c>
      <c r="H4899" s="2">
        <v>231993</v>
      </c>
      <c r="I4899" s="1" t="d">
        <v>2018-01-19</v>
      </c>
      <c r="J4899" t="s">
        <v>3077</v>
      </c>
      <c r="K4899" s="17" t="s">
        <v>71</v>
      </c>
      <c r="L4899">
        <v>5</v>
      </c>
    </row>
    <row r="4900" spans="1:12" x14ac:dyDescent="0.25">
      <c r="A4900" t="s">
        <v>9375</v>
      </c>
      <c r="B4900" t="s">
        <v>702</v>
      </c>
      <c r="C4900" t="s">
        <v>291</v>
      </c>
      <c r="D4900" t="s">
        <v>46</v>
      </c>
      <c r="E4900">
        <v>30</v>
      </c>
      <c r="F4900" t="s">
        <v>104</v>
      </c>
      <c r="G4900" t="s">
        <v>458</v>
      </c>
      <c r="H4900" t="s">
        <v>9376</v>
      </c>
      <c r="I4900" s="1" t="d">
        <v>2007-05-28</v>
      </c>
      <c r="J4900" t="s">
        <v>3871</v>
      </c>
      <c r="K4900" s="17" t="s">
        <v>58</v>
      </c>
      <c r="L4900">
        <v>3</v>
      </c>
    </row>
    <row r="4901" spans="1:12" x14ac:dyDescent="0.25">
      <c r="A4901" t="s">
        <v>9377</v>
      </c>
      <c r="B4901" t="s">
        <v>2954</v>
      </c>
      <c r="C4901" t="s">
        <v>295</v>
      </c>
      <c r="D4901" t="s">
        <v>46</v>
      </c>
      <c r="E4901">
        <v>35</v>
      </c>
      <c r="F4901" t="s">
        <v>974</v>
      </c>
      <c r="G4901" t="s">
        <v>796</v>
      </c>
      <c r="H4901" t="s">
        <v>9378</v>
      </c>
      <c r="I4901" s="1" t="d">
        <v>2023-12-01</v>
      </c>
      <c r="J4901" t="s">
        <v>6591</v>
      </c>
      <c r="K4901" s="17" t="s">
        <v>184</v>
      </c>
      <c r="L4901">
        <v>2</v>
      </c>
    </row>
    <row r="4902" spans="1:12" x14ac:dyDescent="0.25">
      <c r="A4902" t="s">
        <v>9379</v>
      </c>
      <c r="B4902" t="s">
        <v>1784</v>
      </c>
      <c r="C4902" t="s">
        <v>1258</v>
      </c>
      <c r="D4902" t="s">
        <v>23</v>
      </c>
      <c r="E4902">
        <v>31</v>
      </c>
      <c r="F4902" t="s">
        <v>104</v>
      </c>
      <c r="G4902" t="s">
        <v>2569</v>
      </c>
      <c r="H4902">
        <v>42192</v>
      </c>
      <c r="I4902" s="1" t="d">
        <v>2012-06-11</v>
      </c>
      <c r="J4902" t="s">
        <v>5643</v>
      </c>
      <c r="K4902" s="17" t="s">
        <v>118</v>
      </c>
      <c r="L4902">
        <v>4</v>
      </c>
    </row>
    <row r="4903" spans="1:12" x14ac:dyDescent="0.25">
      <c r="A4903" t="s">
        <v>9380</v>
      </c>
      <c r="B4903" t="s">
        <v>2041</v>
      </c>
      <c r="C4903" t="s">
        <v>3694</v>
      </c>
      <c r="D4903" t="s">
        <v>23</v>
      </c>
      <c r="E4903">
        <v>29</v>
      </c>
      <c r="F4903" t="s">
        <v>31</v>
      </c>
      <c r="G4903" t="s">
        <v>16</v>
      </c>
      <c r="H4903" t="s">
        <v>9381</v>
      </c>
      <c r="I4903" s="1" t="d">
        <v>2021-12-31</v>
      </c>
      <c r="J4903" t="s">
        <v>2250</v>
      </c>
      <c r="K4903" s="17" t="s">
        <v>207</v>
      </c>
      <c r="L4903">
        <v>4</v>
      </c>
    </row>
    <row r="4904" spans="1:12" x14ac:dyDescent="0.25">
      <c r="A4904" t="s">
        <v>9382</v>
      </c>
      <c r="B4904" t="s">
        <v>410</v>
      </c>
      <c r="C4904" t="s">
        <v>67</v>
      </c>
      <c r="D4904" t="s">
        <v>9527</v>
      </c>
      <c r="E4904">
        <v>52</v>
      </c>
      <c r="F4904" t="s">
        <v>253</v>
      </c>
      <c r="G4904" t="s">
        <v>55</v>
      </c>
      <c r="H4904">
        <v>60642</v>
      </c>
      <c r="I4904" s="1" t="d">
        <v>2005-08-24</v>
      </c>
      <c r="J4904" t="s">
        <v>1362</v>
      </c>
      <c r="K4904" s="17" t="s">
        <v>34</v>
      </c>
      <c r="L4904">
        <v>4</v>
      </c>
    </row>
    <row r="4905" spans="1:12" x14ac:dyDescent="0.25">
      <c r="A4905" t="s">
        <v>9383</v>
      </c>
      <c r="B4905" t="s">
        <v>482</v>
      </c>
      <c r="C4905" t="s">
        <v>2055</v>
      </c>
      <c r="D4905" t="s">
        <v>9527</v>
      </c>
      <c r="E4905">
        <v>31</v>
      </c>
      <c r="F4905" t="s">
        <v>373</v>
      </c>
      <c r="G4905" t="s">
        <v>82</v>
      </c>
      <c r="H4905" t="s">
        <v>9384</v>
      </c>
      <c r="I4905" s="1" t="d">
        <v>2013-11-29</v>
      </c>
      <c r="J4905" t="s">
        <v>9385</v>
      </c>
      <c r="K4905" s="17" t="s">
        <v>58</v>
      </c>
      <c r="L4905">
        <v>3</v>
      </c>
    </row>
    <row r="4906" spans="1:12" x14ac:dyDescent="0.25">
      <c r="A4906" t="s">
        <v>6568</v>
      </c>
      <c r="B4906" t="s">
        <v>1371</v>
      </c>
      <c r="C4906" t="s">
        <v>3554</v>
      </c>
      <c r="D4906" t="s">
        <v>9527</v>
      </c>
      <c r="E4906">
        <v>21</v>
      </c>
      <c r="F4906" t="s">
        <v>1116</v>
      </c>
      <c r="G4906" t="s">
        <v>141</v>
      </c>
      <c r="H4906">
        <v>83268</v>
      </c>
      <c r="J4906" t="s">
        <v>887</v>
      </c>
      <c r="K4906" s="17" t="s">
        <v>27</v>
      </c>
      <c r="L4906">
        <v>3</v>
      </c>
    </row>
    <row r="4907" spans="1:12" x14ac:dyDescent="0.25">
      <c r="A4907" t="s">
        <v>9386</v>
      </c>
      <c r="B4907" t="s">
        <v>583</v>
      </c>
      <c r="C4907" t="s">
        <v>1622</v>
      </c>
      <c r="D4907" t="s">
        <v>9527</v>
      </c>
      <c r="E4907">
        <v>32</v>
      </c>
      <c r="F4907" t="s">
        <v>15</v>
      </c>
      <c r="G4907" t="s">
        <v>205</v>
      </c>
      <c r="I4907" s="1" t="d">
        <v>2012-02-03</v>
      </c>
      <c r="J4907" t="s">
        <v>3152</v>
      </c>
      <c r="K4907" s="17" t="s">
        <v>34</v>
      </c>
      <c r="L4907">
        <v>3</v>
      </c>
    </row>
    <row r="4908" spans="1:12" x14ac:dyDescent="0.25">
      <c r="A4908" t="s">
        <v>9387</v>
      </c>
      <c r="B4908" t="s">
        <v>1706</v>
      </c>
      <c r="C4908" t="s">
        <v>9388</v>
      </c>
      <c r="D4908" t="s">
        <v>9527</v>
      </c>
      <c r="E4908">
        <v>34</v>
      </c>
      <c r="F4908" t="s">
        <v>169</v>
      </c>
      <c r="G4908" t="s">
        <v>95</v>
      </c>
      <c r="H4908" t="s">
        <v>9389</v>
      </c>
      <c r="J4908" t="s">
        <v>6575</v>
      </c>
      <c r="K4908" s="17" t="s">
        <v>27</v>
      </c>
      <c r="L4908">
        <v>3</v>
      </c>
    </row>
    <row r="4909" spans="1:12" x14ac:dyDescent="0.25">
      <c r="A4909" t="s">
        <v>6331</v>
      </c>
      <c r="B4909" t="s">
        <v>9390</v>
      </c>
      <c r="C4909" t="s">
        <v>158</v>
      </c>
      <c r="D4909" t="s">
        <v>9527</v>
      </c>
      <c r="E4909">
        <v>41</v>
      </c>
      <c r="F4909" t="s">
        <v>245</v>
      </c>
      <c r="G4909" t="s">
        <v>141</v>
      </c>
      <c r="H4909" s="2">
        <v>59863</v>
      </c>
      <c r="I4909" s="1" t="d">
        <v>2007-09-28</v>
      </c>
      <c r="J4909" t="s">
        <v>6003</v>
      </c>
      <c r="K4909" s="17" t="s">
        <v>71</v>
      </c>
      <c r="L4909">
        <v>4</v>
      </c>
    </row>
    <row r="4910" spans="1:12" x14ac:dyDescent="0.25">
      <c r="A4910" t="s">
        <v>9391</v>
      </c>
      <c r="B4910" t="s">
        <v>305</v>
      </c>
      <c r="C4910" t="s">
        <v>181</v>
      </c>
      <c r="D4910" t="s">
        <v>46</v>
      </c>
      <c r="E4910">
        <v>37</v>
      </c>
      <c r="F4910" t="s">
        <v>3316</v>
      </c>
      <c r="G4910" t="s">
        <v>239</v>
      </c>
      <c r="H4910" t="s">
        <v>9392</v>
      </c>
      <c r="J4910" t="s">
        <v>7153</v>
      </c>
      <c r="K4910" s="17" t="s">
        <v>100</v>
      </c>
      <c r="L4910">
        <v>3</v>
      </c>
    </row>
    <row r="4911" spans="1:12" x14ac:dyDescent="0.25">
      <c r="A4911" t="s">
        <v>9393</v>
      </c>
      <c r="B4911" t="s">
        <v>174</v>
      </c>
      <c r="C4911" t="s">
        <v>830</v>
      </c>
      <c r="D4911" t="s">
        <v>9527</v>
      </c>
      <c r="E4911">
        <v>43</v>
      </c>
      <c r="F4911" t="s">
        <v>216</v>
      </c>
      <c r="G4911" t="s">
        <v>170</v>
      </c>
      <c r="H4911">
        <v>54103</v>
      </c>
      <c r="I4911" s="1" t="d">
        <v>2022-11-20</v>
      </c>
      <c r="J4911" t="s">
        <v>2338</v>
      </c>
      <c r="K4911" s="17" t="s">
        <v>184</v>
      </c>
      <c r="L4911">
        <v>3</v>
      </c>
    </row>
    <row r="4912" spans="1:12" x14ac:dyDescent="0.25">
      <c r="A4912" t="s">
        <v>9394</v>
      </c>
      <c r="B4912" t="s">
        <v>594</v>
      </c>
      <c r="C4912" t="s">
        <v>696</v>
      </c>
      <c r="D4912" t="s">
        <v>9527</v>
      </c>
      <c r="E4912">
        <v>31</v>
      </c>
      <c r="F4912" t="s">
        <v>859</v>
      </c>
      <c r="G4912" t="s">
        <v>69</v>
      </c>
      <c r="H4912" t="s">
        <v>9395</v>
      </c>
      <c r="I4912" s="1" t="d">
        <v>2022-12-28</v>
      </c>
      <c r="J4912" t="s">
        <v>1084</v>
      </c>
      <c r="K4912" s="17" t="s">
        <v>100</v>
      </c>
      <c r="L4912">
        <v>3</v>
      </c>
    </row>
    <row r="4913" spans="1:12" x14ac:dyDescent="0.25">
      <c r="A4913" t="s">
        <v>9396</v>
      </c>
      <c r="B4913" t="s">
        <v>9397</v>
      </c>
      <c r="C4913" t="s">
        <v>45</v>
      </c>
      <c r="D4913" t="s">
        <v>46</v>
      </c>
      <c r="E4913">
        <v>44</v>
      </c>
      <c r="F4913" t="s">
        <v>47</v>
      </c>
      <c r="G4913" t="s">
        <v>1285</v>
      </c>
      <c r="H4913">
        <v>61825</v>
      </c>
      <c r="I4913" s="1" t="d">
        <v>2009-03-02</v>
      </c>
      <c r="J4913" t="s">
        <v>3092</v>
      </c>
      <c r="K4913" s="17" t="s">
        <v>71</v>
      </c>
      <c r="L4913">
        <v>4</v>
      </c>
    </row>
    <row r="4914" spans="1:12" x14ac:dyDescent="0.25">
      <c r="A4914" t="s">
        <v>9398</v>
      </c>
      <c r="B4914" t="s">
        <v>355</v>
      </c>
      <c r="C4914" t="s">
        <v>300</v>
      </c>
      <c r="D4914" t="s">
        <v>23</v>
      </c>
      <c r="E4914">
        <v>44</v>
      </c>
      <c r="F4914" t="s">
        <v>81</v>
      </c>
      <c r="G4914" t="s">
        <v>82</v>
      </c>
      <c r="I4914" s="1" t="d">
        <v>2019-01-03</v>
      </c>
      <c r="J4914" t="s">
        <v>9287</v>
      </c>
      <c r="K4914" s="17" t="s">
        <v>90</v>
      </c>
      <c r="L4914">
        <v>4</v>
      </c>
    </row>
    <row r="4915" spans="1:12" x14ac:dyDescent="0.25">
      <c r="A4915" t="s">
        <v>9399</v>
      </c>
      <c r="B4915" t="s">
        <v>1896</v>
      </c>
      <c r="C4915" t="s">
        <v>2926</v>
      </c>
      <c r="D4915" t="s">
        <v>23</v>
      </c>
      <c r="E4915">
        <v>39</v>
      </c>
      <c r="F4915" t="s">
        <v>104</v>
      </c>
      <c r="G4915" t="s">
        <v>337</v>
      </c>
      <c r="I4915" s="1" t="d">
        <v>2006-12-14</v>
      </c>
      <c r="J4915" t="s">
        <v>8475</v>
      </c>
      <c r="K4915" s="17" t="s">
        <v>34</v>
      </c>
      <c r="L4915">
        <v>3</v>
      </c>
    </row>
    <row r="4916" spans="1:12" x14ac:dyDescent="0.25">
      <c r="A4916" t="s">
        <v>9400</v>
      </c>
      <c r="B4916" t="s">
        <v>340</v>
      </c>
      <c r="C4916" t="s">
        <v>1622</v>
      </c>
      <c r="D4916" t="s">
        <v>9527</v>
      </c>
      <c r="E4916">
        <v>40</v>
      </c>
      <c r="F4916" t="s">
        <v>2065</v>
      </c>
      <c r="G4916" t="s">
        <v>638</v>
      </c>
      <c r="I4916" s="1" t="d">
        <v>2022-02-14</v>
      </c>
      <c r="J4916" t="s">
        <v>1623</v>
      </c>
      <c r="K4916" s="17" t="s">
        <v>90</v>
      </c>
      <c r="L4916">
        <v>3</v>
      </c>
    </row>
    <row r="4917" spans="1:12" x14ac:dyDescent="0.25">
      <c r="A4917" t="s">
        <v>9401</v>
      </c>
      <c r="B4917" t="s">
        <v>404</v>
      </c>
      <c r="C4917" t="s">
        <v>67</v>
      </c>
      <c r="D4917" t="s">
        <v>23</v>
      </c>
      <c r="E4917">
        <v>45</v>
      </c>
      <c r="F4917" t="s">
        <v>422</v>
      </c>
      <c r="G4917" t="s">
        <v>337</v>
      </c>
      <c r="H4917" t="s">
        <v>9402</v>
      </c>
      <c r="I4917" s="1" t="d">
        <v>2016-05-27</v>
      </c>
      <c r="J4917" t="s">
        <v>6325</v>
      </c>
      <c r="K4917" s="17" t="s">
        <v>58</v>
      </c>
      <c r="L4917">
        <v>3</v>
      </c>
    </row>
    <row r="4918" spans="1:12" x14ac:dyDescent="0.25">
      <c r="A4918" t="s">
        <v>9403</v>
      </c>
      <c r="B4918" t="s">
        <v>1247</v>
      </c>
      <c r="C4918" t="s">
        <v>6494</v>
      </c>
      <c r="D4918" t="s">
        <v>9527</v>
      </c>
      <c r="E4918">
        <v>32</v>
      </c>
      <c r="F4918" t="s">
        <v>411</v>
      </c>
      <c r="G4918" t="s">
        <v>69</v>
      </c>
      <c r="I4918" s="1" t="d">
        <v>2012-03-24</v>
      </c>
      <c r="J4918" t="s">
        <v>3844</v>
      </c>
      <c r="K4918" s="17" t="s">
        <v>71</v>
      </c>
      <c r="L4918">
        <v>3</v>
      </c>
    </row>
    <row r="4919" spans="1:12" x14ac:dyDescent="0.25">
      <c r="A4919" t="s">
        <v>8976</v>
      </c>
      <c r="B4919" t="s">
        <v>281</v>
      </c>
      <c r="C4919" t="s">
        <v>2023</v>
      </c>
      <c r="D4919" t="s">
        <v>9527</v>
      </c>
      <c r="E4919">
        <v>49</v>
      </c>
      <c r="F4919" t="s">
        <v>238</v>
      </c>
      <c r="G4919" t="s">
        <v>191</v>
      </c>
      <c r="H4919" s="2">
        <v>53831</v>
      </c>
      <c r="I4919" s="1" t="d">
        <v>2012-02-14</v>
      </c>
      <c r="J4919" t="s">
        <v>8978</v>
      </c>
      <c r="K4919" s="17" t="s">
        <v>149</v>
      </c>
      <c r="L4919">
        <v>3</v>
      </c>
    </row>
    <row r="4920" spans="1:12" x14ac:dyDescent="0.25">
      <c r="A4920" t="s">
        <v>9404</v>
      </c>
      <c r="B4920" t="s">
        <v>789</v>
      </c>
      <c r="C4920" t="s">
        <v>2860</v>
      </c>
      <c r="D4920" t="s">
        <v>46</v>
      </c>
      <c r="E4920">
        <v>27</v>
      </c>
      <c r="G4920" t="s">
        <v>177</v>
      </c>
      <c r="H4920" t="s">
        <v>9405</v>
      </c>
      <c r="I4920" s="1" t="d">
        <v>2011-09-26</v>
      </c>
      <c r="J4920" t="s">
        <v>2657</v>
      </c>
      <c r="K4920" s="17" t="s">
        <v>118</v>
      </c>
      <c r="L4920">
        <v>3</v>
      </c>
    </row>
    <row r="4921" spans="1:12" x14ac:dyDescent="0.25">
      <c r="A4921" t="s">
        <v>9406</v>
      </c>
      <c r="B4921" t="s">
        <v>470</v>
      </c>
      <c r="C4921" t="s">
        <v>3643</v>
      </c>
      <c r="D4921" t="s">
        <v>46</v>
      </c>
      <c r="E4921">
        <v>26</v>
      </c>
      <c r="F4921" t="s">
        <v>169</v>
      </c>
      <c r="G4921" t="s">
        <v>69</v>
      </c>
      <c r="J4921" t="s">
        <v>1795</v>
      </c>
      <c r="K4921" s="17" t="s">
        <v>71</v>
      </c>
      <c r="L4921">
        <v>5</v>
      </c>
    </row>
    <row r="4922" spans="1:12" x14ac:dyDescent="0.25">
      <c r="A4922" t="s">
        <v>9407</v>
      </c>
      <c r="B4922" t="s">
        <v>482</v>
      </c>
      <c r="C4922" t="s">
        <v>747</v>
      </c>
      <c r="D4922" t="s">
        <v>23</v>
      </c>
      <c r="E4922">
        <v>45</v>
      </c>
      <c r="F4922" t="s">
        <v>971</v>
      </c>
      <c r="G4922" t="s">
        <v>177</v>
      </c>
      <c r="H4922" t="s">
        <v>9408</v>
      </c>
      <c r="I4922" s="1" t="d">
        <v>2015-10-30</v>
      </c>
      <c r="J4922" t="s">
        <v>2501</v>
      </c>
      <c r="K4922" s="17" t="s">
        <v>19</v>
      </c>
      <c r="L4922">
        <v>3</v>
      </c>
    </row>
    <row r="4923" spans="1:12" x14ac:dyDescent="0.25">
      <c r="A4923" t="s">
        <v>3696</v>
      </c>
      <c r="B4923" t="s">
        <v>670</v>
      </c>
      <c r="C4923" t="s">
        <v>386</v>
      </c>
      <c r="D4923" t="s">
        <v>9527</v>
      </c>
      <c r="E4923">
        <v>52</v>
      </c>
      <c r="F4923" t="s">
        <v>68</v>
      </c>
      <c r="G4923" t="s">
        <v>170</v>
      </c>
      <c r="H4923">
        <v>81338</v>
      </c>
      <c r="I4923" s="1" t="d">
        <v>2009-12-26</v>
      </c>
      <c r="J4923" t="s">
        <v>3697</v>
      </c>
      <c r="K4923" s="17" t="s">
        <v>370</v>
      </c>
      <c r="L4923">
        <v>3</v>
      </c>
    </row>
    <row r="4924" spans="1:12" x14ac:dyDescent="0.25">
      <c r="A4924" t="s">
        <v>9409</v>
      </c>
      <c r="B4924" t="s">
        <v>846</v>
      </c>
      <c r="C4924" t="s">
        <v>1248</v>
      </c>
      <c r="D4924" t="s">
        <v>9527</v>
      </c>
      <c r="E4924">
        <v>34</v>
      </c>
      <c r="F4924" t="s">
        <v>94</v>
      </c>
      <c r="G4924" t="s">
        <v>82</v>
      </c>
      <c r="H4924" t="s">
        <v>9410</v>
      </c>
      <c r="I4924" s="1" t="d">
        <v>2016-10-25</v>
      </c>
      <c r="J4924" t="s">
        <v>5119</v>
      </c>
      <c r="K4924" s="17" t="s">
        <v>207</v>
      </c>
      <c r="L4924">
        <v>3</v>
      </c>
    </row>
    <row r="4925" spans="1:12" x14ac:dyDescent="0.25">
      <c r="A4925" t="s">
        <v>7581</v>
      </c>
      <c r="B4925" t="s">
        <v>360</v>
      </c>
      <c r="C4925" t="s">
        <v>215</v>
      </c>
      <c r="D4925" t="s">
        <v>23</v>
      </c>
      <c r="E4925">
        <v>39</v>
      </c>
      <c r="G4925" t="s">
        <v>191</v>
      </c>
      <c r="I4925" s="1" t="d">
        <v>2010-07-20</v>
      </c>
      <c r="J4925" t="s">
        <v>6193</v>
      </c>
      <c r="K4925" s="17" t="s">
        <v>27</v>
      </c>
      <c r="L4925">
        <v>3</v>
      </c>
    </row>
    <row r="4926" spans="1:12" x14ac:dyDescent="0.25">
      <c r="A4926" t="s">
        <v>9411</v>
      </c>
      <c r="B4926" t="s">
        <v>914</v>
      </c>
      <c r="C4926" t="s">
        <v>631</v>
      </c>
      <c r="D4926" t="s">
        <v>46</v>
      </c>
      <c r="E4926">
        <v>40</v>
      </c>
      <c r="F4926" t="s">
        <v>190</v>
      </c>
      <c r="G4926" t="s">
        <v>191</v>
      </c>
      <c r="H4926" s="2">
        <v>51085</v>
      </c>
      <c r="I4926" s="1" t="d">
        <v>2022-06-26</v>
      </c>
      <c r="J4926" t="s">
        <v>1060</v>
      </c>
      <c r="K4926" s="17" t="s">
        <v>207</v>
      </c>
      <c r="L4926">
        <v>3</v>
      </c>
    </row>
    <row r="4927" spans="1:12" x14ac:dyDescent="0.25">
      <c r="A4927" t="s">
        <v>9412</v>
      </c>
      <c r="B4927" t="s">
        <v>456</v>
      </c>
      <c r="C4927" t="s">
        <v>263</v>
      </c>
      <c r="D4927" t="s">
        <v>9527</v>
      </c>
      <c r="E4927">
        <v>47</v>
      </c>
      <c r="F4927" t="s">
        <v>104</v>
      </c>
      <c r="G4927" t="s">
        <v>115</v>
      </c>
      <c r="H4927" t="s">
        <v>9413</v>
      </c>
      <c r="I4927" s="1" t="d">
        <v>2023-09-28</v>
      </c>
      <c r="J4927" t="s">
        <v>9414</v>
      </c>
      <c r="K4927" s="17" t="s">
        <v>42</v>
      </c>
      <c r="L4927">
        <v>5</v>
      </c>
    </row>
    <row r="4928" spans="1:12" x14ac:dyDescent="0.25">
      <c r="A4928" t="s">
        <v>9415</v>
      </c>
      <c r="B4928" t="s">
        <v>174</v>
      </c>
      <c r="C4928" t="s">
        <v>291</v>
      </c>
      <c r="D4928" t="s">
        <v>23</v>
      </c>
      <c r="E4928">
        <v>30</v>
      </c>
      <c r="F4928" t="s">
        <v>3829</v>
      </c>
      <c r="G4928" t="s">
        <v>39</v>
      </c>
      <c r="H4928" t="s">
        <v>9416</v>
      </c>
      <c r="I4928" s="1" t="d">
        <v>2013-07-09</v>
      </c>
      <c r="J4928" t="s">
        <v>3208</v>
      </c>
      <c r="K4928" s="17" t="s">
        <v>90</v>
      </c>
      <c r="L4928">
        <v>4</v>
      </c>
    </row>
    <row r="4929" spans="1:12" x14ac:dyDescent="0.25">
      <c r="A4929" t="s">
        <v>8407</v>
      </c>
      <c r="B4929" t="s">
        <v>2847</v>
      </c>
      <c r="C4929" t="s">
        <v>898</v>
      </c>
      <c r="D4929" t="s">
        <v>46</v>
      </c>
      <c r="E4929">
        <v>43</v>
      </c>
      <c r="F4929" t="s">
        <v>1168</v>
      </c>
      <c r="G4929" t="s">
        <v>357</v>
      </c>
      <c r="H4929" s="2">
        <v>83672</v>
      </c>
      <c r="I4929" s="1" t="d">
        <v>2010-12-13</v>
      </c>
      <c r="J4929" t="s">
        <v>1999</v>
      </c>
      <c r="K4929" s="17" t="s">
        <v>58</v>
      </c>
      <c r="L4929">
        <v>3</v>
      </c>
    </row>
    <row r="4930" spans="1:12" x14ac:dyDescent="0.25">
      <c r="A4930" t="s">
        <v>9417</v>
      </c>
      <c r="B4930" t="s">
        <v>1845</v>
      </c>
      <c r="C4930" t="s">
        <v>729</v>
      </c>
      <c r="D4930" t="s">
        <v>46</v>
      </c>
      <c r="E4930">
        <v>21</v>
      </c>
      <c r="F4930" t="s">
        <v>589</v>
      </c>
      <c r="G4930" t="s">
        <v>82</v>
      </c>
      <c r="H4930" t="s">
        <v>9418</v>
      </c>
      <c r="I4930" s="1" t="d">
        <v>2017-12-06</v>
      </c>
      <c r="J4930" t="s">
        <v>219</v>
      </c>
      <c r="K4930" s="17" t="s">
        <v>71</v>
      </c>
      <c r="L4930">
        <v>5</v>
      </c>
    </row>
    <row r="4931" spans="1:12" x14ac:dyDescent="0.25">
      <c r="A4931" t="s">
        <v>9419</v>
      </c>
      <c r="B4931" t="s">
        <v>139</v>
      </c>
      <c r="C4931" t="s">
        <v>830</v>
      </c>
      <c r="D4931" t="s">
        <v>46</v>
      </c>
      <c r="E4931">
        <v>27</v>
      </c>
      <c r="G4931" t="s">
        <v>351</v>
      </c>
      <c r="H4931" s="2">
        <v>59443</v>
      </c>
      <c r="I4931" s="1" t="d">
        <v>2007-09-02</v>
      </c>
      <c r="J4931" t="s">
        <v>5155</v>
      </c>
      <c r="K4931" s="17" t="s">
        <v>118</v>
      </c>
      <c r="L4931">
        <v>4</v>
      </c>
    </row>
    <row r="4932" spans="1:12" x14ac:dyDescent="0.25">
      <c r="A4932" t="s">
        <v>9420</v>
      </c>
      <c r="B4932" t="s">
        <v>130</v>
      </c>
      <c r="C4932" t="s">
        <v>790</v>
      </c>
      <c r="D4932" t="s">
        <v>23</v>
      </c>
      <c r="E4932">
        <v>51</v>
      </c>
      <c r="F4932" t="s">
        <v>399</v>
      </c>
      <c r="G4932" t="s">
        <v>95</v>
      </c>
      <c r="J4932" t="s">
        <v>2524</v>
      </c>
      <c r="K4932" s="17" t="s">
        <v>71</v>
      </c>
      <c r="L4932">
        <v>2</v>
      </c>
    </row>
    <row r="4933" spans="1:12" x14ac:dyDescent="0.25">
      <c r="A4933" t="s">
        <v>9421</v>
      </c>
      <c r="B4933" t="s">
        <v>530</v>
      </c>
      <c r="C4933" t="s">
        <v>306</v>
      </c>
      <c r="D4933" t="s">
        <v>23</v>
      </c>
      <c r="E4933">
        <v>39</v>
      </c>
      <c r="F4933" t="s">
        <v>146</v>
      </c>
      <c r="G4933" t="s">
        <v>337</v>
      </c>
      <c r="H4933" s="2">
        <v>84108</v>
      </c>
      <c r="J4933" t="s">
        <v>89</v>
      </c>
      <c r="K4933" s="17" t="s">
        <v>34</v>
      </c>
      <c r="L4933">
        <v>4</v>
      </c>
    </row>
    <row r="4934" spans="1:12" x14ac:dyDescent="0.25">
      <c r="A4934" t="s">
        <v>4830</v>
      </c>
      <c r="B4934" t="s">
        <v>906</v>
      </c>
      <c r="C4934" t="s">
        <v>336</v>
      </c>
      <c r="D4934" t="s">
        <v>9527</v>
      </c>
      <c r="E4934">
        <v>41</v>
      </c>
      <c r="F4934" t="s">
        <v>532</v>
      </c>
      <c r="G4934" t="s">
        <v>127</v>
      </c>
      <c r="H4934">
        <v>100221</v>
      </c>
      <c r="I4934" s="1" t="d">
        <v>2009-12-09</v>
      </c>
      <c r="J4934" t="s">
        <v>2687</v>
      </c>
      <c r="K4934" s="17" t="s">
        <v>370</v>
      </c>
      <c r="L4934">
        <v>5</v>
      </c>
    </row>
    <row r="4935" spans="1:12" x14ac:dyDescent="0.25">
      <c r="A4935" t="s">
        <v>9422</v>
      </c>
      <c r="B4935" t="s">
        <v>180</v>
      </c>
      <c r="C4935" t="s">
        <v>483</v>
      </c>
      <c r="D4935" t="s">
        <v>23</v>
      </c>
      <c r="E4935">
        <v>45</v>
      </c>
      <c r="F4935" t="s">
        <v>800</v>
      </c>
      <c r="G4935" t="s">
        <v>55</v>
      </c>
      <c r="I4935" s="1" t="d">
        <v>2010-03-23</v>
      </c>
      <c r="J4935" t="s">
        <v>5360</v>
      </c>
      <c r="K4935" s="17" t="s">
        <v>149</v>
      </c>
      <c r="L4935">
        <v>3</v>
      </c>
    </row>
    <row r="4936" spans="1:12" x14ac:dyDescent="0.25">
      <c r="A4936" t="s">
        <v>9423</v>
      </c>
      <c r="B4936" t="s">
        <v>404</v>
      </c>
      <c r="C4936" t="s">
        <v>1377</v>
      </c>
      <c r="D4936" t="s">
        <v>46</v>
      </c>
      <c r="E4936">
        <v>45</v>
      </c>
      <c r="F4936" t="s">
        <v>108</v>
      </c>
      <c r="G4936" t="s">
        <v>182</v>
      </c>
      <c r="H4936" s="2">
        <v>147580</v>
      </c>
      <c r="I4936" s="1" t="d">
        <v>2022-08-03</v>
      </c>
      <c r="J4936" t="s">
        <v>4145</v>
      </c>
      <c r="K4936" s="17" t="s">
        <v>71</v>
      </c>
      <c r="L4936">
        <v>5</v>
      </c>
    </row>
    <row r="4937" spans="1:12" x14ac:dyDescent="0.25">
      <c r="A4937" t="s">
        <v>9424</v>
      </c>
      <c r="B4937" t="s">
        <v>670</v>
      </c>
      <c r="C4937" t="s">
        <v>22</v>
      </c>
      <c r="D4937" t="s">
        <v>9527</v>
      </c>
      <c r="E4937">
        <v>36</v>
      </c>
      <c r="F4937" t="s">
        <v>258</v>
      </c>
      <c r="G4937" t="s">
        <v>1277</v>
      </c>
      <c r="I4937" s="1" t="d">
        <v>2012-11-10</v>
      </c>
      <c r="J4937" t="s">
        <v>2948</v>
      </c>
      <c r="K4937" s="17" t="s">
        <v>34</v>
      </c>
      <c r="L4937">
        <v>3</v>
      </c>
    </row>
    <row r="4938" spans="1:12" x14ac:dyDescent="0.25">
      <c r="A4938" t="s">
        <v>9425</v>
      </c>
      <c r="B4938" t="s">
        <v>112</v>
      </c>
      <c r="C4938" t="s">
        <v>847</v>
      </c>
      <c r="D4938" t="s">
        <v>9527</v>
      </c>
      <c r="E4938">
        <v>58</v>
      </c>
      <c r="F4938" t="s">
        <v>258</v>
      </c>
      <c r="G4938" t="s">
        <v>357</v>
      </c>
      <c r="H4938" t="s">
        <v>9426</v>
      </c>
      <c r="I4938" s="1" t="d">
        <v>2019-06-19</v>
      </c>
      <c r="J4938" t="s">
        <v>5589</v>
      </c>
      <c r="K4938" s="17" t="s">
        <v>370</v>
      </c>
      <c r="L4938">
        <v>2</v>
      </c>
    </row>
    <row r="4939" spans="1:12" x14ac:dyDescent="0.25">
      <c r="A4939" t="s">
        <v>6059</v>
      </c>
      <c r="B4939" t="s">
        <v>248</v>
      </c>
      <c r="C4939" t="s">
        <v>6060</v>
      </c>
      <c r="D4939" t="s">
        <v>46</v>
      </c>
      <c r="E4939">
        <v>61</v>
      </c>
      <c r="F4939" t="s">
        <v>126</v>
      </c>
      <c r="G4939" t="s">
        <v>283</v>
      </c>
      <c r="H4939" t="s">
        <v>6061</v>
      </c>
      <c r="I4939" s="1" t="d">
        <v>2022-07-04</v>
      </c>
      <c r="J4939" t="s">
        <v>1559</v>
      </c>
      <c r="K4939" s="17" t="s">
        <v>118</v>
      </c>
      <c r="L4939">
        <v>2</v>
      </c>
    </row>
    <row r="4940" spans="1:12" x14ac:dyDescent="0.25">
      <c r="A4940" t="s">
        <v>9427</v>
      </c>
      <c r="B4940" t="s">
        <v>652</v>
      </c>
      <c r="C4940" t="s">
        <v>521</v>
      </c>
      <c r="D4940" t="s">
        <v>23</v>
      </c>
      <c r="E4940">
        <v>29</v>
      </c>
      <c r="F4940" t="s">
        <v>720</v>
      </c>
      <c r="G4940" t="s">
        <v>16</v>
      </c>
      <c r="H4940" t="s">
        <v>9428</v>
      </c>
      <c r="I4940" s="1" t="d">
        <v>2008-03-23</v>
      </c>
      <c r="J4940" t="s">
        <v>9429</v>
      </c>
      <c r="K4940" s="17" t="s">
        <v>100</v>
      </c>
      <c r="L4940">
        <v>1</v>
      </c>
    </row>
    <row r="4941" spans="1:12" x14ac:dyDescent="0.25">
      <c r="A4941" t="s">
        <v>9430</v>
      </c>
      <c r="B4941" t="s">
        <v>9431</v>
      </c>
      <c r="C4941" t="s">
        <v>4281</v>
      </c>
      <c r="D4941" t="s">
        <v>46</v>
      </c>
      <c r="E4941">
        <v>43</v>
      </c>
      <c r="F4941" t="s">
        <v>114</v>
      </c>
      <c r="G4941" t="s">
        <v>48</v>
      </c>
      <c r="H4941" t="s">
        <v>9432</v>
      </c>
      <c r="I4941" s="1" t="d">
        <v>2005-08-29</v>
      </c>
      <c r="J4941" t="s">
        <v>4678</v>
      </c>
      <c r="K4941" s="17" t="s">
        <v>19</v>
      </c>
      <c r="L4941">
        <v>5</v>
      </c>
    </row>
    <row r="4942" spans="1:12" x14ac:dyDescent="0.25">
      <c r="A4942" t="s">
        <v>9433</v>
      </c>
      <c r="B4942" t="s">
        <v>9434</v>
      </c>
      <c r="C4942" t="s">
        <v>758</v>
      </c>
      <c r="D4942" t="s">
        <v>9527</v>
      </c>
      <c r="E4942">
        <v>42</v>
      </c>
      <c r="G4942" t="s">
        <v>55</v>
      </c>
      <c r="I4942" s="1" t="d">
        <v>2021-12-21</v>
      </c>
      <c r="J4942" t="s">
        <v>2460</v>
      </c>
      <c r="K4942" s="17" t="s">
        <v>27</v>
      </c>
      <c r="L4942">
        <v>3</v>
      </c>
    </row>
    <row r="4943" spans="1:12" x14ac:dyDescent="0.25">
      <c r="A4943" t="s">
        <v>9435</v>
      </c>
      <c r="B4943" t="s">
        <v>305</v>
      </c>
      <c r="C4943" t="s">
        <v>5084</v>
      </c>
      <c r="D4943" t="s">
        <v>9527</v>
      </c>
      <c r="E4943">
        <v>30</v>
      </c>
      <c r="F4943" t="s">
        <v>94</v>
      </c>
      <c r="G4943" t="s">
        <v>82</v>
      </c>
      <c r="I4943" s="1" t="d">
        <v>2020-11-27</v>
      </c>
      <c r="J4943" t="s">
        <v>309</v>
      </c>
      <c r="K4943" s="17" t="s">
        <v>34</v>
      </c>
      <c r="L4943">
        <v>3</v>
      </c>
    </row>
    <row r="4944" spans="1:12" x14ac:dyDescent="0.25">
      <c r="A4944" t="s">
        <v>9436</v>
      </c>
      <c r="B4944" t="s">
        <v>1842</v>
      </c>
      <c r="C4944" t="s">
        <v>988</v>
      </c>
      <c r="D4944" t="s">
        <v>23</v>
      </c>
      <c r="E4944">
        <v>39</v>
      </c>
      <c r="F4944" t="s">
        <v>559</v>
      </c>
      <c r="G4944" t="s">
        <v>82</v>
      </c>
      <c r="H4944" s="2">
        <v>85508</v>
      </c>
      <c r="I4944" s="1" t="d">
        <v>2017-12-09</v>
      </c>
      <c r="J4944" t="s">
        <v>4029</v>
      </c>
      <c r="K4944" s="17" t="s">
        <v>71</v>
      </c>
      <c r="L4944">
        <v>3</v>
      </c>
    </row>
    <row r="4945" spans="1:12" x14ac:dyDescent="0.25">
      <c r="A4945" t="s">
        <v>9437</v>
      </c>
      <c r="B4945" t="s">
        <v>234</v>
      </c>
      <c r="C4945" t="s">
        <v>53</v>
      </c>
      <c r="D4945" t="s">
        <v>23</v>
      </c>
      <c r="E4945">
        <v>34</v>
      </c>
      <c r="F4945" t="s">
        <v>2275</v>
      </c>
      <c r="G4945" t="s">
        <v>205</v>
      </c>
      <c r="H4945" t="s">
        <v>9438</v>
      </c>
      <c r="I4945" s="1" t="d">
        <v>2008-11-19</v>
      </c>
      <c r="J4945" t="s">
        <v>1804</v>
      </c>
      <c r="K4945" s="17" t="s">
        <v>184</v>
      </c>
      <c r="L4945">
        <v>3</v>
      </c>
    </row>
    <row r="4946" spans="1:12" x14ac:dyDescent="0.25">
      <c r="A4946" t="s">
        <v>9439</v>
      </c>
      <c r="B4946" t="s">
        <v>44</v>
      </c>
      <c r="C4946" t="s">
        <v>1520</v>
      </c>
      <c r="D4946" t="s">
        <v>9527</v>
      </c>
      <c r="E4946">
        <v>21</v>
      </c>
      <c r="G4946" t="s">
        <v>115</v>
      </c>
      <c r="H4946">
        <v>67806</v>
      </c>
      <c r="I4946" s="1" t="d">
        <v>2008-07-09</v>
      </c>
      <c r="J4946" t="s">
        <v>3016</v>
      </c>
      <c r="K4946" s="17" t="s">
        <v>50</v>
      </c>
      <c r="L4946">
        <v>3</v>
      </c>
    </row>
    <row r="4947" spans="1:12" x14ac:dyDescent="0.25">
      <c r="A4947" t="s">
        <v>9440</v>
      </c>
      <c r="B4947" t="s">
        <v>804</v>
      </c>
      <c r="C4947" t="s">
        <v>665</v>
      </c>
      <c r="D4947" t="s">
        <v>46</v>
      </c>
      <c r="E4947">
        <v>44</v>
      </c>
      <c r="F4947" t="s">
        <v>406</v>
      </c>
      <c r="G4947" t="s">
        <v>526</v>
      </c>
      <c r="H4947">
        <v>37713</v>
      </c>
      <c r="I4947" s="1" t="d">
        <v>2006-04-01</v>
      </c>
      <c r="J4947" t="s">
        <v>1485</v>
      </c>
      <c r="K4947" s="17" t="s">
        <v>19</v>
      </c>
      <c r="L4947">
        <v>3</v>
      </c>
    </row>
    <row r="4948" spans="1:12" x14ac:dyDescent="0.25">
      <c r="A4948" t="s">
        <v>9441</v>
      </c>
      <c r="B4948" t="s">
        <v>151</v>
      </c>
      <c r="C4948" t="s">
        <v>4310</v>
      </c>
      <c r="D4948" t="s">
        <v>9527</v>
      </c>
      <c r="E4948">
        <v>40</v>
      </c>
      <c r="F4948" t="s">
        <v>2065</v>
      </c>
      <c r="G4948" t="s">
        <v>191</v>
      </c>
      <c r="H4948" t="s">
        <v>9442</v>
      </c>
      <c r="I4948" s="1" t="d">
        <v>2015-03-11</v>
      </c>
      <c r="J4948" t="s">
        <v>6480</v>
      </c>
      <c r="K4948" s="17" t="s">
        <v>149</v>
      </c>
      <c r="L4948">
        <v>3</v>
      </c>
    </row>
    <row r="4949" spans="1:12" x14ac:dyDescent="0.25">
      <c r="A4949" t="s">
        <v>9443</v>
      </c>
      <c r="B4949" t="s">
        <v>3743</v>
      </c>
      <c r="C4949" t="s">
        <v>45</v>
      </c>
      <c r="D4949" t="s">
        <v>23</v>
      </c>
      <c r="E4949">
        <v>47</v>
      </c>
      <c r="F4949" t="s">
        <v>365</v>
      </c>
      <c r="G4949" t="s">
        <v>407</v>
      </c>
      <c r="H4949" t="s">
        <v>9444</v>
      </c>
      <c r="I4949" s="1" t="d">
        <v>2007-05-28</v>
      </c>
      <c r="J4949" t="s">
        <v>8197</v>
      </c>
      <c r="K4949" s="17" t="s">
        <v>90</v>
      </c>
      <c r="L4949">
        <v>2</v>
      </c>
    </row>
    <row r="4950" spans="1:12" x14ac:dyDescent="0.25">
      <c r="A4950" t="s">
        <v>9445</v>
      </c>
      <c r="B4950" t="s">
        <v>1181</v>
      </c>
      <c r="C4950" t="s">
        <v>681</v>
      </c>
      <c r="D4950" t="s">
        <v>23</v>
      </c>
      <c r="E4950">
        <v>31</v>
      </c>
      <c r="F4950" t="s">
        <v>365</v>
      </c>
      <c r="G4950" t="s">
        <v>3277</v>
      </c>
      <c r="H4950" t="s">
        <v>9446</v>
      </c>
      <c r="I4950" s="1" t="d">
        <v>2013-10-04</v>
      </c>
      <c r="J4950" t="s">
        <v>49</v>
      </c>
      <c r="K4950" s="17" t="s">
        <v>50</v>
      </c>
      <c r="L4950">
        <v>5</v>
      </c>
    </row>
    <row r="4951" spans="1:12" x14ac:dyDescent="0.25">
      <c r="A4951" t="s">
        <v>9447</v>
      </c>
      <c r="B4951" t="s">
        <v>426</v>
      </c>
      <c r="C4951" t="s">
        <v>3694</v>
      </c>
      <c r="D4951" t="s">
        <v>23</v>
      </c>
      <c r="E4951">
        <v>38</v>
      </c>
      <c r="F4951" t="s">
        <v>200</v>
      </c>
      <c r="G4951" t="s">
        <v>82</v>
      </c>
      <c r="H4951" t="s">
        <v>9448</v>
      </c>
      <c r="I4951" s="1" t="d">
        <v>2011-09-30</v>
      </c>
      <c r="J4951" t="s">
        <v>6540</v>
      </c>
      <c r="K4951" s="17" t="s">
        <v>58</v>
      </c>
      <c r="L4951">
        <v>4</v>
      </c>
    </row>
    <row r="4952" spans="1:12" x14ac:dyDescent="0.25">
      <c r="A4952" t="s">
        <v>9449</v>
      </c>
      <c r="B4952" t="s">
        <v>563</v>
      </c>
      <c r="C4952" t="s">
        <v>503</v>
      </c>
      <c r="D4952" t="s">
        <v>9527</v>
      </c>
      <c r="E4952">
        <v>35</v>
      </c>
      <c r="F4952" t="s">
        <v>15</v>
      </c>
      <c r="G4952" t="s">
        <v>182</v>
      </c>
      <c r="H4952" s="2">
        <v>145822</v>
      </c>
      <c r="I4952" s="1" t="d">
        <v>2016-12-15</v>
      </c>
      <c r="J4952" t="s">
        <v>9450</v>
      </c>
      <c r="K4952" s="17" t="s">
        <v>27</v>
      </c>
      <c r="L4952">
        <v>2</v>
      </c>
    </row>
    <row r="4953" spans="1:12" x14ac:dyDescent="0.25">
      <c r="A4953" t="s">
        <v>9451</v>
      </c>
      <c r="B4953" t="s">
        <v>340</v>
      </c>
      <c r="C4953" t="s">
        <v>1608</v>
      </c>
      <c r="D4953" t="s">
        <v>23</v>
      </c>
      <c r="E4953">
        <v>23</v>
      </c>
      <c r="F4953" t="s">
        <v>196</v>
      </c>
      <c r="G4953" t="s">
        <v>48</v>
      </c>
      <c r="H4953" s="2">
        <v>43062</v>
      </c>
      <c r="I4953" s="1" t="d">
        <v>2008-09-24</v>
      </c>
      <c r="J4953" t="s">
        <v>726</v>
      </c>
      <c r="K4953" s="17" t="s">
        <v>90</v>
      </c>
      <c r="L4953">
        <v>4</v>
      </c>
    </row>
    <row r="4954" spans="1:12" x14ac:dyDescent="0.25">
      <c r="A4954" t="s">
        <v>9452</v>
      </c>
      <c r="B4954" t="s">
        <v>470</v>
      </c>
      <c r="C4954" t="s">
        <v>210</v>
      </c>
      <c r="D4954" t="s">
        <v>46</v>
      </c>
      <c r="E4954">
        <v>35</v>
      </c>
      <c r="F4954" t="s">
        <v>196</v>
      </c>
      <c r="G4954" t="s">
        <v>357</v>
      </c>
      <c r="H4954">
        <v>67054</v>
      </c>
      <c r="I4954" s="1" t="d">
        <v>2016-09-05</v>
      </c>
      <c r="J4954" t="s">
        <v>4866</v>
      </c>
      <c r="K4954" s="17" t="s">
        <v>27</v>
      </c>
      <c r="L4954">
        <v>1</v>
      </c>
    </row>
    <row r="4955" spans="1:12" x14ac:dyDescent="0.25">
      <c r="A4955" t="s">
        <v>9453</v>
      </c>
      <c r="B4955" t="s">
        <v>8031</v>
      </c>
      <c r="C4955" t="s">
        <v>851</v>
      </c>
      <c r="D4955" t="s">
        <v>46</v>
      </c>
      <c r="E4955">
        <v>51</v>
      </c>
      <c r="F4955" t="s">
        <v>406</v>
      </c>
      <c r="G4955" t="s">
        <v>212</v>
      </c>
      <c r="H4955">
        <v>54478</v>
      </c>
      <c r="I4955" s="1" t="d">
        <v>2005-04-24</v>
      </c>
      <c r="J4955" t="s">
        <v>3022</v>
      </c>
      <c r="K4955" s="17" t="s">
        <v>90</v>
      </c>
      <c r="L4955">
        <v>3</v>
      </c>
    </row>
    <row r="4956" spans="1:12" x14ac:dyDescent="0.25">
      <c r="A4956" t="s">
        <v>9454</v>
      </c>
      <c r="B4956" t="s">
        <v>130</v>
      </c>
      <c r="C4956" t="s">
        <v>295</v>
      </c>
      <c r="D4956" t="s">
        <v>46</v>
      </c>
      <c r="E4956">
        <v>27</v>
      </c>
      <c r="F4956" t="s">
        <v>559</v>
      </c>
      <c r="G4956" t="s">
        <v>69</v>
      </c>
      <c r="H4956" t="s">
        <v>9455</v>
      </c>
      <c r="I4956" s="1" t="d">
        <v>2005-06-30</v>
      </c>
      <c r="J4956" t="s">
        <v>2941</v>
      </c>
      <c r="K4956" s="17" t="s">
        <v>90</v>
      </c>
      <c r="L4956">
        <v>4</v>
      </c>
    </row>
    <row r="4957" spans="1:12" x14ac:dyDescent="0.25">
      <c r="A4957" t="s">
        <v>9456</v>
      </c>
      <c r="B4957" t="s">
        <v>311</v>
      </c>
      <c r="C4957" t="s">
        <v>2079</v>
      </c>
      <c r="D4957" t="s">
        <v>23</v>
      </c>
      <c r="E4957">
        <v>47</v>
      </c>
      <c r="F4957" t="s">
        <v>296</v>
      </c>
      <c r="G4957" t="s">
        <v>16</v>
      </c>
      <c r="H4957" t="s">
        <v>9457</v>
      </c>
      <c r="I4957" s="1" t="d">
        <v>2005-07-21</v>
      </c>
      <c r="J4957" t="s">
        <v>1720</v>
      </c>
      <c r="K4957" s="17" t="s">
        <v>370</v>
      </c>
      <c r="L4957">
        <v>3</v>
      </c>
    </row>
    <row r="4958" spans="1:12" x14ac:dyDescent="0.25">
      <c r="A4958" t="s">
        <v>9458</v>
      </c>
      <c r="B4958" t="s">
        <v>144</v>
      </c>
      <c r="C4958" t="s">
        <v>6214</v>
      </c>
      <c r="D4958" t="s">
        <v>23</v>
      </c>
      <c r="E4958">
        <v>21</v>
      </c>
      <c r="F4958" t="s">
        <v>75</v>
      </c>
      <c r="G4958" t="s">
        <v>641</v>
      </c>
      <c r="H4958" t="s">
        <v>9459</v>
      </c>
      <c r="J4958" t="s">
        <v>4250</v>
      </c>
      <c r="K4958" s="17" t="s">
        <v>27</v>
      </c>
      <c r="L4958">
        <v>5</v>
      </c>
    </row>
    <row r="4959" spans="1:12" x14ac:dyDescent="0.25">
      <c r="A4959" t="s">
        <v>9460</v>
      </c>
      <c r="B4959" t="s">
        <v>376</v>
      </c>
      <c r="C4959" t="s">
        <v>140</v>
      </c>
      <c r="D4959" t="s">
        <v>23</v>
      </c>
      <c r="E4959">
        <v>40</v>
      </c>
      <c r="F4959" t="s">
        <v>186</v>
      </c>
      <c r="G4959" t="s">
        <v>115</v>
      </c>
      <c r="H4959" t="s">
        <v>9461</v>
      </c>
      <c r="I4959" s="1" t="d">
        <v>2012-05-10</v>
      </c>
      <c r="J4959" t="s">
        <v>6293</v>
      </c>
      <c r="K4959" s="17" t="s">
        <v>100</v>
      </c>
      <c r="L4959">
        <v>3</v>
      </c>
    </row>
    <row r="4960" spans="1:12" x14ac:dyDescent="0.25">
      <c r="A4960" t="s">
        <v>9462</v>
      </c>
      <c r="B4960" t="s">
        <v>364</v>
      </c>
      <c r="C4960" t="s">
        <v>1030</v>
      </c>
      <c r="D4960" t="s">
        <v>46</v>
      </c>
      <c r="E4960">
        <v>40</v>
      </c>
      <c r="F4960" t="s">
        <v>68</v>
      </c>
      <c r="G4960" t="s">
        <v>337</v>
      </c>
      <c r="H4960">
        <v>84407</v>
      </c>
      <c r="I4960" s="1" t="d">
        <v>2021-04-23</v>
      </c>
      <c r="J4960" t="s">
        <v>57</v>
      </c>
      <c r="K4960" s="17" t="s">
        <v>149</v>
      </c>
      <c r="L4960">
        <v>3</v>
      </c>
    </row>
    <row r="4961" spans="1:12" x14ac:dyDescent="0.25">
      <c r="A4961" t="s">
        <v>9463</v>
      </c>
      <c r="B4961" t="s">
        <v>520</v>
      </c>
      <c r="C4961" t="s">
        <v>747</v>
      </c>
      <c r="D4961" t="s">
        <v>9527</v>
      </c>
      <c r="E4961">
        <v>33</v>
      </c>
      <c r="F4961" t="s">
        <v>126</v>
      </c>
      <c r="G4961" t="s">
        <v>182</v>
      </c>
      <c r="H4961" t="s">
        <v>9464</v>
      </c>
      <c r="I4961" s="1" t="d">
        <v>2012-08-29</v>
      </c>
      <c r="J4961" t="s">
        <v>5875</v>
      </c>
      <c r="K4961" s="17" t="s">
        <v>19</v>
      </c>
      <c r="L4961">
        <v>3</v>
      </c>
    </row>
    <row r="4962" spans="1:12" x14ac:dyDescent="0.25">
      <c r="A4962" t="s">
        <v>9465</v>
      </c>
      <c r="B4962" t="s">
        <v>1605</v>
      </c>
      <c r="C4962" t="s">
        <v>847</v>
      </c>
      <c r="D4962" t="s">
        <v>9527</v>
      </c>
      <c r="E4962">
        <v>33</v>
      </c>
      <c r="F4962" t="s">
        <v>1116</v>
      </c>
      <c r="G4962" t="s">
        <v>526</v>
      </c>
      <c r="H4962" t="s">
        <v>9466</v>
      </c>
      <c r="I4962" s="1" t="d">
        <v>2023-03-01</v>
      </c>
      <c r="J4962" t="s">
        <v>780</v>
      </c>
      <c r="K4962" s="17" t="s">
        <v>184</v>
      </c>
      <c r="L4962">
        <v>3</v>
      </c>
    </row>
    <row r="4963" spans="1:12" x14ac:dyDescent="0.25">
      <c r="A4963" t="s">
        <v>9467</v>
      </c>
      <c r="B4963" t="s">
        <v>2041</v>
      </c>
      <c r="C4963" t="s">
        <v>719</v>
      </c>
      <c r="D4963" t="s">
        <v>9527</v>
      </c>
      <c r="E4963">
        <v>51</v>
      </c>
      <c r="F4963" t="s">
        <v>277</v>
      </c>
      <c r="G4963" t="s">
        <v>82</v>
      </c>
      <c r="H4963" t="s">
        <v>9468</v>
      </c>
      <c r="I4963" s="1" t="d">
        <v>2012-03-17</v>
      </c>
      <c r="J4963" t="s">
        <v>1034</v>
      </c>
      <c r="K4963" s="17" t="s">
        <v>58</v>
      </c>
      <c r="L4963">
        <v>3</v>
      </c>
    </row>
    <row r="4964" spans="1:12" x14ac:dyDescent="0.25">
      <c r="A4964" t="s">
        <v>9469</v>
      </c>
      <c r="B4964" t="s">
        <v>709</v>
      </c>
      <c r="C4964" t="s">
        <v>361</v>
      </c>
      <c r="D4964" t="s">
        <v>9527</v>
      </c>
      <c r="E4964">
        <v>34</v>
      </c>
      <c r="F4964" t="s">
        <v>81</v>
      </c>
      <c r="G4964" t="s">
        <v>170</v>
      </c>
      <c r="H4964" t="s">
        <v>9470</v>
      </c>
      <c r="I4964" s="1" t="d">
        <v>2014-09-16</v>
      </c>
      <c r="J4964" t="s">
        <v>4430</v>
      </c>
      <c r="K4964" s="17" t="s">
        <v>149</v>
      </c>
      <c r="L4964">
        <v>3</v>
      </c>
    </row>
    <row r="4965" spans="1:12" x14ac:dyDescent="0.25">
      <c r="A4965" t="s">
        <v>9471</v>
      </c>
      <c r="B4965" t="s">
        <v>21</v>
      </c>
      <c r="C4965" t="s">
        <v>427</v>
      </c>
      <c r="D4965" t="s">
        <v>46</v>
      </c>
      <c r="E4965">
        <v>46</v>
      </c>
      <c r="F4965" t="s">
        <v>559</v>
      </c>
      <c r="G4965" t="s">
        <v>638</v>
      </c>
      <c r="H4965" s="2">
        <v>136434</v>
      </c>
      <c r="J4965" t="s">
        <v>1057</v>
      </c>
      <c r="K4965" s="17" t="s">
        <v>149</v>
      </c>
      <c r="L4965">
        <v>2</v>
      </c>
    </row>
    <row r="4966" spans="1:12" x14ac:dyDescent="0.25">
      <c r="A4966" t="s">
        <v>9472</v>
      </c>
      <c r="B4966" t="s">
        <v>702</v>
      </c>
      <c r="C4966" t="s">
        <v>763</v>
      </c>
      <c r="D4966" t="s">
        <v>23</v>
      </c>
      <c r="E4966">
        <v>48</v>
      </c>
      <c r="F4966" t="s">
        <v>108</v>
      </c>
      <c r="G4966" t="s">
        <v>357</v>
      </c>
      <c r="H4966" t="s">
        <v>9473</v>
      </c>
      <c r="I4966" s="1" t="d">
        <v>2020-03-10</v>
      </c>
      <c r="J4966" t="s">
        <v>3000</v>
      </c>
      <c r="K4966" s="17" t="s">
        <v>27</v>
      </c>
      <c r="L4966">
        <v>4</v>
      </c>
    </row>
    <row r="4967" spans="1:12" x14ac:dyDescent="0.25">
      <c r="A4967" t="s">
        <v>9474</v>
      </c>
      <c r="B4967" t="s">
        <v>1241</v>
      </c>
      <c r="C4967" t="s">
        <v>395</v>
      </c>
      <c r="D4967" t="s">
        <v>9527</v>
      </c>
      <c r="E4967">
        <v>28</v>
      </c>
      <c r="F4967" t="s">
        <v>759</v>
      </c>
      <c r="G4967" t="s">
        <v>82</v>
      </c>
      <c r="H4967">
        <v>45089</v>
      </c>
      <c r="I4967" s="1" t="d">
        <v>2006-09-04</v>
      </c>
      <c r="J4967" t="s">
        <v>6969</v>
      </c>
      <c r="K4967" s="17" t="s">
        <v>27</v>
      </c>
      <c r="L4967">
        <v>2</v>
      </c>
    </row>
    <row r="4968" spans="1:12" x14ac:dyDescent="0.25">
      <c r="A4968" t="s">
        <v>9475</v>
      </c>
      <c r="B4968" t="s">
        <v>9476</v>
      </c>
      <c r="C4968" t="s">
        <v>3982</v>
      </c>
      <c r="D4968" t="s">
        <v>46</v>
      </c>
      <c r="E4968">
        <v>51</v>
      </c>
      <c r="F4968" t="s">
        <v>859</v>
      </c>
      <c r="G4968" t="s">
        <v>357</v>
      </c>
      <c r="H4968" t="s">
        <v>459</v>
      </c>
      <c r="I4968" s="1" t="d">
        <v>2010-10-28</v>
      </c>
      <c r="J4968" t="s">
        <v>5971</v>
      </c>
      <c r="K4968" s="17" t="s">
        <v>118</v>
      </c>
      <c r="L4968">
        <v>5</v>
      </c>
    </row>
    <row r="4969" spans="1:12" x14ac:dyDescent="0.25">
      <c r="A4969" t="s">
        <v>9477</v>
      </c>
      <c r="B4969" t="s">
        <v>1086</v>
      </c>
      <c r="C4969" t="s">
        <v>140</v>
      </c>
      <c r="D4969" t="s">
        <v>23</v>
      </c>
      <c r="E4969">
        <v>40</v>
      </c>
      <c r="F4969" t="s">
        <v>399</v>
      </c>
      <c r="G4969" t="s">
        <v>357</v>
      </c>
      <c r="H4969" t="s">
        <v>9478</v>
      </c>
      <c r="I4969" s="1" t="d">
        <v>2010-01-10</v>
      </c>
      <c r="J4969" t="s">
        <v>1087</v>
      </c>
      <c r="K4969" s="17" t="s">
        <v>58</v>
      </c>
      <c r="L4969">
        <v>4</v>
      </c>
    </row>
    <row r="4970" spans="1:12" x14ac:dyDescent="0.25">
      <c r="A4970" t="s">
        <v>9479</v>
      </c>
      <c r="B4970" t="s">
        <v>906</v>
      </c>
      <c r="C4970" t="s">
        <v>751</v>
      </c>
      <c r="D4970" t="s">
        <v>46</v>
      </c>
      <c r="E4970">
        <v>35</v>
      </c>
      <c r="F4970" t="s">
        <v>200</v>
      </c>
      <c r="G4970" t="s">
        <v>82</v>
      </c>
      <c r="H4970">
        <v>80519</v>
      </c>
      <c r="I4970" s="1" t="d">
        <v>2011-08-27</v>
      </c>
      <c r="J4970" t="s">
        <v>4214</v>
      </c>
      <c r="K4970" s="17" t="s">
        <v>42</v>
      </c>
      <c r="L4970">
        <v>3</v>
      </c>
    </row>
    <row r="4971" spans="1:12" x14ac:dyDescent="0.25">
      <c r="A4971" t="s">
        <v>9480</v>
      </c>
      <c r="B4971" t="s">
        <v>846</v>
      </c>
      <c r="C4971" t="s">
        <v>1859</v>
      </c>
      <c r="D4971" t="s">
        <v>9527</v>
      </c>
      <c r="E4971">
        <v>27</v>
      </c>
      <c r="F4971" t="s">
        <v>350</v>
      </c>
      <c r="G4971" t="s">
        <v>39</v>
      </c>
      <c r="H4971">
        <v>48052</v>
      </c>
      <c r="I4971" s="1" t="d">
        <v>2012-03-15</v>
      </c>
      <c r="J4971" t="s">
        <v>3212</v>
      </c>
      <c r="K4971" s="17" t="s">
        <v>58</v>
      </c>
      <c r="L4971">
        <v>4</v>
      </c>
    </row>
    <row r="4972" spans="1:12" x14ac:dyDescent="0.25">
      <c r="A4972" t="s">
        <v>9481</v>
      </c>
      <c r="B4972" t="s">
        <v>1403</v>
      </c>
      <c r="C4972" t="s">
        <v>453</v>
      </c>
      <c r="D4972" t="s">
        <v>46</v>
      </c>
      <c r="E4972">
        <v>28</v>
      </c>
      <c r="F4972" t="s">
        <v>406</v>
      </c>
      <c r="G4972" t="s">
        <v>82</v>
      </c>
      <c r="H4972" t="s">
        <v>9482</v>
      </c>
      <c r="I4972" s="1" t="d">
        <v>2006-11-28</v>
      </c>
      <c r="J4972" t="s">
        <v>1435</v>
      </c>
      <c r="K4972" s="17" t="s">
        <v>58</v>
      </c>
      <c r="L4972">
        <v>4</v>
      </c>
    </row>
    <row r="4973" spans="1:12" x14ac:dyDescent="0.25">
      <c r="A4973" t="s">
        <v>9483</v>
      </c>
      <c r="B4973" t="s">
        <v>8308</v>
      </c>
      <c r="C4973" t="s">
        <v>599</v>
      </c>
      <c r="D4973" t="s">
        <v>9527</v>
      </c>
      <c r="E4973">
        <v>42</v>
      </c>
      <c r="F4973" t="s">
        <v>373</v>
      </c>
      <c r="G4973" t="s">
        <v>82</v>
      </c>
      <c r="H4973" s="2">
        <v>80371</v>
      </c>
      <c r="I4973" s="1" t="d">
        <v>2014-10-14</v>
      </c>
      <c r="J4973" t="s">
        <v>4697</v>
      </c>
      <c r="K4973" s="17" t="s">
        <v>149</v>
      </c>
      <c r="L4973">
        <v>3</v>
      </c>
    </row>
    <row r="4974" spans="1:12" x14ac:dyDescent="0.25">
      <c r="A4974" t="s">
        <v>9484</v>
      </c>
      <c r="B4974" t="s">
        <v>7500</v>
      </c>
      <c r="C4974" t="s">
        <v>4216</v>
      </c>
      <c r="D4974" t="s">
        <v>23</v>
      </c>
      <c r="E4974">
        <v>39</v>
      </c>
      <c r="F4974" t="s">
        <v>532</v>
      </c>
      <c r="G4974" t="s">
        <v>378</v>
      </c>
      <c r="H4974">
        <v>60769</v>
      </c>
      <c r="I4974" s="1" t="d">
        <v>2020-05-27</v>
      </c>
      <c r="J4974" t="s">
        <v>5107</v>
      </c>
      <c r="K4974" s="17" t="s">
        <v>27</v>
      </c>
      <c r="L4974">
        <v>3</v>
      </c>
    </row>
    <row r="4975" spans="1:12" x14ac:dyDescent="0.25">
      <c r="A4975" t="s">
        <v>9485</v>
      </c>
      <c r="B4975" t="s">
        <v>1403</v>
      </c>
      <c r="C4975" t="s">
        <v>8153</v>
      </c>
      <c r="D4975" t="s">
        <v>23</v>
      </c>
      <c r="E4975">
        <v>29</v>
      </c>
      <c r="F4975" t="s">
        <v>68</v>
      </c>
      <c r="G4975" t="s">
        <v>69</v>
      </c>
      <c r="H4975" s="2">
        <v>120926</v>
      </c>
      <c r="I4975" s="1" t="d">
        <v>2013-12-11</v>
      </c>
      <c r="J4975" t="s">
        <v>7373</v>
      </c>
      <c r="K4975" s="17" t="s">
        <v>90</v>
      </c>
      <c r="L4975">
        <v>2</v>
      </c>
    </row>
    <row r="4976" spans="1:12" x14ac:dyDescent="0.25">
      <c r="A4976" t="s">
        <v>9486</v>
      </c>
      <c r="B4976" t="s">
        <v>130</v>
      </c>
      <c r="C4976" t="s">
        <v>67</v>
      </c>
      <c r="D4976" t="s">
        <v>9527</v>
      </c>
      <c r="E4976">
        <v>41</v>
      </c>
      <c r="F4976" t="s">
        <v>75</v>
      </c>
      <c r="G4976" t="s">
        <v>39</v>
      </c>
      <c r="H4976" t="s">
        <v>9487</v>
      </c>
      <c r="I4976" s="1" t="d">
        <v>2015-11-30</v>
      </c>
      <c r="J4976" t="s">
        <v>2439</v>
      </c>
      <c r="K4976" s="17" t="s">
        <v>184</v>
      </c>
      <c r="L4976">
        <v>5</v>
      </c>
    </row>
    <row r="4977" spans="1:12" x14ac:dyDescent="0.25">
      <c r="A4977" t="s">
        <v>9488</v>
      </c>
      <c r="B4977" t="s">
        <v>482</v>
      </c>
      <c r="C4977" t="s">
        <v>1332</v>
      </c>
      <c r="D4977" t="s">
        <v>23</v>
      </c>
      <c r="E4977">
        <v>50</v>
      </c>
      <c r="F4977" t="s">
        <v>978</v>
      </c>
      <c r="G4977" t="s">
        <v>170</v>
      </c>
      <c r="H4977" s="2">
        <v>69296</v>
      </c>
      <c r="I4977" s="1" t="d">
        <v>2023-08-27</v>
      </c>
      <c r="J4977" t="s">
        <v>6719</v>
      </c>
      <c r="K4977" s="17" t="s">
        <v>42</v>
      </c>
      <c r="L4977">
        <v>4</v>
      </c>
    </row>
    <row r="4978" spans="1:12" x14ac:dyDescent="0.25">
      <c r="A4978" t="s">
        <v>9489</v>
      </c>
      <c r="B4978" t="s">
        <v>2272</v>
      </c>
      <c r="C4978" t="s">
        <v>1052</v>
      </c>
      <c r="D4978" t="s">
        <v>23</v>
      </c>
      <c r="E4978">
        <v>25</v>
      </c>
      <c r="F4978" t="s">
        <v>319</v>
      </c>
      <c r="G4978" t="s">
        <v>297</v>
      </c>
      <c r="H4978" t="s">
        <v>9490</v>
      </c>
      <c r="I4978" s="1" t="d">
        <v>2006-10-01</v>
      </c>
      <c r="J4978" t="s">
        <v>2763</v>
      </c>
      <c r="K4978" s="17" t="s">
        <v>370</v>
      </c>
      <c r="L4978">
        <v>3</v>
      </c>
    </row>
    <row r="4979" spans="1:12" x14ac:dyDescent="0.25">
      <c r="A4979" t="s">
        <v>9165</v>
      </c>
      <c r="B4979" t="s">
        <v>13</v>
      </c>
      <c r="C4979" t="s">
        <v>555</v>
      </c>
      <c r="D4979" t="s">
        <v>23</v>
      </c>
      <c r="E4979">
        <v>27</v>
      </c>
      <c r="F4979" t="s">
        <v>62</v>
      </c>
      <c r="G4979" t="s">
        <v>25</v>
      </c>
      <c r="H4979" t="s">
        <v>9166</v>
      </c>
      <c r="I4979" s="1" t="d">
        <v>2023-01-31</v>
      </c>
      <c r="J4979" t="s">
        <v>4282</v>
      </c>
      <c r="K4979" s="17" t="s">
        <v>118</v>
      </c>
      <c r="L4979">
        <v>2</v>
      </c>
    </row>
    <row r="4980" spans="1:12" x14ac:dyDescent="0.25">
      <c r="A4980" t="s">
        <v>9491</v>
      </c>
      <c r="B4980" t="s">
        <v>410</v>
      </c>
      <c r="C4980" t="s">
        <v>427</v>
      </c>
      <c r="D4980" t="s">
        <v>9527</v>
      </c>
      <c r="E4980">
        <v>32</v>
      </c>
      <c r="F4980" t="s">
        <v>666</v>
      </c>
      <c r="G4980" t="s">
        <v>191</v>
      </c>
      <c r="H4980" s="2">
        <v>55900</v>
      </c>
      <c r="J4980" t="s">
        <v>9492</v>
      </c>
      <c r="K4980" s="17" t="s">
        <v>370</v>
      </c>
      <c r="L4980">
        <v>3</v>
      </c>
    </row>
    <row r="4981" spans="1:12" x14ac:dyDescent="0.25">
      <c r="A4981" t="s">
        <v>9493</v>
      </c>
      <c r="B4981" t="s">
        <v>221</v>
      </c>
      <c r="C4981" t="s">
        <v>244</v>
      </c>
      <c r="D4981" t="s">
        <v>46</v>
      </c>
      <c r="E4981">
        <v>27</v>
      </c>
      <c r="F4981" t="s">
        <v>1116</v>
      </c>
      <c r="G4981" t="s">
        <v>141</v>
      </c>
      <c r="H4981" t="s">
        <v>9494</v>
      </c>
      <c r="I4981" s="1" t="d">
        <v>2008-02-05</v>
      </c>
      <c r="J4981" t="s">
        <v>6206</v>
      </c>
      <c r="K4981" s="17" t="s">
        <v>34</v>
      </c>
      <c r="L4981">
        <v>4</v>
      </c>
    </row>
    <row r="4982" spans="1:12" x14ac:dyDescent="0.25">
      <c r="A4982" t="s">
        <v>9495</v>
      </c>
      <c r="B4982" t="s">
        <v>444</v>
      </c>
      <c r="C4982" t="s">
        <v>7944</v>
      </c>
      <c r="D4982" t="s">
        <v>23</v>
      </c>
      <c r="E4982">
        <v>40</v>
      </c>
      <c r="F4982" t="s">
        <v>2065</v>
      </c>
      <c r="G4982" t="s">
        <v>217</v>
      </c>
      <c r="H4982" t="s">
        <v>9496</v>
      </c>
      <c r="I4982" s="1" t="d">
        <v>2013-05-19</v>
      </c>
      <c r="J4982" t="s">
        <v>780</v>
      </c>
      <c r="K4982" s="17" t="s">
        <v>27</v>
      </c>
      <c r="L4982">
        <v>5</v>
      </c>
    </row>
    <row r="4983" spans="1:12" x14ac:dyDescent="0.25">
      <c r="A4983" t="s">
        <v>6326</v>
      </c>
      <c r="B4983" t="s">
        <v>906</v>
      </c>
      <c r="C4983" t="s">
        <v>427</v>
      </c>
      <c r="D4983" t="s">
        <v>23</v>
      </c>
      <c r="E4983">
        <v>35</v>
      </c>
      <c r="F4983" t="s">
        <v>2700</v>
      </c>
      <c r="G4983" t="s">
        <v>526</v>
      </c>
      <c r="H4983" s="2">
        <v>98212</v>
      </c>
      <c r="I4983" s="1" t="d">
        <v>2018-12-27</v>
      </c>
      <c r="J4983" t="s">
        <v>3379</v>
      </c>
      <c r="K4983" s="17" t="s">
        <v>118</v>
      </c>
      <c r="L4983">
        <v>3</v>
      </c>
    </row>
    <row r="4984" spans="1:12" x14ac:dyDescent="0.25">
      <c r="A4984" t="s">
        <v>1820</v>
      </c>
      <c r="B4984" t="s">
        <v>102</v>
      </c>
      <c r="C4984" t="s">
        <v>67</v>
      </c>
      <c r="D4984" t="s">
        <v>9527</v>
      </c>
      <c r="E4984">
        <v>39</v>
      </c>
      <c r="F4984" t="s">
        <v>15</v>
      </c>
      <c r="G4984" t="s">
        <v>912</v>
      </c>
      <c r="H4984" s="2">
        <v>89572</v>
      </c>
      <c r="I4984" s="1" t="d">
        <v>2015-12-26</v>
      </c>
      <c r="J4984" t="s">
        <v>1529</v>
      </c>
      <c r="K4984" s="17" t="s">
        <v>370</v>
      </c>
      <c r="L4984">
        <v>3</v>
      </c>
    </row>
    <row r="4985" spans="1:12" x14ac:dyDescent="0.25">
      <c r="A4985" t="s">
        <v>9497</v>
      </c>
      <c r="B4985" t="s">
        <v>199</v>
      </c>
      <c r="C4985" t="s">
        <v>252</v>
      </c>
      <c r="D4985" t="s">
        <v>46</v>
      </c>
      <c r="E4985">
        <v>45</v>
      </c>
      <c r="F4985" t="s">
        <v>296</v>
      </c>
      <c r="G4985" t="s">
        <v>191</v>
      </c>
      <c r="H4985" t="s">
        <v>9498</v>
      </c>
      <c r="I4985" s="1" t="d">
        <v>2024-11-21</v>
      </c>
      <c r="J4985" t="s">
        <v>1245</v>
      </c>
      <c r="K4985" s="17" t="s">
        <v>19</v>
      </c>
      <c r="L4985">
        <v>4</v>
      </c>
    </row>
    <row r="4986" spans="1:12" x14ac:dyDescent="0.25">
      <c r="A4986" t="s">
        <v>9499</v>
      </c>
      <c r="B4986" t="s">
        <v>79</v>
      </c>
      <c r="C4986" t="s">
        <v>1007</v>
      </c>
      <c r="D4986" t="s">
        <v>46</v>
      </c>
      <c r="E4986">
        <v>38</v>
      </c>
      <c r="G4986" t="s">
        <v>82</v>
      </c>
      <c r="H4986">
        <v>80543</v>
      </c>
      <c r="I4986" s="1" t="d">
        <v>2023-08-27</v>
      </c>
      <c r="J4986" t="s">
        <v>3261</v>
      </c>
      <c r="K4986" s="17" t="s">
        <v>42</v>
      </c>
      <c r="L4986">
        <v>2</v>
      </c>
    </row>
    <row r="4987" spans="1:12" x14ac:dyDescent="0.25">
      <c r="A4987" t="s">
        <v>9500</v>
      </c>
      <c r="B4987" t="s">
        <v>139</v>
      </c>
      <c r="C4987" t="s">
        <v>710</v>
      </c>
      <c r="D4987" t="s">
        <v>9527</v>
      </c>
      <c r="E4987">
        <v>43</v>
      </c>
      <c r="F4987" t="s">
        <v>2065</v>
      </c>
      <c r="G4987" t="s">
        <v>1556</v>
      </c>
      <c r="I4987" s="1" t="d">
        <v>2022-09-25</v>
      </c>
      <c r="J4987" t="s">
        <v>2657</v>
      </c>
      <c r="K4987" s="17" t="s">
        <v>90</v>
      </c>
      <c r="L4987">
        <v>3</v>
      </c>
    </row>
    <row r="4988" spans="1:12" x14ac:dyDescent="0.25">
      <c r="A4988" t="s">
        <v>9501</v>
      </c>
      <c r="B4988" t="s">
        <v>151</v>
      </c>
      <c r="C4988" t="s">
        <v>295</v>
      </c>
      <c r="D4988" t="s">
        <v>9527</v>
      </c>
      <c r="E4988">
        <v>50</v>
      </c>
      <c r="F4988" t="s">
        <v>296</v>
      </c>
      <c r="G4988" t="s">
        <v>231</v>
      </c>
      <c r="H4988" t="s">
        <v>9502</v>
      </c>
      <c r="I4988" s="1" t="d">
        <v>2018-11-24</v>
      </c>
      <c r="J4988" t="s">
        <v>5178</v>
      </c>
      <c r="K4988" s="17" t="s">
        <v>71</v>
      </c>
      <c r="L4988">
        <v>4</v>
      </c>
    </row>
    <row r="4989" spans="1:12" x14ac:dyDescent="0.25">
      <c r="A4989" t="s">
        <v>9503</v>
      </c>
      <c r="B4989" t="s">
        <v>993</v>
      </c>
      <c r="C4989" t="s">
        <v>805</v>
      </c>
      <c r="D4989" t="s">
        <v>23</v>
      </c>
      <c r="E4989">
        <v>37</v>
      </c>
      <c r="F4989" t="s">
        <v>417</v>
      </c>
      <c r="G4989" t="s">
        <v>82</v>
      </c>
      <c r="H4989" t="s">
        <v>1739</v>
      </c>
      <c r="I4989" s="1" t="d">
        <v>2006-07-09</v>
      </c>
      <c r="J4989" t="s">
        <v>1697</v>
      </c>
      <c r="K4989" s="17" t="s">
        <v>19</v>
      </c>
      <c r="L4989">
        <v>4</v>
      </c>
    </row>
    <row r="4990" spans="1:12" x14ac:dyDescent="0.25">
      <c r="A4990" t="s">
        <v>9504</v>
      </c>
      <c r="B4990" t="s">
        <v>102</v>
      </c>
      <c r="C4990" t="s">
        <v>93</v>
      </c>
      <c r="D4990" t="s">
        <v>23</v>
      </c>
      <c r="E4990">
        <v>28</v>
      </c>
      <c r="F4990" t="s">
        <v>2723</v>
      </c>
      <c r="G4990" t="s">
        <v>115</v>
      </c>
      <c r="I4990" s="1" t="d">
        <v>2017-05-01</v>
      </c>
      <c r="J4990" t="s">
        <v>2990</v>
      </c>
      <c r="K4990" s="17" t="s">
        <v>34</v>
      </c>
      <c r="L4990">
        <v>4</v>
      </c>
    </row>
    <row r="4991" spans="1:12" x14ac:dyDescent="0.25">
      <c r="A4991" t="s">
        <v>9505</v>
      </c>
      <c r="B4991" t="s">
        <v>4210</v>
      </c>
      <c r="C4991" t="s">
        <v>37</v>
      </c>
      <c r="D4991" t="s">
        <v>9527</v>
      </c>
      <c r="E4991">
        <v>21</v>
      </c>
      <c r="F4991" t="s">
        <v>296</v>
      </c>
      <c r="G4991" t="s">
        <v>55</v>
      </c>
      <c r="H4991" t="s">
        <v>9506</v>
      </c>
      <c r="J4991" t="s">
        <v>1968</v>
      </c>
      <c r="K4991" s="17" t="s">
        <v>118</v>
      </c>
      <c r="L4991">
        <v>2</v>
      </c>
    </row>
    <row r="4992" spans="1:12" x14ac:dyDescent="0.25">
      <c r="A4992" t="s">
        <v>9507</v>
      </c>
      <c r="B4992" t="s">
        <v>467</v>
      </c>
      <c r="C4992" t="s">
        <v>237</v>
      </c>
      <c r="D4992" t="s">
        <v>46</v>
      </c>
      <c r="E4992">
        <v>26</v>
      </c>
      <c r="F4992" t="s">
        <v>5826</v>
      </c>
      <c r="G4992" t="s">
        <v>1791</v>
      </c>
      <c r="H4992" t="s">
        <v>9508</v>
      </c>
      <c r="I4992" s="1" t="d">
        <v>2015-07-19</v>
      </c>
      <c r="J4992" t="s">
        <v>5033</v>
      </c>
      <c r="K4992" s="17" t="s">
        <v>34</v>
      </c>
      <c r="L4992">
        <v>3</v>
      </c>
    </row>
    <row r="4993" spans="1:12" x14ac:dyDescent="0.25">
      <c r="A4993" t="s">
        <v>9509</v>
      </c>
      <c r="B4993" t="s">
        <v>804</v>
      </c>
      <c r="C4993" t="s">
        <v>1608</v>
      </c>
      <c r="D4993" t="s">
        <v>23</v>
      </c>
      <c r="E4993">
        <v>37</v>
      </c>
      <c r="F4993" t="s">
        <v>589</v>
      </c>
      <c r="G4993" t="s">
        <v>39</v>
      </c>
      <c r="H4993">
        <v>49996</v>
      </c>
      <c r="I4993" s="1" t="d">
        <v>2011-05-07</v>
      </c>
      <c r="J4993" t="s">
        <v>1105</v>
      </c>
      <c r="K4993" s="17" t="s">
        <v>27</v>
      </c>
      <c r="L4993">
        <v>3</v>
      </c>
    </row>
    <row r="4994" spans="1:12" x14ac:dyDescent="0.25">
      <c r="A4994" t="s">
        <v>9510</v>
      </c>
      <c r="B4994" t="s">
        <v>102</v>
      </c>
      <c r="C4994" t="s">
        <v>827</v>
      </c>
      <c r="D4994" t="s">
        <v>46</v>
      </c>
      <c r="E4994">
        <v>32</v>
      </c>
      <c r="F4994" t="s">
        <v>522</v>
      </c>
      <c r="G4994" t="s">
        <v>16</v>
      </c>
      <c r="J4994" t="s">
        <v>2363</v>
      </c>
      <c r="K4994" s="17" t="s">
        <v>184</v>
      </c>
      <c r="L4994">
        <v>3</v>
      </c>
    </row>
    <row r="4995" spans="1:12" x14ac:dyDescent="0.25">
      <c r="A4995" t="s">
        <v>9511</v>
      </c>
      <c r="B4995" t="s">
        <v>86</v>
      </c>
      <c r="C4995" t="s">
        <v>67</v>
      </c>
      <c r="D4995" t="s">
        <v>9527</v>
      </c>
      <c r="E4995">
        <v>36</v>
      </c>
      <c r="F4995" t="s">
        <v>94</v>
      </c>
      <c r="G4995" t="s">
        <v>903</v>
      </c>
      <c r="H4995" s="2">
        <v>65538</v>
      </c>
      <c r="I4995" s="1" t="d">
        <v>2009-08-03</v>
      </c>
      <c r="J4995" t="s">
        <v>2025</v>
      </c>
      <c r="K4995" s="17" t="s">
        <v>42</v>
      </c>
      <c r="L4995">
        <v>4</v>
      </c>
    </row>
    <row r="4996" spans="1:12" x14ac:dyDescent="0.25">
      <c r="A4996" t="s">
        <v>8985</v>
      </c>
      <c r="B4996" t="s">
        <v>482</v>
      </c>
      <c r="C4996" t="s">
        <v>624</v>
      </c>
      <c r="D4996" t="s">
        <v>46</v>
      </c>
      <c r="E4996">
        <v>37</v>
      </c>
      <c r="F4996" t="s">
        <v>31</v>
      </c>
      <c r="G4996" t="s">
        <v>357</v>
      </c>
      <c r="H4996">
        <v>59239</v>
      </c>
      <c r="I4996" s="1" t="d">
        <v>2005-05-12</v>
      </c>
      <c r="J4996" t="s">
        <v>4457</v>
      </c>
      <c r="K4996" s="17" t="s">
        <v>34</v>
      </c>
      <c r="L4996">
        <v>3</v>
      </c>
    </row>
    <row r="4997" spans="1:12" x14ac:dyDescent="0.25">
      <c r="A4997" t="s">
        <v>9512</v>
      </c>
      <c r="B4997" t="s">
        <v>1463</v>
      </c>
      <c r="C4997" t="s">
        <v>858</v>
      </c>
      <c r="D4997" t="s">
        <v>9527</v>
      </c>
      <c r="E4997">
        <v>21</v>
      </c>
      <c r="F4997" t="s">
        <v>319</v>
      </c>
      <c r="G4997" t="s">
        <v>170</v>
      </c>
      <c r="H4997" t="s">
        <v>9513</v>
      </c>
      <c r="I4997" s="1" t="d">
        <v>2020-11-14</v>
      </c>
      <c r="J4997" t="s">
        <v>4673</v>
      </c>
      <c r="K4997" s="17" t="s">
        <v>184</v>
      </c>
      <c r="L4997">
        <v>1</v>
      </c>
    </row>
    <row r="4998" spans="1:12" x14ac:dyDescent="0.25">
      <c r="A4998" t="s">
        <v>9514</v>
      </c>
      <c r="B4998" t="s">
        <v>2697</v>
      </c>
      <c r="C4998" t="s">
        <v>1517</v>
      </c>
      <c r="D4998" t="s">
        <v>46</v>
      </c>
      <c r="E4998">
        <v>21</v>
      </c>
      <c r="F4998" t="s">
        <v>38</v>
      </c>
      <c r="G4998" t="s">
        <v>278</v>
      </c>
      <c r="H4998" t="s">
        <v>9515</v>
      </c>
      <c r="I4998" s="1" t="d">
        <v>2016-11-16</v>
      </c>
      <c r="J4998" t="s">
        <v>2434</v>
      </c>
      <c r="K4998" s="17" t="s">
        <v>370</v>
      </c>
      <c r="L4998">
        <v>4</v>
      </c>
    </row>
    <row r="4999" spans="1:12" x14ac:dyDescent="0.25">
      <c r="A4999" t="s">
        <v>9516</v>
      </c>
      <c r="B4999" t="s">
        <v>444</v>
      </c>
      <c r="C4999" t="s">
        <v>252</v>
      </c>
      <c r="D4999" t="s">
        <v>23</v>
      </c>
      <c r="E4999">
        <v>30</v>
      </c>
      <c r="F4999" t="s">
        <v>989</v>
      </c>
      <c r="G4999" t="s">
        <v>39</v>
      </c>
      <c r="H4999" t="s">
        <v>9517</v>
      </c>
      <c r="I4999" s="1" t="d">
        <v>2020-06-03</v>
      </c>
      <c r="J4999" t="s">
        <v>1135</v>
      </c>
      <c r="K4999" s="17" t="s">
        <v>207</v>
      </c>
      <c r="L4999">
        <v>3</v>
      </c>
    </row>
    <row r="5000" spans="1:12" x14ac:dyDescent="0.25">
      <c r="A5000" t="s">
        <v>9518</v>
      </c>
      <c r="B5000" t="s">
        <v>1769</v>
      </c>
      <c r="C5000" t="s">
        <v>1384</v>
      </c>
      <c r="D5000" t="s">
        <v>46</v>
      </c>
      <c r="E5000">
        <v>42</v>
      </c>
      <c r="G5000" t="s">
        <v>115</v>
      </c>
      <c r="H5000" t="s">
        <v>9519</v>
      </c>
      <c r="I5000" s="1" t="d">
        <v>2019-04-24</v>
      </c>
      <c r="J5000" t="s">
        <v>4316</v>
      </c>
      <c r="K5000" s="17" t="s">
        <v>19</v>
      </c>
      <c r="L5000">
        <v>2</v>
      </c>
    </row>
    <row r="5001" spans="1:12" x14ac:dyDescent="0.25">
      <c r="A5001" t="s">
        <v>9520</v>
      </c>
      <c r="B5001" t="s">
        <v>102</v>
      </c>
      <c r="C5001" t="s">
        <v>1630</v>
      </c>
      <c r="D5001" t="s">
        <v>23</v>
      </c>
      <c r="E5001">
        <v>35</v>
      </c>
      <c r="F5001" t="s">
        <v>7239</v>
      </c>
      <c r="G5001" t="s">
        <v>205</v>
      </c>
      <c r="H5001" s="2">
        <v>999999</v>
      </c>
      <c r="I5001" s="1" t="d">
        <v>2015-07-08</v>
      </c>
      <c r="J5001" t="s">
        <v>7611</v>
      </c>
      <c r="K5001" s="17" t="s">
        <v>71</v>
      </c>
      <c r="L5001">
        <v>3</v>
      </c>
    </row>
  </sheetData>
  <pageMargins left="0.7" right="0.7" top="0.75" bottom="0.75" header="0.3" footer="0.3"/>
  <pageSetup orientation="portrait" r:id="rId1"/>
  <tableParts count="1">
    <tablePart r:id="rId2"/>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tabColor theme="5" tint="0.39997558519241921"/>
  </sheetPr>
  <dimension ref="A1:M42"/>
  <sheetViews>
    <sheetView workbookViewId="0">
      <selection activeCell="J12" sqref="J12"/>
    </sheetView>
  </sheetViews>
  <sheetFormatPr baseColWidth="10" defaultRowHeight="15" x14ac:dyDescent="0.25"/>
  <cols>
    <col min="1" max="1" width="19" customWidth="1"/>
    <col min="2" max="3" width="11.42578125" style="3"/>
    <col min="4" max="4" width="23.28515625" style="3" customWidth="1"/>
    <col min="5" max="5" width="18.28515625" style="3" customWidth="1"/>
    <col min="6" max="6" width="11.42578125" style="3"/>
    <col min="7" max="7" width="13.28515625" style="3" customWidth="1"/>
    <col min="8" max="13" width="11.42578125" style="3"/>
  </cols>
  <sheetData>
    <row r="1" spans="1:7" ht="15.75" thickBot="1" x14ac:dyDescent="0.3">
      <c r="A1" s="13" t="s">
        <v>9530</v>
      </c>
      <c r="B1" s="12" t="s">
        <v>9521</v>
      </c>
      <c r="C1" s="12" t="s">
        <v>9522</v>
      </c>
      <c r="D1" s="12" t="s">
        <v>9524</v>
      </c>
      <c r="E1" s="12" t="s">
        <v>9523</v>
      </c>
      <c r="F1" s="12" t="s">
        <v>9528</v>
      </c>
      <c r="G1" s="16" t="s">
        <v>9532</v>
      </c>
    </row>
    <row r="2" spans="1:7" ht="16.5" thickTop="1" thickBot="1" x14ac:dyDescent="0.3">
      <c r="A2" s="12" t="s">
        <v>9529</v>
      </c>
      <c r="B2" s="11">
        <f t="shared" ref="B2:G2" si="0">SUM(B5:B16)</f>
        <v>600</v>
      </c>
      <c r="C2" s="11">
        <f t="shared" si="0"/>
        <v>9286</v>
      </c>
      <c r="D2" s="11">
        <f t="shared" si="0"/>
        <v>4882</v>
      </c>
      <c r="E2" s="11">
        <f t="shared" si="0"/>
        <v>2133</v>
      </c>
      <c r="F2" s="11">
        <f t="shared" si="0"/>
        <v>3944</v>
      </c>
      <c r="G2" s="15">
        <f t="shared" si="0"/>
        <v>1408</v>
      </c>
    </row>
    <row r="3" spans="1:7" ht="15.75" thickTop="1" x14ac:dyDescent="0.25"/>
    <row r="4" spans="1:7" x14ac:dyDescent="0.25">
      <c r="A4" s="14" t="s">
        <v>9531</v>
      </c>
      <c r="B4" s="7" t="s">
        <v>9521</v>
      </c>
      <c r="C4" s="7" t="s">
        <v>9522</v>
      </c>
      <c r="D4" s="7" t="s">
        <v>9524</v>
      </c>
      <c r="E4" s="7" t="s">
        <v>9523</v>
      </c>
      <c r="F4" s="7" t="s">
        <v>9528</v>
      </c>
      <c r="G4" s="7" t="s">
        <v>9532</v>
      </c>
    </row>
    <row r="5" spans="1:7" x14ac:dyDescent="0.25">
      <c r="A5" s="6" t="s">
        <v>0</v>
      </c>
      <c r="B5" s="6">
        <f>SUMPRODUCT((Datos[employee_id]&lt;&gt;"")*(COUNTIF(Datos[employee_id],Datos[employee_id])&gt;1))</f>
        <v>600</v>
      </c>
      <c r="C5" s="9" t="s">
        <v>9525</v>
      </c>
      <c r="D5" s="6">
        <f>SUMPRODUCT((Datos[employee_id]&lt;&gt;"")*(Datos[employee_id]&lt;&gt;TRIM(Datos[employee_id])))</f>
        <v>0</v>
      </c>
      <c r="E5" s="6">
        <f>SUMPRODUCT((Datos[employee_id]&lt;&gt;"")*((LEN(Datos[employee_id])&lt;&gt;6)+(LEFT(Datos[employee_id],1)&lt;&gt;"E")+ISERROR(VALUE(MID(Datos[employee_id],2,5)))&gt;0))</f>
        <v>0</v>
      </c>
      <c r="F5" s="9" t="s">
        <v>9525</v>
      </c>
      <c r="G5" s="6">
        <f>COUNTBLANK(Datos[employee_id])</f>
        <v>0</v>
      </c>
    </row>
    <row r="6" spans="1:7" x14ac:dyDescent="0.25">
      <c r="A6" s="4" t="s">
        <v>1</v>
      </c>
      <c r="B6" s="8" t="s">
        <v>9525</v>
      </c>
      <c r="C6" s="4">
        <f>SUMPRODUCT((Datos[first_name]&lt;&gt;"")*(NOT(EXACT(Datos[first_name],PROPER(Datos[first_name])))))</f>
        <v>2431</v>
      </c>
      <c r="D6" s="4">
        <f>SUMPRODUCT((Datos[first_name]&lt;&gt;"")*(Datos[first_name]&lt;&gt;TRIM(Datos[first_name])))</f>
        <v>1119</v>
      </c>
      <c r="E6" s="4">
        <f>SUMPRODUCT((Datos[first_name]&lt;&gt;"")*((ISNUMBER(SEARCH("0",Datos[first_name]))+ISNUMBER(SEARCH("1",Datos[first_name]))+ISNUMBER(SEARCH("2",Datos[first_name]))+ISNUMBER(SEARCH("3",Datos[first_name]))+ISNUMBER(SEARCH("4",Datos[first_name]))+ISNUMBER(SEARCH("5",Datos[first_name]))+ISNUMBER(SEARCH("6",Datos[first_name]))+ISNUMBER(SEARCH("7",Datos[first_name]))+ISNUMBER(SEARCH("8",Datos[first_name]))+ISNUMBER(SEARCH("9",Datos[first_name])))&gt;0))</f>
        <v>0</v>
      </c>
      <c r="F6" s="8" t="s">
        <v>9525</v>
      </c>
      <c r="G6" s="8">
        <f>COUNTBLANK(Datos[first_name])</f>
        <v>0</v>
      </c>
    </row>
    <row r="7" spans="1:7" x14ac:dyDescent="0.25">
      <c r="A7" s="6" t="s">
        <v>2</v>
      </c>
      <c r="B7" s="9" t="s">
        <v>9525</v>
      </c>
      <c r="C7" s="6">
        <f>SUMPRODUCT((Datos[last_name]&lt;&gt;"")*(NOT(EXACT(Datos[last_name],PROPER(Datos[last_name])))))</f>
        <v>2565</v>
      </c>
      <c r="D7" s="6">
        <f>SUMPRODUCT((Datos[last_name]&lt;&gt;"")*(Datos[last_name]&lt;&gt;TRIM(Datos[last_name])))</f>
        <v>1137</v>
      </c>
      <c r="E7" s="6">
        <f>SUMPRODUCT((Datos[last_name]&lt;&gt;"")*((ISNUMBER(SEARCH("0",Datos[last_name]))+ISNUMBER(SEARCH("1",Datos[last_name]))+ISNUMBER(SEARCH("2",Datos[last_name]))+ISNUMBER(SEARCH("3",Datos[last_name]))+ISNUMBER(SEARCH("4",Datos[last_name]))+ISNUMBER(SEARCH("5",Datos[last_name]))+ISNUMBER(SEARCH("6",Datos[last_name]))+ISNUMBER(SEARCH("7",Datos[last_name]))+ISNUMBER(SEARCH("8",Datos[last_name]))+ISNUMBER(SEARCH("9",Datos[last_name])))&gt;0))</f>
        <v>0</v>
      </c>
      <c r="F7" s="9" t="s">
        <v>9525</v>
      </c>
      <c r="G7" s="9">
        <f>COUNTBLANK(Datos[last_name])</f>
        <v>0</v>
      </c>
    </row>
    <row r="8" spans="1:7" x14ac:dyDescent="0.25">
      <c r="A8" s="4" t="s">
        <v>3</v>
      </c>
      <c r="B8" s="8" t="s">
        <v>9525</v>
      </c>
      <c r="C8" s="4">
        <f>SUMPRODUCT((Datos[gender]&lt;&gt;"")*(NOT(EXACT(Datos[gender],PROPER(Datos[gender])))))</f>
        <v>0</v>
      </c>
      <c r="D8" s="4">
        <f>SUMPRODUCT((Datos[gender]&lt;&gt;"")*(Datos[gender]&lt;&gt;TRIM(Datos[gender])))</f>
        <v>0</v>
      </c>
      <c r="E8" s="8" t="s">
        <v>9525</v>
      </c>
      <c r="F8" s="4">
        <f>SUMPRODUCT((Datos[gender]&lt;&gt;"")*(COUNTIF(Permitidos[gender],Datos[gender])=0))</f>
        <v>0</v>
      </c>
      <c r="G8" s="4">
        <f>COUNTBLANK(Datos[gender])</f>
        <v>0</v>
      </c>
    </row>
    <row r="9" spans="1:7" x14ac:dyDescent="0.25">
      <c r="A9" s="6" t="s">
        <v>4</v>
      </c>
      <c r="B9" s="9" t="s">
        <v>9525</v>
      </c>
      <c r="C9" s="9" t="s">
        <v>9525</v>
      </c>
      <c r="D9" s="6">
        <f>SUMPRODUCT((Datos[age]&lt;&gt;"")*(LEN(Datos[age])&gt;2))</f>
        <v>0</v>
      </c>
      <c r="E9" s="6">
        <f>SUMPRODUCT((Datos[age]&lt;&gt;"")*(NOT(ISNUMBER(Datos[age]))))</f>
        <v>0</v>
      </c>
      <c r="F9" s="9" t="s">
        <v>9525</v>
      </c>
      <c r="G9" s="6">
        <f>COUNTBLANK(Datos[age])</f>
        <v>0</v>
      </c>
    </row>
    <row r="10" spans="1:7" x14ac:dyDescent="0.25">
      <c r="A10" s="4" t="s">
        <v>5</v>
      </c>
      <c r="B10" s="8" t="s">
        <v>9525</v>
      </c>
      <c r="C10" s="4">
        <f>SUMPRODUCT((Datos[department]&lt;&gt;"")*(NOT(EXACT(Datos[department],PROPER(Datos[department])))))</f>
        <v>1798</v>
      </c>
      <c r="D10" s="4">
        <f>SUMPRODUCT((Datos[department]&lt;&gt;"")*(Datos[department]&lt;&gt;TRIM(Datos[department])))</f>
        <v>1433</v>
      </c>
      <c r="E10" s="8" t="s">
        <v>9525</v>
      </c>
      <c r="F10" s="4">
        <f>SUMPRODUCT((Datos[department]&lt;&gt;"")*(COUNTIF(Permitidos[department],Datos[department])=0))</f>
        <v>2751</v>
      </c>
      <c r="G10" s="4">
        <f>COUNTBLANK(Datos[department])</f>
        <v>402</v>
      </c>
    </row>
    <row r="11" spans="1:7" x14ac:dyDescent="0.25">
      <c r="A11" s="6" t="s">
        <v>6</v>
      </c>
      <c r="B11" s="9" t="s">
        <v>9525</v>
      </c>
      <c r="C11" s="6">
        <f>SUMPRODUCT((Datos[job_title]&lt;&gt;"")*(NOT(EXACT(Datos[job_title],PROPER(Datos[job_title])))))</f>
        <v>2492</v>
      </c>
      <c r="D11" s="6">
        <f>SUMPRODUCT((Datos[job_title]&lt;&gt;"")*(Datos[job_title]&lt;&gt;TRIM(Datos[job_title])))</f>
        <v>1193</v>
      </c>
      <c r="E11" s="9" t="s">
        <v>9525</v>
      </c>
      <c r="F11" s="6">
        <f>SUMPRODUCT((Datos[job_title]&lt;&gt;"")*(COUNTIF(Permitidos[job_title],Datos[job_title])=0))</f>
        <v>1193</v>
      </c>
      <c r="G11" s="6">
        <f>COUNTBLANK(Datos[job_title])</f>
        <v>0</v>
      </c>
    </row>
    <row r="12" spans="1:7" x14ac:dyDescent="0.25">
      <c r="A12" s="4" t="s">
        <v>7</v>
      </c>
      <c r="B12" s="8" t="s">
        <v>9525</v>
      </c>
      <c r="C12" s="8" t="s">
        <v>9525</v>
      </c>
      <c r="D12" s="8" t="s">
        <v>9525</v>
      </c>
      <c r="E12" s="4">
        <f>SUMPRODUCT((Datos[salary]&lt;&gt;"")*((NOT(ISNUMBER(Datos[salary]))+IFERROR(Datos[salary]&lt;0,0)+IFERROR(Datos[salary]=999999,0))&gt;0))</f>
        <v>2133</v>
      </c>
      <c r="F12" s="8" t="s">
        <v>9525</v>
      </c>
      <c r="G12" s="4">
        <f>COUNTBLANK(Datos[salary])</f>
        <v>755</v>
      </c>
    </row>
    <row r="13" spans="1:7" x14ac:dyDescent="0.25">
      <c r="A13" s="6" t="s">
        <v>8</v>
      </c>
      <c r="B13" s="9" t="s">
        <v>9525</v>
      </c>
      <c r="C13" s="9" t="s">
        <v>9525</v>
      </c>
      <c r="D13" s="9" t="s">
        <v>9525</v>
      </c>
      <c r="E13" s="6">
        <f>SUMPRODUCT((Datos[hire_date]&lt;&gt;"")*((NOT(ISNUMBER(Datos[hire_date]))+(LEN(TEXT(Datos[hire_date],"dd/mm/yyyy"))&lt;&gt;10))&gt;0))</f>
        <v>0</v>
      </c>
      <c r="F13" s="9" t="s">
        <v>9525</v>
      </c>
      <c r="G13" s="6">
        <f>COUNTBLANK(Datos[hire_date])</f>
        <v>251</v>
      </c>
    </row>
    <row r="14" spans="1:7" x14ac:dyDescent="0.25">
      <c r="A14" s="4" t="s">
        <v>9</v>
      </c>
      <c r="B14" s="8" t="s">
        <v>9526</v>
      </c>
      <c r="C14" s="8" t="s">
        <v>9525</v>
      </c>
      <c r="D14" s="4">
        <f>SUMPRODUCT((Datos[email]&lt;&gt;"")*(Datos[email]&lt;&gt;TRIM(Datos[email])))</f>
        <v>0</v>
      </c>
      <c r="E14" s="4">
        <f>SUMPRODUCT((Datos[email]&lt;&gt;"")*((LEN(Datos[email])-LEN(SUBSTITUTE(Datos[email],"@",""))&lt;&gt;1)+(IFERROR(SEARCH(".",Datos[email],SEARCH("@",Datos[email])+1),0)=0)&gt;0))</f>
        <v>0</v>
      </c>
      <c r="F14" s="8" t="s">
        <v>9525</v>
      </c>
      <c r="G14" s="4">
        <f>COUNTBLANK(Datos[email])</f>
        <v>0</v>
      </c>
    </row>
    <row r="15" spans="1:7" x14ac:dyDescent="0.25">
      <c r="A15" s="6" t="s">
        <v>10</v>
      </c>
      <c r="B15" s="9" t="s">
        <v>9525</v>
      </c>
      <c r="C15" s="6">
        <f>SUMPRODUCT((Datos[city]&lt;&gt;"")*(NOT(EXACT(Datos[city],PROPER(Datos[city])))))</f>
        <v>0</v>
      </c>
      <c r="D15" s="6">
        <f>SUMPRODUCT((Datos[city]&lt;&gt;"")*(Datos[city]&lt;&gt;TRIM(Datos[city])))</f>
        <v>0</v>
      </c>
      <c r="E15" s="9" t="s">
        <v>9525</v>
      </c>
      <c r="F15" s="6">
        <f>SUMPRODUCT((Datos[city]&lt;&gt;"")*(COUNTIF(Permitidos[city],Datos[city])=0))</f>
        <v>0</v>
      </c>
      <c r="G15" s="6">
        <f>COUNTBLANK(Datos[city])</f>
        <v>0</v>
      </c>
    </row>
    <row r="16" spans="1:7" x14ac:dyDescent="0.25">
      <c r="A16" s="5" t="s">
        <v>11</v>
      </c>
      <c r="B16" s="8" t="s">
        <v>9525</v>
      </c>
      <c r="C16" s="8" t="s">
        <v>9525</v>
      </c>
      <c r="D16" s="8">
        <f>SUMPRODUCT((Datos[performance_rating]&lt;&gt;"")*(LEN(Datos[performance_rating])&gt;1))</f>
        <v>0</v>
      </c>
      <c r="E16" s="8" t="s">
        <v>9525</v>
      </c>
      <c r="F16" s="4">
        <f>SUMPRODUCT((Datos[performance_rating]&lt;&gt;"")*(COUNTIF(Permitidos[performance_rating],Datos[performance_rating])=0))</f>
        <v>0</v>
      </c>
      <c r="G16" s="4">
        <f>COUNTBLANK(Datos[performance_rating])</f>
        <v>0</v>
      </c>
    </row>
    <row r="30" spans="2:13" x14ac:dyDescent="0.25">
      <c r="B30"/>
      <c r="C30"/>
      <c r="D30"/>
      <c r="E30"/>
      <c r="F30"/>
      <c r="G30"/>
      <c r="H30"/>
      <c r="I30"/>
      <c r="J30"/>
      <c r="K30"/>
      <c r="L30"/>
      <c r="M30"/>
    </row>
    <row r="31" spans="2:13" x14ac:dyDescent="0.25">
      <c r="B31"/>
      <c r="C31"/>
      <c r="D31"/>
      <c r="E31"/>
      <c r="F31"/>
      <c r="G31"/>
      <c r="H31"/>
      <c r="I31"/>
      <c r="J31"/>
      <c r="K31"/>
      <c r="L31"/>
      <c r="M31"/>
    </row>
    <row r="32" spans="2:13" x14ac:dyDescent="0.25">
      <c r="B32"/>
      <c r="C32"/>
      <c r="D32"/>
      <c r="E32"/>
      <c r="F32"/>
      <c r="G32"/>
      <c r="H32"/>
      <c r="I32"/>
      <c r="J32"/>
      <c r="K32"/>
      <c r="L32"/>
      <c r="M32"/>
    </row>
    <row r="33" spans="2:13" x14ac:dyDescent="0.25">
      <c r="B33"/>
      <c r="C33"/>
      <c r="D33"/>
      <c r="E33"/>
      <c r="F33"/>
      <c r="G33"/>
      <c r="H33"/>
      <c r="I33"/>
      <c r="J33"/>
      <c r="K33"/>
      <c r="L33"/>
      <c r="M33"/>
    </row>
    <row r="34" spans="2:13" x14ac:dyDescent="0.25">
      <c r="B34"/>
      <c r="C34"/>
      <c r="D34"/>
      <c r="E34"/>
      <c r="F34"/>
      <c r="G34"/>
      <c r="H34"/>
      <c r="I34"/>
      <c r="J34"/>
      <c r="K34"/>
      <c r="L34"/>
      <c r="M34"/>
    </row>
    <row r="35" spans="2:13" x14ac:dyDescent="0.25">
      <c r="B35"/>
      <c r="C35"/>
      <c r="D35"/>
      <c r="E35"/>
      <c r="F35"/>
      <c r="G35"/>
      <c r="H35"/>
      <c r="I35"/>
      <c r="J35"/>
      <c r="K35"/>
      <c r="L35"/>
      <c r="M35"/>
    </row>
    <row r="36" spans="2:13" x14ac:dyDescent="0.25">
      <c r="B36"/>
      <c r="C36"/>
      <c r="D36"/>
      <c r="E36"/>
      <c r="F36"/>
      <c r="G36"/>
      <c r="H36"/>
      <c r="I36"/>
      <c r="J36"/>
      <c r="K36"/>
      <c r="L36"/>
      <c r="M36"/>
    </row>
    <row r="37" spans="2:13" x14ac:dyDescent="0.25">
      <c r="B37"/>
      <c r="C37"/>
      <c r="D37"/>
      <c r="E37"/>
      <c r="F37"/>
      <c r="G37"/>
      <c r="H37"/>
      <c r="I37"/>
      <c r="J37"/>
      <c r="K37"/>
      <c r="L37"/>
      <c r="M37"/>
    </row>
    <row r="38" spans="2:13" x14ac:dyDescent="0.25">
      <c r="B38"/>
      <c r="C38"/>
      <c r="D38"/>
      <c r="E38"/>
      <c r="F38"/>
      <c r="G38"/>
      <c r="H38"/>
      <c r="I38"/>
      <c r="J38"/>
      <c r="K38"/>
      <c r="L38"/>
      <c r="M38"/>
    </row>
    <row r="39" spans="2:13" x14ac:dyDescent="0.25">
      <c r="B39"/>
      <c r="C39"/>
      <c r="D39"/>
      <c r="E39"/>
      <c r="F39"/>
      <c r="G39"/>
      <c r="H39"/>
      <c r="I39"/>
      <c r="J39"/>
      <c r="K39"/>
      <c r="L39"/>
      <c r="M39"/>
    </row>
    <row r="40" spans="2:13" x14ac:dyDescent="0.25">
      <c r="B40"/>
      <c r="C40"/>
      <c r="D40"/>
      <c r="E40"/>
      <c r="F40"/>
      <c r="G40"/>
      <c r="H40"/>
      <c r="I40"/>
      <c r="J40"/>
      <c r="K40"/>
      <c r="L40"/>
      <c r="M40"/>
    </row>
    <row r="41" spans="2:13" x14ac:dyDescent="0.25">
      <c r="B41"/>
      <c r="C41"/>
      <c r="D41"/>
      <c r="E41"/>
      <c r="F41"/>
      <c r="G41"/>
      <c r="H41"/>
      <c r="I41"/>
      <c r="J41"/>
      <c r="K41"/>
      <c r="L41"/>
      <c r="M41"/>
    </row>
    <row r="42" spans="2:13" x14ac:dyDescent="0.25">
      <c r="B42"/>
      <c r="C42"/>
      <c r="D42"/>
      <c r="E42"/>
      <c r="F42"/>
      <c r="G42"/>
      <c r="H42"/>
      <c r="I42"/>
      <c r="J42"/>
      <c r="K42"/>
      <c r="L42"/>
      <c r="M42"/>
    </row>
  </sheetData>
  <conditionalFormatting sqref="B2:F2">
    <cfRule type="cellIs" dxfId="1" priority="1" operator="equal">
      <formula>0</formula>
    </cfRule>
    <cfRule type="cellIs" dxfId="0" priority="2" operator="greaterThan">
      <formula>0</formula>
    </cfRule>
  </conditionalFormatting>
  <pageMargins left="0.7" right="0.7" top="0.75" bottom="0.75" header="0.3" footer="0.3"/>
  <pageSetup orientation="portrait" r:id="rId1"/>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tabColor theme="9" tint="0.39997558519241921"/>
  </sheetPr>
  <dimension ref="A1:K2"/>
  <sheetViews>
    <sheetView zoomScale="89" zoomScaleNormal="89" workbookViewId="0">
      <selection activeCell="N1" sqref="N1"/>
    </sheetView>
  </sheetViews>
  <sheetFormatPr baseColWidth="10" defaultRowHeight="15" x14ac:dyDescent="0.25"/>
  <cols>
    <col min="1" max="1" width="44.140625" customWidth="1"/>
    <col min="2" max="2" width="51.28515625" customWidth="1"/>
    <col min="3" max="3" width="32" customWidth="1"/>
    <col min="4" max="4" width="52.5703125" customWidth="1"/>
    <col min="5" max="5" width="73.28515625" customWidth="1"/>
    <col min="6" max="6" width="57.7109375" customWidth="1"/>
    <col min="7" max="7" width="51.5703125" customWidth="1"/>
    <col min="8" max="8" width="58.140625" customWidth="1"/>
    <col min="9" max="9" width="57.85546875" customWidth="1"/>
    <col min="10" max="10" width="54.140625" customWidth="1"/>
    <col min="11" max="11" width="61.42578125" customWidth="1"/>
  </cols>
  <sheetData>
    <row r="1" spans="1:11" ht="285" customHeight="1" x14ac:dyDescent="0.25">
      <c r="A1" s="18" t="s">
        <v>9534</v>
      </c>
      <c r="B1" s="21" t="s">
        <v>9535</v>
      </c>
      <c r="C1" s="18" t="s">
        <v>9538</v>
      </c>
      <c r="D1" s="21" t="s">
        <v>9552</v>
      </c>
      <c r="E1" s="19" t="s">
        <v>9550</v>
      </c>
      <c r="F1" s="21" t="s">
        <v>9540</v>
      </c>
      <c r="G1" s="18" t="s">
        <v>9541</v>
      </c>
      <c r="H1" s="21" t="s">
        <v>9543</v>
      </c>
      <c r="I1" s="18" t="s">
        <v>9553</v>
      </c>
      <c r="J1" s="21" t="s">
        <v>9546</v>
      </c>
      <c r="K1" s="24" t="s">
        <v>9548</v>
      </c>
    </row>
    <row r="2" spans="1:11" ht="105.75" customHeight="1" x14ac:dyDescent="0.25">
      <c r="A2" s="20" t="s">
        <v>9533</v>
      </c>
      <c r="B2" s="22" t="s">
        <v>9536</v>
      </c>
      <c r="C2" s="20" t="s">
        <v>9537</v>
      </c>
      <c r="D2" s="22" t="s">
        <v>9554</v>
      </c>
      <c r="E2" s="20" t="s">
        <v>9551</v>
      </c>
      <c r="F2" s="22" t="s">
        <v>9539</v>
      </c>
      <c r="G2" s="20" t="s">
        <v>9542</v>
      </c>
      <c r="H2" s="22" t="s">
        <v>9544</v>
      </c>
      <c r="I2" s="20" t="s">
        <v>9545</v>
      </c>
      <c r="J2" s="22" t="s">
        <v>9547</v>
      </c>
      <c r="K2" s="20" t="s">
        <v>9549</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tabColor theme="2" tint="-0.249977111117893"/>
  </sheetPr>
  <dimension ref="A1:L15"/>
  <sheetViews>
    <sheetView tabSelected="1" workbookViewId="0">
      <selection activeCell="G2" sqref="G2"/>
    </sheetView>
  </sheetViews>
  <sheetFormatPr baseColWidth="10" defaultRowHeight="15" x14ac:dyDescent="0.25"/>
  <cols>
    <col min="1" max="5" width="12" customWidth="1"/>
    <col min="6" max="6" width="27.5703125" customWidth="1"/>
    <col min="7" max="7" width="15.42578125" customWidth="1"/>
    <col min="8" max="8" width="12"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D2" t="s">
        <v>46</v>
      </c>
      <c r="F2" s="10" t="s">
        <v>230</v>
      </c>
      <c r="G2" t="s">
        <v>1121</v>
      </c>
      <c r="K2" t="s">
        <v>19</v>
      </c>
      <c r="L2">
        <v>1</v>
      </c>
    </row>
    <row r="3" spans="1:12" x14ac:dyDescent="0.25">
      <c r="D3" t="s">
        <v>23</v>
      </c>
      <c r="F3" s="10" t="s">
        <v>68</v>
      </c>
      <c r="G3" t="s">
        <v>115</v>
      </c>
      <c r="K3" t="s">
        <v>27</v>
      </c>
      <c r="L3">
        <v>2</v>
      </c>
    </row>
    <row r="4" spans="1:12" x14ac:dyDescent="0.25">
      <c r="D4" t="s">
        <v>9527</v>
      </c>
      <c r="F4" s="10" t="s">
        <v>365</v>
      </c>
      <c r="G4" t="s">
        <v>182</v>
      </c>
      <c r="K4" t="s">
        <v>34</v>
      </c>
      <c r="L4">
        <v>3</v>
      </c>
    </row>
    <row r="5" spans="1:12" x14ac:dyDescent="0.25">
      <c r="F5" s="10" t="s">
        <v>245</v>
      </c>
      <c r="G5" t="s">
        <v>69</v>
      </c>
      <c r="K5" t="s">
        <v>42</v>
      </c>
      <c r="L5">
        <v>4</v>
      </c>
    </row>
    <row r="6" spans="1:12" x14ac:dyDescent="0.25">
      <c r="F6" s="10" t="s">
        <v>559</v>
      </c>
      <c r="G6" t="s">
        <v>16</v>
      </c>
      <c r="K6" t="s">
        <v>50</v>
      </c>
      <c r="L6">
        <v>5</v>
      </c>
    </row>
    <row r="7" spans="1:12" x14ac:dyDescent="0.25">
      <c r="F7" s="10" t="s">
        <v>918</v>
      </c>
      <c r="G7" t="s">
        <v>283</v>
      </c>
      <c r="K7" t="s">
        <v>58</v>
      </c>
    </row>
    <row r="8" spans="1:12" x14ac:dyDescent="0.25">
      <c r="F8" s="10" t="s">
        <v>319</v>
      </c>
      <c r="G8" t="s">
        <v>177</v>
      </c>
      <c r="K8" t="s">
        <v>71</v>
      </c>
    </row>
    <row r="9" spans="1:12" x14ac:dyDescent="0.25">
      <c r="F9" s="10" t="s">
        <v>532</v>
      </c>
      <c r="G9" t="s">
        <v>82</v>
      </c>
      <c r="K9" t="s">
        <v>90</v>
      </c>
    </row>
    <row r="10" spans="1:12" x14ac:dyDescent="0.25">
      <c r="F10" s="10" t="s">
        <v>24</v>
      </c>
      <c r="G10" t="s">
        <v>39</v>
      </c>
      <c r="K10" t="s">
        <v>100</v>
      </c>
    </row>
    <row r="11" spans="1:12" x14ac:dyDescent="0.25">
      <c r="F11" s="10" t="s">
        <v>269</v>
      </c>
      <c r="K11" t="s">
        <v>118</v>
      </c>
    </row>
    <row r="12" spans="1:12" x14ac:dyDescent="0.25">
      <c r="K12" t="s">
        <v>149</v>
      </c>
    </row>
    <row r="13" spans="1:12" x14ac:dyDescent="0.25">
      <c r="K13" t="s">
        <v>184</v>
      </c>
    </row>
    <row r="14" spans="1:12" x14ac:dyDescent="0.25">
      <c r="K14" t="s">
        <v>207</v>
      </c>
    </row>
    <row r="15" spans="1:12" x14ac:dyDescent="0.25">
      <c r="K15" t="s">
        <v>370</v>
      </c>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HR DATA</vt:lpstr>
      <vt:lpstr>Panel de control</vt:lpstr>
      <vt:lpstr>Guia</vt:lpstr>
      <vt:lpstr>Permitidos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2026-10-10T17:29:15Z</dcterms:created>
  <dcterms:modified xsi:type="dcterms:W3CDTF">2026-10-16T18:07:15Z</dcterms:modified>
</cp:coreProperties>
</file>